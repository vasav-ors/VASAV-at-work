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Ex3.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K:\dozr\HOW03\GEO\04_OptiMon Runs\20251017_Lateral_pile_stability_ Installation\post-processing\"/>
    </mc:Choice>
  </mc:AlternateContent>
  <xr:revisionPtr revIDLastSave="0" documentId="13_ncr:1_{B561504E-3EBA-48A5-A41B-B31AA451C3D1}" xr6:coauthVersionLast="47" xr6:coauthVersionMax="47" xr10:uidLastSave="{00000000-0000-0000-0000-000000000000}"/>
  <bookViews>
    <workbookView xWindow="28680" yWindow="-120" windowWidth="29040" windowHeight="15720" tabRatio="874" firstSheet="2" activeTab="6" xr2:uid="{F5CD0DAA-05FB-4957-AABC-6DEAC1C15531}"/>
  </bookViews>
  <sheets>
    <sheet name="Summary 05_Hs2p5_loads_it1" sheetId="18" r:id="rId1"/>
    <sheet name="Summary 05_Hs6p4_loads_it1" sheetId="19" r:id="rId2"/>
    <sheet name="Summary 05_Hs7p3_loads_it1" sheetId="20" r:id="rId3"/>
    <sheet name="Conical section geometry" sheetId="1" r:id="rId4"/>
    <sheet name="D at sealevel" sheetId="2" r:id="rId5"/>
    <sheet name="min L for iter1 loads" sheetId="21" r:id="rId6"/>
    <sheet name="Summary 05_combined" sheetId="6" r:id="rId7"/>
  </sheets>
  <definedNames>
    <definedName name="__xleta.AVERAGE" hidden="1" xlm="1">#NAME?</definedName>
    <definedName name="__xleta.MAX" hidden="1" xlm="1">#NAME?</definedName>
    <definedName name="_xlnm._FilterDatabase" localSheetId="4" hidden="1">'D at sealevel'!$A$19:$FA$219</definedName>
    <definedName name="_xlnm._FilterDatabase" localSheetId="6" hidden="1">'Summary 05_combined'!$A$19:$AW$19</definedName>
    <definedName name="_xlchart.v1.0" hidden="1">'D at sealevel'!$P$20:$P$219</definedName>
    <definedName name="_xlchart.v1.1" hidden="1">'Summary 05_combined'!$AF$18</definedName>
    <definedName name="_xlchart.v1.10" hidden="1">'Summary 05_combined'!$AJ$20:$AJ$219</definedName>
    <definedName name="_xlchart.v1.11" hidden="1">'Summary 05_combined'!$AK$18</definedName>
    <definedName name="_xlchart.v1.12" hidden="1">'Summary 05_combined'!$AK$20:$AK$219</definedName>
    <definedName name="_xlchart.v1.13" hidden="1">'Summary 05_combined'!$BE$20:$BE$219</definedName>
    <definedName name="_xlchart.v1.14" hidden="1">'Summary 05_combined'!$BF$20:$BF$219</definedName>
    <definedName name="_xlchart.v1.15" hidden="1">'Summary 05_combined'!$BG$20:$BG$219</definedName>
    <definedName name="_xlchart.v1.2" hidden="1">'Summary 05_combined'!$AF$20:$AF$219</definedName>
    <definedName name="_xlchart.v1.3" hidden="1">'Summary 05_combined'!$AG$18</definedName>
    <definedName name="_xlchart.v1.4" hidden="1">'Summary 05_combined'!$AG$20:$AG$219</definedName>
    <definedName name="_xlchart.v1.5" hidden="1">'Summary 05_combined'!$AH$18</definedName>
    <definedName name="_xlchart.v1.6" hidden="1">'Summary 05_combined'!$AH$20:$AH$219</definedName>
    <definedName name="_xlchart.v1.7" hidden="1">'Summary 05_combined'!$AI$18</definedName>
    <definedName name="_xlchart.v1.8" hidden="1">'Summary 05_combined'!$AI$20:$AI$219</definedName>
    <definedName name="_xlchart.v1.9" hidden="1">'Summary 05_combined'!$AJ$18</definedName>
    <definedName name="_xleta.IF" hidden="1" xlm="1">#NAME?</definedName>
    <definedName name="_xleta.MIN" hidden="1" xlm="1">#NAME?</definedName>
    <definedName name="_xleta.SU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21" l="1"/>
  <c r="D8" i="21"/>
  <c r="D9" i="21"/>
  <c r="D10" i="21"/>
  <c r="D11" i="21"/>
  <c r="D12" i="21"/>
  <c r="D13" i="21"/>
  <c r="D14" i="21"/>
  <c r="D15" i="21"/>
  <c r="D16" i="21"/>
  <c r="D17" i="21"/>
  <c r="D18" i="21"/>
  <c r="D19" i="21"/>
  <c r="D20" i="21"/>
  <c r="D21" i="21"/>
  <c r="D22" i="21"/>
  <c r="D23" i="21"/>
  <c r="D24" i="21"/>
  <c r="D25" i="21"/>
  <c r="D26" i="21"/>
  <c r="D27" i="21"/>
  <c r="D28" i="21"/>
  <c r="D29" i="21"/>
  <c r="D30" i="21"/>
  <c r="D31" i="21"/>
  <c r="D32" i="21"/>
  <c r="D33" i="21"/>
  <c r="D34" i="21"/>
  <c r="D35" i="21"/>
  <c r="D36" i="21"/>
  <c r="D37" i="21"/>
  <c r="D38" i="21"/>
  <c r="D39" i="21"/>
  <c r="D40" i="21"/>
  <c r="D41" i="21"/>
  <c r="D42" i="21"/>
  <c r="D43" i="21"/>
  <c r="D44" i="21"/>
  <c r="D45" i="21"/>
  <c r="D46" i="21"/>
  <c r="D47" i="21"/>
  <c r="D48" i="21"/>
  <c r="D49" i="21"/>
  <c r="D50" i="21"/>
  <c r="D51" i="21"/>
  <c r="D52" i="21"/>
  <c r="D53" i="21"/>
  <c r="D54" i="21"/>
  <c r="D55" i="21"/>
  <c r="D56" i="21"/>
  <c r="D57" i="21"/>
  <c r="D58" i="21"/>
  <c r="D59" i="21"/>
  <c r="D60" i="21"/>
  <c r="D61" i="21"/>
  <c r="D62" i="21"/>
  <c r="D63" i="21"/>
  <c r="D64" i="21"/>
  <c r="D65" i="21"/>
  <c r="D66" i="21"/>
  <c r="D67" i="21"/>
  <c r="D68" i="21"/>
  <c r="D69" i="21"/>
  <c r="D70" i="21"/>
  <c r="D71" i="21"/>
  <c r="D72" i="21"/>
  <c r="D73" i="21"/>
  <c r="D74" i="21"/>
  <c r="D75" i="21"/>
  <c r="D76" i="21"/>
  <c r="D77" i="21"/>
  <c r="D78" i="21"/>
  <c r="D79" i="21"/>
  <c r="D80" i="21"/>
  <c r="D81" i="21"/>
  <c r="D82" i="21"/>
  <c r="D83" i="21"/>
  <c r="D84" i="21"/>
  <c r="D85" i="21"/>
  <c r="D86" i="21"/>
  <c r="D87" i="21"/>
  <c r="D88" i="21"/>
  <c r="D89" i="21"/>
  <c r="D90" i="21"/>
  <c r="D91" i="21"/>
  <c r="D92" i="21"/>
  <c r="D93" i="21"/>
  <c r="D94" i="21"/>
  <c r="D95" i="21"/>
  <c r="D96" i="21"/>
  <c r="D97" i="21"/>
  <c r="D98" i="21"/>
  <c r="D99" i="21"/>
  <c r="D100" i="21"/>
  <c r="D101" i="21"/>
  <c r="D102" i="21"/>
  <c r="D103" i="21"/>
  <c r="D104" i="21"/>
  <c r="D105" i="21"/>
  <c r="D106" i="21"/>
  <c r="D107" i="21"/>
  <c r="D108" i="21"/>
  <c r="D109" i="21"/>
  <c r="D110" i="21"/>
  <c r="D111" i="21"/>
  <c r="D112" i="21"/>
  <c r="D113" i="21"/>
  <c r="D114" i="21"/>
  <c r="D115" i="21"/>
  <c r="D116" i="21"/>
  <c r="D117" i="21"/>
  <c r="D118" i="21"/>
  <c r="D119" i="21"/>
  <c r="D120" i="21"/>
  <c r="D121" i="21"/>
  <c r="D122" i="21"/>
  <c r="D123" i="21"/>
  <c r="D124" i="21"/>
  <c r="D125" i="21"/>
  <c r="D126" i="21"/>
  <c r="D127" i="21"/>
  <c r="D128" i="21"/>
  <c r="D129" i="21"/>
  <c r="D130" i="21"/>
  <c r="D131" i="21"/>
  <c r="D132" i="21"/>
  <c r="D133" i="21"/>
  <c r="D134" i="21"/>
  <c r="D135" i="21"/>
  <c r="D136" i="21"/>
  <c r="D137" i="21"/>
  <c r="D138" i="21"/>
  <c r="D139" i="21"/>
  <c r="D140" i="21"/>
  <c r="D141" i="21"/>
  <c r="D142" i="21"/>
  <c r="D143" i="21"/>
  <c r="D144" i="21"/>
  <c r="D145" i="21"/>
  <c r="D146" i="21"/>
  <c r="D147" i="21"/>
  <c r="D148" i="21"/>
  <c r="D149" i="21"/>
  <c r="D150" i="21"/>
  <c r="D151" i="21"/>
  <c r="D152" i="21"/>
  <c r="D153" i="21"/>
  <c r="D154" i="21"/>
  <c r="D155" i="21"/>
  <c r="D156" i="21"/>
  <c r="D157" i="21"/>
  <c r="D158" i="21"/>
  <c r="D159" i="21"/>
  <c r="D160" i="21"/>
  <c r="D161" i="21"/>
  <c r="D162" i="21"/>
  <c r="D163" i="21"/>
  <c r="D164" i="21"/>
  <c r="D165" i="21"/>
  <c r="D166" i="21"/>
  <c r="D167" i="21"/>
  <c r="D168" i="21"/>
  <c r="D169" i="21"/>
  <c r="D170" i="21"/>
  <c r="D171" i="21"/>
  <c r="D172" i="21"/>
  <c r="D173" i="21"/>
  <c r="D174" i="21"/>
  <c r="D175" i="21"/>
  <c r="D176" i="21"/>
  <c r="D177" i="21"/>
  <c r="D178" i="21"/>
  <c r="D179" i="21"/>
  <c r="D180" i="21"/>
  <c r="D181" i="21"/>
  <c r="D182" i="21"/>
  <c r="D183" i="21"/>
  <c r="D184" i="21"/>
  <c r="D185" i="21"/>
  <c r="D186" i="21"/>
  <c r="D187" i="21"/>
  <c r="D188" i="21"/>
  <c r="D189" i="21"/>
  <c r="D190" i="21"/>
  <c r="D191" i="21"/>
  <c r="D192" i="21"/>
  <c r="D193" i="21"/>
  <c r="D194" i="21"/>
  <c r="D195" i="21"/>
  <c r="D196" i="21"/>
  <c r="D197" i="21"/>
  <c r="D198" i="21"/>
  <c r="D199" i="21"/>
  <c r="D200" i="21"/>
  <c r="D201" i="21"/>
  <c r="D202" i="21"/>
  <c r="D203" i="21"/>
  <c r="D204" i="21"/>
  <c r="D205" i="21"/>
  <c r="D6" i="21"/>
  <c r="M195" i="21"/>
  <c r="T7" i="21"/>
  <c r="S8" i="21" s="1"/>
  <c r="S7" i="21"/>
  <c r="U7" i="21" s="1" a="1"/>
  <c r="U7" i="21" s="1"/>
  <c r="L7" i="21"/>
  <c r="F7" i="21"/>
  <c r="E8" i="21" s="1"/>
  <c r="E7" i="21"/>
  <c r="G7" i="21" s="1" a="1"/>
  <c r="G7" i="21" s="1"/>
  <c r="U6" i="21" a="1"/>
  <c r="U6" i="21" s="1"/>
  <c r="N6" i="21" a="1"/>
  <c r="N6" i="21" s="1"/>
  <c r="G6" i="21" a="1"/>
  <c r="G6" i="21" s="1"/>
  <c r="M21" i="2" a="1"/>
  <c r="M25" i="2" a="1"/>
  <c r="M29" i="2" a="1"/>
  <c r="M33" i="2" a="1"/>
  <c r="M37" i="2" a="1"/>
  <c r="M41" i="2" a="1"/>
  <c r="M45" i="2" a="1"/>
  <c r="M49" i="2" a="1"/>
  <c r="M53" i="2" a="1"/>
  <c r="M57" i="2" a="1"/>
  <c r="M61" i="2" a="1"/>
  <c r="M65" i="2" a="1"/>
  <c r="M69" i="2" a="1"/>
  <c r="M73" i="2" a="1"/>
  <c r="M77" i="2" a="1"/>
  <c r="M81" i="2" a="1"/>
  <c r="M85" i="2" a="1"/>
  <c r="M89" i="2" a="1"/>
  <c r="M93" i="2" a="1"/>
  <c r="M97" i="2" a="1"/>
  <c r="M101" i="2" a="1"/>
  <c r="M105" i="2" a="1"/>
  <c r="M109" i="2" a="1"/>
  <c r="M113" i="2" a="1"/>
  <c r="M117" i="2" a="1"/>
  <c r="M121" i="2" a="1"/>
  <c r="M125" i="2" a="1"/>
  <c r="M129" i="2" a="1"/>
  <c r="M133" i="2" a="1"/>
  <c r="M137" i="2" a="1"/>
  <c r="M141" i="2" a="1"/>
  <c r="M145" i="2" a="1"/>
  <c r="M149" i="2" a="1"/>
  <c r="M153" i="2" a="1"/>
  <c r="M157" i="2" a="1"/>
  <c r="M161" i="2" a="1"/>
  <c r="M165" i="2" a="1"/>
  <c r="M169" i="2" a="1"/>
  <c r="M173" i="2" a="1"/>
  <c r="M177" i="2" a="1"/>
  <c r="M181" i="2" a="1"/>
  <c r="M185" i="2" a="1"/>
  <c r="M189" i="2" a="1"/>
  <c r="M193" i="2" a="1"/>
  <c r="M197" i="2" a="1"/>
  <c r="M201" i="2" a="1"/>
  <c r="M205" i="2" a="1"/>
  <c r="M209" i="2" a="1"/>
  <c r="M213" i="2" a="1"/>
  <c r="M217" i="2" a="1"/>
  <c r="M102" i="2" a="1"/>
  <c r="M126" i="2" a="1"/>
  <c r="M134" i="2" a="1"/>
  <c r="M142" i="2" a="1"/>
  <c r="M150" i="2" a="1"/>
  <c r="M162" i="2" a="1"/>
  <c r="M170" i="2" a="1"/>
  <c r="M178" i="2" a="1"/>
  <c r="M186" i="2" a="1"/>
  <c r="M194" i="2" a="1"/>
  <c r="M202" i="2" a="1"/>
  <c r="M210" i="2" a="1"/>
  <c r="M218" i="2" a="1"/>
  <c r="M179" i="2" a="1"/>
  <c r="M191" i="2" a="1"/>
  <c r="M199" i="2" a="1"/>
  <c r="M26" i="2" a="1"/>
  <c r="M58" i="2" a="1"/>
  <c r="M70" i="2" a="1"/>
  <c r="M78" i="2" a="1"/>
  <c r="M86" i="2" a="1"/>
  <c r="M94" i="2" a="1"/>
  <c r="M98" i="2" a="1"/>
  <c r="M110" i="2" a="1"/>
  <c r="M114" i="2" a="1"/>
  <c r="M122" i="2" a="1"/>
  <c r="M130" i="2" a="1"/>
  <c r="M138" i="2" a="1"/>
  <c r="M146" i="2" a="1"/>
  <c r="M154" i="2" a="1"/>
  <c r="M166" i="2" a="1"/>
  <c r="M174" i="2" a="1"/>
  <c r="M182" i="2" a="1"/>
  <c r="M190" i="2" a="1"/>
  <c r="M198" i="2" a="1"/>
  <c r="M206" i="2" a="1"/>
  <c r="M214" i="2" a="1"/>
  <c r="M183" i="2" a="1"/>
  <c r="M22" i="2" a="1"/>
  <c r="M30" i="2" a="1"/>
  <c r="M34" i="2" a="1"/>
  <c r="M38" i="2" a="1"/>
  <c r="M42" i="2" a="1"/>
  <c r="M46" i="2" a="1"/>
  <c r="M50" i="2" a="1"/>
  <c r="M54" i="2" a="1"/>
  <c r="M62" i="2" a="1"/>
  <c r="M66" i="2" a="1"/>
  <c r="M74" i="2" a="1"/>
  <c r="M82" i="2" a="1"/>
  <c r="M90" i="2" a="1"/>
  <c r="M106" i="2" a="1"/>
  <c r="M118" i="2" a="1"/>
  <c r="M158" i="2" a="1"/>
  <c r="M23" i="2" a="1"/>
  <c r="M27" i="2" a="1"/>
  <c r="M31" i="2" a="1"/>
  <c r="M35" i="2" a="1"/>
  <c r="M39" i="2" a="1"/>
  <c r="M43" i="2" a="1"/>
  <c r="M47" i="2" a="1"/>
  <c r="M51" i="2" a="1"/>
  <c r="M55" i="2" a="1"/>
  <c r="M59" i="2" a="1"/>
  <c r="M63" i="2" a="1"/>
  <c r="M67" i="2" a="1"/>
  <c r="M71" i="2" a="1"/>
  <c r="M75" i="2" a="1"/>
  <c r="M79" i="2" a="1"/>
  <c r="M83" i="2" a="1"/>
  <c r="M87" i="2" a="1"/>
  <c r="M91" i="2" a="1"/>
  <c r="M95" i="2" a="1"/>
  <c r="M99" i="2" a="1"/>
  <c r="M103" i="2" a="1"/>
  <c r="M107" i="2" a="1"/>
  <c r="M111" i="2" a="1"/>
  <c r="M115" i="2" a="1"/>
  <c r="M119" i="2" a="1"/>
  <c r="M123" i="2" a="1"/>
  <c r="M127" i="2" a="1"/>
  <c r="M131" i="2" a="1"/>
  <c r="M135" i="2" a="1"/>
  <c r="M139" i="2" a="1"/>
  <c r="M143" i="2" a="1"/>
  <c r="M147" i="2" a="1"/>
  <c r="M151" i="2" a="1"/>
  <c r="M155" i="2" a="1"/>
  <c r="M159" i="2" a="1"/>
  <c r="M163" i="2" a="1"/>
  <c r="M167" i="2" a="1"/>
  <c r="M171" i="2" a="1"/>
  <c r="M175" i="2" a="1"/>
  <c r="M187" i="2" a="1"/>
  <c r="M24" i="2" a="1"/>
  <c r="M28" i="2" a="1"/>
  <c r="M32" i="2" a="1"/>
  <c r="M36" i="2" a="1"/>
  <c r="M40" i="2" a="1"/>
  <c r="M44" i="2" a="1"/>
  <c r="M48" i="2" a="1"/>
  <c r="M52" i="2" a="1"/>
  <c r="M56" i="2" a="1"/>
  <c r="M60" i="2" a="1"/>
  <c r="M64" i="2" a="1"/>
  <c r="M68" i="2" a="1"/>
  <c r="M72" i="2" a="1"/>
  <c r="M76" i="2" a="1"/>
  <c r="M80" i="2" a="1"/>
  <c r="M84" i="2" a="1"/>
  <c r="M88" i="2" a="1"/>
  <c r="M92" i="2" a="1"/>
  <c r="M96" i="2" a="1"/>
  <c r="M100" i="2" a="1"/>
  <c r="M104" i="2" a="1"/>
  <c r="M108" i="2" a="1"/>
  <c r="M112" i="2" a="1"/>
  <c r="M116" i="2" a="1"/>
  <c r="M120" i="2" a="1"/>
  <c r="M124" i="2" a="1"/>
  <c r="M128" i="2" a="1"/>
  <c r="M132" i="2" a="1"/>
  <c r="M136" i="2" a="1"/>
  <c r="M140" i="2" a="1"/>
  <c r="M144" i="2" a="1"/>
  <c r="M148" i="2" a="1"/>
  <c r="M152" i="2" a="1"/>
  <c r="M156" i="2" a="1"/>
  <c r="M160" i="2" a="1"/>
  <c r="M164" i="2" a="1"/>
  <c r="M168" i="2" a="1"/>
  <c r="M172" i="2" a="1"/>
  <c r="M176" i="2" a="1"/>
  <c r="M180" i="2" a="1"/>
  <c r="M184" i="2" a="1"/>
  <c r="M188" i="2" a="1"/>
  <c r="M192" i="2" a="1"/>
  <c r="M196" i="2" a="1"/>
  <c r="M200" i="2" a="1"/>
  <c r="M204" i="2" a="1"/>
  <c r="M208" i="2" a="1"/>
  <c r="M212" i="2" a="1"/>
  <c r="M216" i="2" a="1"/>
  <c r="M195" i="2" a="1"/>
  <c r="M215" i="2" a="1"/>
  <c r="M203" i="2" a="1"/>
  <c r="M219" i="2" a="1"/>
  <c r="M207" i="2" a="1"/>
  <c r="M211" i="2" a="1"/>
  <c r="M20" i="2" a="1"/>
  <c r="I21" i="2" a="1"/>
  <c r="I25" i="2" a="1"/>
  <c r="I29" i="2" a="1"/>
  <c r="I33" i="2" a="1"/>
  <c r="I37" i="2" a="1"/>
  <c r="I41" i="2" a="1"/>
  <c r="I45" i="2" a="1"/>
  <c r="I49" i="2" a="1"/>
  <c r="I57" i="2" a="1"/>
  <c r="I61" i="2" a="1"/>
  <c r="I65" i="2" a="1"/>
  <c r="I69" i="2" a="1"/>
  <c r="I73" i="2" a="1"/>
  <c r="I77" i="2" a="1"/>
  <c r="I81" i="2" a="1"/>
  <c r="I85" i="2" a="1"/>
  <c r="I93" i="2" a="1"/>
  <c r="I97" i="2" a="1"/>
  <c r="I101" i="2" a="1"/>
  <c r="I109" i="2" a="1"/>
  <c r="I117" i="2" a="1"/>
  <c r="I125" i="2" a="1"/>
  <c r="I133" i="2" a="1"/>
  <c r="I137" i="2" a="1"/>
  <c r="I149" i="2" a="1"/>
  <c r="I157" i="2" a="1"/>
  <c r="I165" i="2" a="1"/>
  <c r="I177" i="2" a="1"/>
  <c r="I193" i="2" a="1"/>
  <c r="I209" i="2" a="1"/>
  <c r="I217" i="2" a="1"/>
  <c r="I52" i="2" a="1"/>
  <c r="I72" i="2" a="1"/>
  <c r="I88" i="2" a="1"/>
  <c r="I120" i="2" a="1"/>
  <c r="I26" i="2" a="1"/>
  <c r="I30" i="2" a="1"/>
  <c r="I38" i="2" a="1"/>
  <c r="I42" i="2" a="1"/>
  <c r="I50" i="2" a="1"/>
  <c r="I58" i="2" a="1"/>
  <c r="I62" i="2" a="1"/>
  <c r="I66" i="2" a="1"/>
  <c r="I74" i="2" a="1"/>
  <c r="I78" i="2" a="1"/>
  <c r="I82" i="2" a="1"/>
  <c r="I90" i="2" a="1"/>
  <c r="I94" i="2" a="1"/>
  <c r="I98" i="2" a="1"/>
  <c r="I106" i="2" a="1"/>
  <c r="I110" i="2" a="1"/>
  <c r="I114" i="2" a="1"/>
  <c r="I122" i="2" a="1"/>
  <c r="I126" i="2" a="1"/>
  <c r="I130" i="2" a="1"/>
  <c r="I138" i="2" a="1"/>
  <c r="I142" i="2" a="1"/>
  <c r="I146" i="2" a="1"/>
  <c r="I154" i="2" a="1"/>
  <c r="I158" i="2" a="1"/>
  <c r="I162" i="2" a="1"/>
  <c r="I166" i="2" a="1"/>
  <c r="I170" i="2" a="1"/>
  <c r="I178" i="2" a="1"/>
  <c r="I182" i="2" a="1"/>
  <c r="I186" i="2" a="1"/>
  <c r="I190" i="2" a="1"/>
  <c r="I198" i="2" a="1"/>
  <c r="I202" i="2" a="1"/>
  <c r="I206" i="2" a="1"/>
  <c r="I214" i="2" a="1"/>
  <c r="I218" i="2" a="1"/>
  <c r="I135" i="2" a="1"/>
  <c r="I151" i="2" a="1"/>
  <c r="I167" i="2" a="1"/>
  <c r="I175" i="2" a="1"/>
  <c r="I187" i="2" a="1"/>
  <c r="I195" i="2" a="1"/>
  <c r="I211" i="2" a="1"/>
  <c r="I36" i="2" a="1"/>
  <c r="I68" i="2" a="1"/>
  <c r="I22" i="2" a="1"/>
  <c r="I34" i="2" a="1"/>
  <c r="I46" i="2" a="1"/>
  <c r="I54" i="2" a="1"/>
  <c r="I70" i="2" a="1"/>
  <c r="I86" i="2" a="1"/>
  <c r="I102" i="2" a="1"/>
  <c r="I118" i="2" a="1"/>
  <c r="I134" i="2" a="1"/>
  <c r="I150" i="2" a="1"/>
  <c r="I174" i="2" a="1"/>
  <c r="I194" i="2" a="1"/>
  <c r="I210" i="2" a="1"/>
  <c r="I163" i="2" a="1"/>
  <c r="I179" i="2" a="1"/>
  <c r="I191" i="2" a="1"/>
  <c r="I203" i="2" a="1"/>
  <c r="I219" i="2" a="1"/>
  <c r="I40" i="2" a="1"/>
  <c r="I64" i="2" a="1"/>
  <c r="I92" i="2" a="1"/>
  <c r="I116" i="2" a="1"/>
  <c r="I159" i="2" a="1"/>
  <c r="I207" i="2" a="1"/>
  <c r="I28" i="2" a="1"/>
  <c r="I76" i="2" a="1"/>
  <c r="I108" i="2" a="1"/>
  <c r="I23" i="2" a="1"/>
  <c r="I27" i="2" a="1"/>
  <c r="I31" i="2" a="1"/>
  <c r="I35" i="2" a="1"/>
  <c r="I39" i="2" a="1"/>
  <c r="I43" i="2" a="1"/>
  <c r="I47" i="2" a="1"/>
  <c r="I51" i="2" a="1"/>
  <c r="I55" i="2" a="1"/>
  <c r="I59" i="2" a="1"/>
  <c r="I63" i="2" a="1"/>
  <c r="I67" i="2" a="1"/>
  <c r="I71" i="2" a="1"/>
  <c r="I75" i="2" a="1"/>
  <c r="I79" i="2" a="1"/>
  <c r="I83" i="2" a="1"/>
  <c r="I87" i="2" a="1"/>
  <c r="I91" i="2" a="1"/>
  <c r="I95" i="2" a="1"/>
  <c r="I99" i="2" a="1"/>
  <c r="I103" i="2" a="1"/>
  <c r="I107" i="2" a="1"/>
  <c r="I111" i="2" a="1"/>
  <c r="I115" i="2" a="1"/>
  <c r="I119" i="2" a="1"/>
  <c r="I123" i="2" a="1"/>
  <c r="I127" i="2" a="1"/>
  <c r="I131" i="2" a="1"/>
  <c r="I139" i="2" a="1"/>
  <c r="I143" i="2" a="1"/>
  <c r="I147" i="2" a="1"/>
  <c r="I155" i="2" a="1"/>
  <c r="I171" i="2" a="1"/>
  <c r="I183" i="2" a="1"/>
  <c r="I199" i="2" a="1"/>
  <c r="I215" i="2" a="1"/>
  <c r="I44" i="2" a="1"/>
  <c r="I60" i="2" a="1"/>
  <c r="I84" i="2" a="1"/>
  <c r="I112" i="2" a="1"/>
  <c r="I32" i="2" a="1"/>
  <c r="I24" i="2" a="1"/>
  <c r="I53" i="2" a="1"/>
  <c r="I89" i="2" a="1"/>
  <c r="I105" i="2" a="1"/>
  <c r="I113" i="2" a="1"/>
  <c r="I121" i="2" a="1"/>
  <c r="I129" i="2" a="1"/>
  <c r="I141" i="2" a="1"/>
  <c r="I145" i="2" a="1"/>
  <c r="I153" i="2" a="1"/>
  <c r="I161" i="2" a="1"/>
  <c r="I169" i="2" a="1"/>
  <c r="I173" i="2" a="1"/>
  <c r="I181" i="2" a="1"/>
  <c r="I185" i="2" a="1"/>
  <c r="I189" i="2" a="1"/>
  <c r="I197" i="2" a="1"/>
  <c r="I201" i="2" a="1"/>
  <c r="I205" i="2" a="1"/>
  <c r="I213" i="2" a="1"/>
  <c r="I48" i="2" a="1"/>
  <c r="I56" i="2" a="1"/>
  <c r="I80" i="2" a="1"/>
  <c r="I100" i="2" a="1"/>
  <c r="I96" i="2" a="1"/>
  <c r="I148" i="2" a="1"/>
  <c r="I180" i="2" a="1"/>
  <c r="I212" i="2" a="1"/>
  <c r="I200" i="2" a="1"/>
  <c r="I172" i="2" a="1"/>
  <c r="I104" i="2" a="1"/>
  <c r="I152" i="2" a="1"/>
  <c r="I184" i="2" a="1"/>
  <c r="I216" i="2" a="1"/>
  <c r="I168" i="2" a="1"/>
  <c r="I144" i="2" a="1"/>
  <c r="I124" i="2" a="1"/>
  <c r="I156" i="2" a="1"/>
  <c r="I188" i="2" a="1"/>
  <c r="I196" i="2" a="1"/>
  <c r="I140" i="2" a="1"/>
  <c r="I208" i="2" a="1"/>
  <c r="I128" i="2" a="1"/>
  <c r="I160" i="2" a="1"/>
  <c r="I192" i="2" a="1"/>
  <c r="I136" i="2" a="1"/>
  <c r="I204" i="2" a="1"/>
  <c r="I132" i="2" a="1"/>
  <c r="I164" i="2" a="1"/>
  <c r="I176" i="2" a="1"/>
  <c r="I20" i="2" a="1"/>
  <c r="H21" i="2" a="1"/>
  <c r="H25" i="2" a="1"/>
  <c r="H29" i="2" a="1"/>
  <c r="H33" i="2" a="1"/>
  <c r="H37" i="2" a="1"/>
  <c r="H41" i="2" a="1"/>
  <c r="H45" i="2" a="1"/>
  <c r="H49" i="2" a="1"/>
  <c r="H53" i="2" a="1"/>
  <c r="H57" i="2" a="1"/>
  <c r="H61" i="2" a="1"/>
  <c r="H65" i="2" a="1"/>
  <c r="H69" i="2" a="1"/>
  <c r="H73" i="2" a="1"/>
  <c r="H77" i="2" a="1"/>
  <c r="H81" i="2" a="1"/>
  <c r="H85" i="2" a="1"/>
  <c r="H89" i="2" a="1"/>
  <c r="H93" i="2" a="1"/>
  <c r="H97" i="2" a="1"/>
  <c r="H26" i="2" a="1"/>
  <c r="H30" i="2" a="1"/>
  <c r="H38" i="2" a="1"/>
  <c r="H42" i="2" a="1"/>
  <c r="H50" i="2" a="1"/>
  <c r="H54" i="2" a="1"/>
  <c r="H58" i="2" a="1"/>
  <c r="H62" i="2" a="1"/>
  <c r="H66" i="2" a="1"/>
  <c r="H74" i="2" a="1"/>
  <c r="H78" i="2" a="1"/>
  <c r="H82" i="2" a="1"/>
  <c r="H86" i="2" a="1"/>
  <c r="H90" i="2" a="1"/>
  <c r="H94" i="2" a="1"/>
  <c r="H102" i="2" a="1"/>
  <c r="H106" i="2" a="1"/>
  <c r="H110" i="2" a="1"/>
  <c r="H114" i="2" a="1"/>
  <c r="H118" i="2" a="1"/>
  <c r="H122" i="2" a="1"/>
  <c r="H130" i="2" a="1"/>
  <c r="H134" i="2" a="1"/>
  <c r="H138" i="2" a="1"/>
  <c r="H142" i="2" a="1"/>
  <c r="H146" i="2" a="1"/>
  <c r="H150" i="2" a="1"/>
  <c r="H154" i="2" a="1"/>
  <c r="H158" i="2" a="1"/>
  <c r="H162" i="2" a="1"/>
  <c r="H166" i="2" a="1"/>
  <c r="H174" i="2" a="1"/>
  <c r="H178" i="2" a="1"/>
  <c r="H182" i="2" a="1"/>
  <c r="H186" i="2" a="1"/>
  <c r="H190" i="2" a="1"/>
  <c r="H194" i="2" a="1"/>
  <c r="H198" i="2" a="1"/>
  <c r="H202" i="2" a="1"/>
  <c r="H206" i="2" a="1"/>
  <c r="H210" i="2" a="1"/>
  <c r="H214" i="2" a="1"/>
  <c r="H218" i="2" a="1"/>
  <c r="H22" i="2" a="1"/>
  <c r="H34" i="2" a="1"/>
  <c r="H46" i="2" a="1"/>
  <c r="H70" i="2" a="1"/>
  <c r="H98" i="2" a="1"/>
  <c r="H126" i="2" a="1"/>
  <c r="H170" i="2" a="1"/>
  <c r="H23" i="2" a="1"/>
  <c r="H27" i="2" a="1"/>
  <c r="H31" i="2" a="1"/>
  <c r="H35" i="2" a="1"/>
  <c r="H39" i="2" a="1"/>
  <c r="H43" i="2" a="1"/>
  <c r="H47" i="2" a="1"/>
  <c r="H51" i="2" a="1"/>
  <c r="H55" i="2" a="1"/>
  <c r="H59" i="2" a="1"/>
  <c r="H63" i="2" a="1"/>
  <c r="H67" i="2" a="1"/>
  <c r="H71" i="2" a="1"/>
  <c r="H75" i="2" a="1"/>
  <c r="H79" i="2" a="1"/>
  <c r="H83" i="2" a="1"/>
  <c r="H87" i="2" a="1"/>
  <c r="H91" i="2" a="1"/>
  <c r="H95" i="2" a="1"/>
  <c r="H99" i="2" a="1"/>
  <c r="H103" i="2" a="1"/>
  <c r="H107" i="2" a="1"/>
  <c r="H111" i="2" a="1"/>
  <c r="H115" i="2" a="1"/>
  <c r="H119" i="2" a="1"/>
  <c r="H123" i="2" a="1"/>
  <c r="H127" i="2" a="1"/>
  <c r="H131" i="2" a="1"/>
  <c r="H135" i="2" a="1"/>
  <c r="H139" i="2" a="1"/>
  <c r="H143" i="2" a="1"/>
  <c r="H147" i="2" a="1"/>
  <c r="H151" i="2" a="1"/>
  <c r="H44" i="2" a="1"/>
  <c r="H76" i="2" a="1"/>
  <c r="H105" i="2" a="1"/>
  <c r="H113" i="2" a="1"/>
  <c r="H121" i="2" a="1"/>
  <c r="H129" i="2" a="1"/>
  <c r="H137" i="2" a="1"/>
  <c r="H145" i="2" a="1"/>
  <c r="H153" i="2" a="1"/>
  <c r="H160" i="2" a="1"/>
  <c r="H167" i="2" a="1"/>
  <c r="H185" i="2" a="1"/>
  <c r="H192" i="2" a="1"/>
  <c r="H197" i="2" a="1"/>
  <c r="H204" i="2" a="1"/>
  <c r="H209" i="2" a="1"/>
  <c r="H215" i="2" a="1"/>
  <c r="H108" i="2" a="1"/>
  <c r="H124" i="2" a="1"/>
  <c r="H140" i="2" a="1"/>
  <c r="H161" i="2" a="1"/>
  <c r="H175" i="2" a="1"/>
  <c r="H205" i="2" a="1"/>
  <c r="H211" i="2" a="1"/>
  <c r="H80" i="2" a="1"/>
  <c r="H156" i="2" a="1"/>
  <c r="H181" i="2" a="1"/>
  <c r="H200" i="2" a="1"/>
  <c r="H109" i="2" a="1"/>
  <c r="H125" i="2" a="1"/>
  <c r="H141" i="2" a="1"/>
  <c r="H176" i="2" a="1"/>
  <c r="H207" i="2" a="1"/>
  <c r="H217" i="2" a="1"/>
  <c r="H72" i="2" a="1"/>
  <c r="H164" i="2" a="1"/>
  <c r="H189" i="2" a="1"/>
  <c r="H52" i="2" a="1"/>
  <c r="H104" i="2" a="1"/>
  <c r="H120" i="2" a="1"/>
  <c r="H136" i="2" a="1"/>
  <c r="H152" i="2" a="1"/>
  <c r="H184" i="2" a="1"/>
  <c r="H213" i="2" a="1"/>
  <c r="H32" i="2" a="1"/>
  <c r="H165" i="2" a="1"/>
  <c r="H24" i="2" a="1"/>
  <c r="H56" i="2" a="1"/>
  <c r="H88" i="2" a="1"/>
  <c r="H155" i="2" a="1"/>
  <c r="H173" i="2" a="1"/>
  <c r="H180" i="2" a="1"/>
  <c r="H187" i="2" a="1"/>
  <c r="H199" i="2" a="1"/>
  <c r="H68" i="2" a="1"/>
  <c r="H100" i="2" a="1"/>
  <c r="H116" i="2" a="1"/>
  <c r="H132" i="2" a="1"/>
  <c r="H148" i="2" a="1"/>
  <c r="H168" i="2" a="1"/>
  <c r="H193" i="2" a="1"/>
  <c r="H216" i="2" a="1"/>
  <c r="H163" i="2" a="1"/>
  <c r="H188" i="2" a="1"/>
  <c r="H92" i="2" a="1"/>
  <c r="H117" i="2" a="1"/>
  <c r="H133" i="2" a="1"/>
  <c r="H149" i="2" a="1"/>
  <c r="H169" i="2" a="1"/>
  <c r="H195" i="2" a="1"/>
  <c r="H212" i="2" a="1"/>
  <c r="H40" i="2" a="1"/>
  <c r="H157" i="2" a="1"/>
  <c r="H171" i="2" a="1"/>
  <c r="H201" i="2" a="1"/>
  <c r="H84" i="2" a="1"/>
  <c r="H112" i="2" a="1"/>
  <c r="H128" i="2" a="1"/>
  <c r="H144" i="2" a="1"/>
  <c r="H159" i="2" a="1"/>
  <c r="H177" i="2" a="1"/>
  <c r="H191" i="2" a="1"/>
  <c r="H219" i="2" a="1"/>
  <c r="H96" i="2" a="1"/>
  <c r="H172" i="2" a="1"/>
  <c r="H179" i="2" a="1"/>
  <c r="H36" i="2" a="1"/>
  <c r="H208" i="2" a="1"/>
  <c r="H48" i="2" a="1"/>
  <c r="H203" i="2" a="1"/>
  <c r="H64" i="2" a="1"/>
  <c r="H28" i="2" a="1"/>
  <c r="H60" i="2" a="1"/>
  <c r="H101" i="2" a="1"/>
  <c r="H183" i="2" a="1"/>
  <c r="H196" i="2" a="1"/>
  <c r="H20" i="2" a="1"/>
  <c r="F21" i="2" a="1"/>
  <c r="F25" i="2" a="1"/>
  <c r="F29" i="2" a="1"/>
  <c r="F33" i="2" a="1"/>
  <c r="F37" i="2" a="1"/>
  <c r="F41" i="2" a="1"/>
  <c r="F45" i="2" a="1"/>
  <c r="F49" i="2" a="1"/>
  <c r="F53" i="2" a="1"/>
  <c r="F57" i="2" a="1"/>
  <c r="F61" i="2" a="1"/>
  <c r="F65" i="2" a="1"/>
  <c r="F69" i="2" a="1"/>
  <c r="F73" i="2" a="1"/>
  <c r="F77" i="2" a="1"/>
  <c r="F81" i="2" a="1"/>
  <c r="F85" i="2" a="1"/>
  <c r="F89" i="2" a="1"/>
  <c r="F93" i="2" a="1"/>
  <c r="F97" i="2" a="1"/>
  <c r="F101" i="2" a="1"/>
  <c r="F105" i="2" a="1"/>
  <c r="F109" i="2" a="1"/>
  <c r="F113" i="2" a="1"/>
  <c r="F117" i="2" a="1"/>
  <c r="F121" i="2" a="1"/>
  <c r="F125" i="2" a="1"/>
  <c r="F129" i="2" a="1"/>
  <c r="F133" i="2" a="1"/>
  <c r="F137" i="2" a="1"/>
  <c r="F141" i="2" a="1"/>
  <c r="F145" i="2" a="1"/>
  <c r="F149" i="2" a="1"/>
  <c r="F153" i="2" a="1"/>
  <c r="F157" i="2" a="1"/>
  <c r="F161" i="2" a="1"/>
  <c r="F165" i="2" a="1"/>
  <c r="F169" i="2" a="1"/>
  <c r="F173" i="2" a="1"/>
  <c r="F177" i="2" a="1"/>
  <c r="F181" i="2" a="1"/>
  <c r="F185" i="2" a="1"/>
  <c r="F189" i="2" a="1"/>
  <c r="F193" i="2" a="1"/>
  <c r="F197" i="2" a="1"/>
  <c r="F201" i="2" a="1"/>
  <c r="F205" i="2" a="1"/>
  <c r="F209" i="2" a="1"/>
  <c r="F213" i="2" a="1"/>
  <c r="F217" i="2" a="1"/>
  <c r="F90" i="2" a="1"/>
  <c r="F106" i="2" a="1"/>
  <c r="F114" i="2" a="1"/>
  <c r="F126" i="2" a="1"/>
  <c r="F138" i="2" a="1"/>
  <c r="F146" i="2" a="1"/>
  <c r="F154" i="2" a="1"/>
  <c r="F162" i="2" a="1"/>
  <c r="F174" i="2" a="1"/>
  <c r="F182" i="2" a="1"/>
  <c r="F194" i="2" a="1"/>
  <c r="F206" i="2" a="1"/>
  <c r="F218" i="2" a="1"/>
  <c r="F107" i="2" a="1"/>
  <c r="F135" i="2" a="1"/>
  <c r="F155" i="2" a="1"/>
  <c r="F167" i="2" a="1"/>
  <c r="F179" i="2" a="1"/>
  <c r="F191" i="2" a="1"/>
  <c r="F203" i="2" a="1"/>
  <c r="F219" i="2" a="1"/>
  <c r="F24" i="2" a="1"/>
  <c r="F48" i="2" a="1"/>
  <c r="F56" i="2" a="1"/>
  <c r="F68" i="2" a="1"/>
  <c r="F84" i="2" a="1"/>
  <c r="F92" i="2" a="1"/>
  <c r="F108" i="2" a="1"/>
  <c r="F124" i="2" a="1"/>
  <c r="F140" i="2" a="1"/>
  <c r="F152" i="2" a="1"/>
  <c r="F168" i="2" a="1"/>
  <c r="F176" i="2" a="1"/>
  <c r="F192" i="2" a="1"/>
  <c r="F82" i="2" a="1"/>
  <c r="F118" i="2" a="1"/>
  <c r="F134" i="2" a="1"/>
  <c r="F150" i="2" a="1"/>
  <c r="F166" i="2" a="1"/>
  <c r="F178" i="2" a="1"/>
  <c r="F190" i="2" a="1"/>
  <c r="F202" i="2" a="1"/>
  <c r="F214" i="2" a="1"/>
  <c r="F103" i="2" a="1"/>
  <c r="F143" i="2" a="1"/>
  <c r="F163" i="2" a="1"/>
  <c r="F183" i="2" a="1"/>
  <c r="F195" i="2" a="1"/>
  <c r="F211" i="2" a="1"/>
  <c r="F32" i="2" a="1"/>
  <c r="F44" i="2" a="1"/>
  <c r="F60" i="2" a="1"/>
  <c r="F76" i="2" a="1"/>
  <c r="F88" i="2" a="1"/>
  <c r="F100" i="2" a="1"/>
  <c r="F112" i="2" a="1"/>
  <c r="F120" i="2" a="1"/>
  <c r="F136" i="2" a="1"/>
  <c r="F144" i="2" a="1"/>
  <c r="F160" i="2" a="1"/>
  <c r="F172" i="2" a="1"/>
  <c r="F22" i="2" a="1"/>
  <c r="F26" i="2" a="1"/>
  <c r="F30" i="2" a="1"/>
  <c r="F34" i="2" a="1"/>
  <c r="F38" i="2" a="1"/>
  <c r="F42" i="2" a="1"/>
  <c r="F46" i="2" a="1"/>
  <c r="F50" i="2" a="1"/>
  <c r="F54" i="2" a="1"/>
  <c r="F58" i="2" a="1"/>
  <c r="F62" i="2" a="1"/>
  <c r="F66" i="2" a="1"/>
  <c r="F70" i="2" a="1"/>
  <c r="F74" i="2" a="1"/>
  <c r="F78" i="2" a="1"/>
  <c r="F86" i="2" a="1"/>
  <c r="F94" i="2" a="1"/>
  <c r="F98" i="2" a="1"/>
  <c r="F102" i="2" a="1"/>
  <c r="F110" i="2" a="1"/>
  <c r="F122" i="2" a="1"/>
  <c r="F130" i="2" a="1"/>
  <c r="F142" i="2" a="1"/>
  <c r="F158" i="2" a="1"/>
  <c r="F170" i="2" a="1"/>
  <c r="F186" i="2" a="1"/>
  <c r="F198" i="2" a="1"/>
  <c r="F210" i="2" a="1"/>
  <c r="F111" i="2" a="1"/>
  <c r="F131" i="2" a="1"/>
  <c r="F151" i="2" a="1"/>
  <c r="F159" i="2" a="1"/>
  <c r="F171" i="2" a="1"/>
  <c r="F187" i="2" a="1"/>
  <c r="F199" i="2" a="1"/>
  <c r="F207" i="2" a="1"/>
  <c r="F28" i="2" a="1"/>
  <c r="F40" i="2" a="1"/>
  <c r="F52" i="2" a="1"/>
  <c r="F64" i="2" a="1"/>
  <c r="F80" i="2" a="1"/>
  <c r="F104" i="2" a="1"/>
  <c r="F116" i="2" a="1"/>
  <c r="F132" i="2" a="1"/>
  <c r="F148" i="2" a="1"/>
  <c r="F164" i="2" a="1"/>
  <c r="F180" i="2" a="1"/>
  <c r="F196" i="2" a="1"/>
  <c r="F23" i="2" a="1"/>
  <c r="F27" i="2" a="1"/>
  <c r="F31" i="2" a="1"/>
  <c r="F35" i="2" a="1"/>
  <c r="F39" i="2" a="1"/>
  <c r="F43" i="2" a="1"/>
  <c r="F47" i="2" a="1"/>
  <c r="F51" i="2" a="1"/>
  <c r="F55" i="2" a="1"/>
  <c r="F59" i="2" a="1"/>
  <c r="F63" i="2" a="1"/>
  <c r="F67" i="2" a="1"/>
  <c r="F71" i="2" a="1"/>
  <c r="F75" i="2" a="1"/>
  <c r="F79" i="2" a="1"/>
  <c r="F83" i="2" a="1"/>
  <c r="F87" i="2" a="1"/>
  <c r="F91" i="2" a="1"/>
  <c r="F95" i="2" a="1"/>
  <c r="F99" i="2" a="1"/>
  <c r="F115" i="2" a="1"/>
  <c r="F119" i="2" a="1"/>
  <c r="F123" i="2" a="1"/>
  <c r="F127" i="2" a="1"/>
  <c r="F139" i="2" a="1"/>
  <c r="F147" i="2" a="1"/>
  <c r="F175" i="2" a="1"/>
  <c r="F215" i="2" a="1"/>
  <c r="F36" i="2" a="1"/>
  <c r="F72" i="2" a="1"/>
  <c r="F96" i="2" a="1"/>
  <c r="F128" i="2" a="1"/>
  <c r="F156" i="2" a="1"/>
  <c r="F184" i="2" a="1"/>
  <c r="F188" i="2" a="1"/>
  <c r="F212" i="2" a="1"/>
  <c r="F200" i="2" a="1"/>
  <c r="F204" i="2" a="1"/>
  <c r="F208" i="2" a="1"/>
  <c r="F216" i="2" a="1"/>
  <c r="F20" i="2" a="1"/>
  <c r="E21" i="2" a="1"/>
  <c r="E25" i="2" a="1"/>
  <c r="E29" i="2" a="1"/>
  <c r="E33" i="2" a="1"/>
  <c r="E37" i="2" a="1"/>
  <c r="E41" i="2" a="1"/>
  <c r="E45" i="2" a="1"/>
  <c r="E49" i="2" a="1"/>
  <c r="E53" i="2" a="1"/>
  <c r="E57" i="2" a="1"/>
  <c r="E61" i="2" a="1"/>
  <c r="E65" i="2" a="1"/>
  <c r="E69" i="2" a="1"/>
  <c r="E73" i="2" a="1"/>
  <c r="E77" i="2" a="1"/>
  <c r="E81" i="2" a="1"/>
  <c r="E85" i="2" a="1"/>
  <c r="E89" i="2" a="1"/>
  <c r="E93" i="2" a="1"/>
  <c r="E97" i="2" a="1"/>
  <c r="E101" i="2" a="1"/>
  <c r="E105" i="2" a="1"/>
  <c r="E109" i="2" a="1"/>
  <c r="E113" i="2" a="1"/>
  <c r="E117" i="2" a="1"/>
  <c r="E121" i="2" a="1"/>
  <c r="E125" i="2" a="1"/>
  <c r="E129" i="2" a="1"/>
  <c r="E133" i="2" a="1"/>
  <c r="E137" i="2" a="1"/>
  <c r="E141" i="2" a="1"/>
  <c r="E145" i="2" a="1"/>
  <c r="E149" i="2" a="1"/>
  <c r="E153" i="2" a="1"/>
  <c r="E157" i="2" a="1"/>
  <c r="E161" i="2" a="1"/>
  <c r="E165" i="2" a="1"/>
  <c r="E169" i="2" a="1"/>
  <c r="E173" i="2" a="1"/>
  <c r="E177" i="2" a="1"/>
  <c r="E181" i="2" a="1"/>
  <c r="E185" i="2" a="1"/>
  <c r="E189" i="2" a="1"/>
  <c r="E193" i="2" a="1"/>
  <c r="E197" i="2" a="1"/>
  <c r="E201" i="2" a="1"/>
  <c r="E205" i="2" a="1"/>
  <c r="E209" i="2" a="1"/>
  <c r="E213" i="2" a="1"/>
  <c r="E217" i="2" a="1"/>
  <c r="E155" i="2" a="1"/>
  <c r="E183" i="2" a="1"/>
  <c r="E199" i="2" a="1"/>
  <c r="E36" i="2" a="1"/>
  <c r="E60" i="2" a="1"/>
  <c r="E88" i="2" a="1"/>
  <c r="E112" i="2" a="1"/>
  <c r="E152" i="2" a="1"/>
  <c r="E176" i="2" a="1"/>
  <c r="E204" i="2" a="1"/>
  <c r="E66" i="2" a="1"/>
  <c r="E102" i="2" a="1"/>
  <c r="E114" i="2" a="1"/>
  <c r="E122" i="2" a="1"/>
  <c r="E130" i="2" a="1"/>
  <c r="E138" i="2" a="1"/>
  <c r="E142" i="2" a="1"/>
  <c r="E146" i="2" a="1"/>
  <c r="E154" i="2" a="1"/>
  <c r="E158" i="2" a="1"/>
  <c r="E166" i="2" a="1"/>
  <c r="E174" i="2" a="1"/>
  <c r="E182" i="2" a="1"/>
  <c r="E186" i="2" a="1"/>
  <c r="E194" i="2" a="1"/>
  <c r="E198" i="2" a="1"/>
  <c r="E206" i="2" a="1"/>
  <c r="E210" i="2" a="1"/>
  <c r="E218" i="2" a="1"/>
  <c r="E91" i="2" a="1"/>
  <c r="E131" i="2" a="1"/>
  <c r="E147" i="2" a="1"/>
  <c r="E159" i="2" a="1"/>
  <c r="E171" i="2" a="1"/>
  <c r="E179" i="2" a="1"/>
  <c r="E195" i="2" a="1"/>
  <c r="E215" i="2" a="1"/>
  <c r="E28" i="2" a="1"/>
  <c r="E44" i="2" a="1"/>
  <c r="E48" i="2" a="1"/>
  <c r="E52" i="2" a="1"/>
  <c r="E56" i="2" a="1"/>
  <c r="E64" i="2" a="1"/>
  <c r="E84" i="2" a="1"/>
  <c r="E104" i="2" a="1"/>
  <c r="E120" i="2" a="1"/>
  <c r="E132" i="2" a="1"/>
  <c r="E144" i="2" a="1"/>
  <c r="E164" i="2" a="1"/>
  <c r="E180" i="2" a="1"/>
  <c r="E196" i="2" a="1"/>
  <c r="E212" i="2" a="1"/>
  <c r="E22" i="2" a="1"/>
  <c r="E26" i="2" a="1"/>
  <c r="E30" i="2" a="1"/>
  <c r="E34" i="2" a="1"/>
  <c r="E38" i="2" a="1"/>
  <c r="E42" i="2" a="1"/>
  <c r="E46" i="2" a="1"/>
  <c r="E50" i="2" a="1"/>
  <c r="E54" i="2" a="1"/>
  <c r="E58" i="2" a="1"/>
  <c r="E62" i="2" a="1"/>
  <c r="E70" i="2" a="1"/>
  <c r="E74" i="2" a="1"/>
  <c r="E78" i="2" a="1"/>
  <c r="E82" i="2" a="1"/>
  <c r="E86" i="2" a="1"/>
  <c r="E90" i="2" a="1"/>
  <c r="E94" i="2" a="1"/>
  <c r="E98" i="2" a="1"/>
  <c r="E106" i="2" a="1"/>
  <c r="E110" i="2" a="1"/>
  <c r="E118" i="2" a="1"/>
  <c r="E126" i="2" a="1"/>
  <c r="E134" i="2" a="1"/>
  <c r="E150" i="2" a="1"/>
  <c r="E162" i="2" a="1"/>
  <c r="E170" i="2" a="1"/>
  <c r="E178" i="2" a="1"/>
  <c r="E190" i="2" a="1"/>
  <c r="E202" i="2" a="1"/>
  <c r="E214" i="2" a="1"/>
  <c r="E95" i="2" a="1"/>
  <c r="E115" i="2" a="1"/>
  <c r="E127" i="2" a="1"/>
  <c r="E139" i="2" a="1"/>
  <c r="E163" i="2" a="1"/>
  <c r="E187" i="2" a="1"/>
  <c r="E203" i="2" a="1"/>
  <c r="E24" i="2" a="1"/>
  <c r="E76" i="2" a="1"/>
  <c r="E100" i="2" a="1"/>
  <c r="E124" i="2" a="1"/>
  <c r="E148" i="2" a="1"/>
  <c r="E172" i="2" a="1"/>
  <c r="E200" i="2" a="1"/>
  <c r="E79" i="2" a="1"/>
  <c r="E123" i="2" a="1"/>
  <c r="E143" i="2" a="1"/>
  <c r="E167" i="2" a="1"/>
  <c r="E191" i="2" a="1"/>
  <c r="E207" i="2" a="1"/>
  <c r="E219" i="2" a="1"/>
  <c r="E32" i="2" a="1"/>
  <c r="E72" i="2" a="1"/>
  <c r="E96" i="2" a="1"/>
  <c r="E116" i="2" a="1"/>
  <c r="E140" i="2" a="1"/>
  <c r="E168" i="2" a="1"/>
  <c r="E192" i="2" a="1"/>
  <c r="E216" i="2" a="1"/>
  <c r="E23" i="2" a="1"/>
  <c r="E27" i="2" a="1"/>
  <c r="E31" i="2" a="1"/>
  <c r="E35" i="2" a="1"/>
  <c r="E39" i="2" a="1"/>
  <c r="E43" i="2" a="1"/>
  <c r="E47" i="2" a="1"/>
  <c r="E51" i="2" a="1"/>
  <c r="E55" i="2" a="1"/>
  <c r="E59" i="2" a="1"/>
  <c r="E63" i="2" a="1"/>
  <c r="E67" i="2" a="1"/>
  <c r="E71" i="2" a="1"/>
  <c r="E75" i="2" a="1"/>
  <c r="E83" i="2" a="1"/>
  <c r="E87" i="2" a="1"/>
  <c r="E99" i="2" a="1"/>
  <c r="E103" i="2" a="1"/>
  <c r="E107" i="2" a="1"/>
  <c r="E111" i="2" a="1"/>
  <c r="E119" i="2" a="1"/>
  <c r="E135" i="2" a="1"/>
  <c r="E151" i="2" a="1"/>
  <c r="E175" i="2" a="1"/>
  <c r="E211" i="2" a="1"/>
  <c r="E40" i="2" a="1"/>
  <c r="E68" i="2" a="1"/>
  <c r="E80" i="2" a="1"/>
  <c r="E92" i="2" a="1"/>
  <c r="E108" i="2" a="1"/>
  <c r="E128" i="2" a="1"/>
  <c r="E136" i="2" a="1"/>
  <c r="E160" i="2" a="1"/>
  <c r="E184" i="2" a="1"/>
  <c r="E208" i="2" a="1"/>
  <c r="E156" i="2" a="1"/>
  <c r="E188" i="2" a="1"/>
  <c r="E20" i="2" a="1"/>
  <c r="G8" i="21" l="1" a="1"/>
  <c r="G8" i="21" s="1"/>
  <c r="F8" i="21"/>
  <c r="E9" i="21" s="1"/>
  <c r="U8" i="21" a="1"/>
  <c r="U8" i="21" s="1"/>
  <c r="T8" i="21"/>
  <c r="S9" i="21" s="1"/>
  <c r="M7" i="21"/>
  <c r="L8" i="21" s="1"/>
  <c r="M211" i="2"/>
  <c r="M207" i="2"/>
  <c r="M219" i="2"/>
  <c r="M203" i="2"/>
  <c r="M215" i="2"/>
  <c r="M195" i="2"/>
  <c r="M216" i="2"/>
  <c r="M212" i="2"/>
  <c r="M208" i="2"/>
  <c r="M204" i="2"/>
  <c r="M200" i="2"/>
  <c r="M196" i="2"/>
  <c r="M192" i="2"/>
  <c r="M188" i="2"/>
  <c r="M184" i="2"/>
  <c r="M180" i="2"/>
  <c r="M176" i="2"/>
  <c r="M172" i="2"/>
  <c r="M168" i="2"/>
  <c r="M164" i="2"/>
  <c r="M160" i="2"/>
  <c r="M156" i="2"/>
  <c r="M152" i="2"/>
  <c r="M148" i="2"/>
  <c r="M144" i="2"/>
  <c r="M140" i="2"/>
  <c r="M136" i="2"/>
  <c r="M132" i="2"/>
  <c r="M128" i="2"/>
  <c r="M124" i="2"/>
  <c r="M120" i="2"/>
  <c r="M116" i="2"/>
  <c r="M112" i="2"/>
  <c r="M108" i="2"/>
  <c r="M104" i="2"/>
  <c r="M100" i="2"/>
  <c r="M96" i="2"/>
  <c r="M92" i="2"/>
  <c r="M88" i="2"/>
  <c r="M84" i="2"/>
  <c r="M80" i="2"/>
  <c r="M76" i="2"/>
  <c r="M72" i="2"/>
  <c r="M68" i="2"/>
  <c r="M64" i="2"/>
  <c r="M60" i="2"/>
  <c r="M56" i="2"/>
  <c r="M52" i="2"/>
  <c r="M48" i="2"/>
  <c r="M44" i="2"/>
  <c r="M40" i="2"/>
  <c r="M36" i="2"/>
  <c r="M32" i="2"/>
  <c r="M28" i="2"/>
  <c r="M24" i="2"/>
  <c r="M187" i="2"/>
  <c r="M175" i="2"/>
  <c r="M171" i="2"/>
  <c r="M167" i="2"/>
  <c r="M163" i="2"/>
  <c r="M159" i="2"/>
  <c r="M155" i="2"/>
  <c r="M151" i="2"/>
  <c r="M147" i="2"/>
  <c r="M143" i="2"/>
  <c r="M139" i="2"/>
  <c r="M135" i="2"/>
  <c r="M131" i="2"/>
  <c r="M127" i="2"/>
  <c r="M123" i="2"/>
  <c r="M119" i="2"/>
  <c r="M115" i="2"/>
  <c r="M111" i="2"/>
  <c r="M107" i="2"/>
  <c r="M103" i="2"/>
  <c r="M99" i="2"/>
  <c r="M95" i="2"/>
  <c r="M91" i="2"/>
  <c r="M87" i="2"/>
  <c r="M83" i="2"/>
  <c r="M79" i="2"/>
  <c r="M75" i="2"/>
  <c r="M71" i="2"/>
  <c r="M67" i="2"/>
  <c r="M63" i="2"/>
  <c r="M59" i="2"/>
  <c r="M55" i="2"/>
  <c r="M51" i="2"/>
  <c r="M47" i="2"/>
  <c r="M43" i="2"/>
  <c r="M39" i="2"/>
  <c r="M35" i="2"/>
  <c r="M31" i="2"/>
  <c r="M27" i="2"/>
  <c r="M23" i="2"/>
  <c r="M158" i="2"/>
  <c r="M118" i="2"/>
  <c r="M106" i="2"/>
  <c r="M90" i="2"/>
  <c r="M82" i="2"/>
  <c r="M74" i="2"/>
  <c r="M66" i="2"/>
  <c r="M62" i="2"/>
  <c r="M54" i="2"/>
  <c r="M50" i="2"/>
  <c r="M46" i="2"/>
  <c r="M42" i="2"/>
  <c r="M38" i="2"/>
  <c r="M34" i="2"/>
  <c r="M30" i="2"/>
  <c r="M22" i="2"/>
  <c r="M183" i="2"/>
  <c r="M214" i="2"/>
  <c r="M206" i="2"/>
  <c r="M198" i="2"/>
  <c r="M190" i="2"/>
  <c r="M182" i="2"/>
  <c r="M174" i="2"/>
  <c r="M166" i="2"/>
  <c r="M154" i="2"/>
  <c r="M146" i="2"/>
  <c r="M138" i="2"/>
  <c r="M130" i="2"/>
  <c r="M122" i="2"/>
  <c r="M114" i="2"/>
  <c r="M110" i="2"/>
  <c r="M98" i="2"/>
  <c r="M94" i="2"/>
  <c r="M86" i="2"/>
  <c r="M78" i="2"/>
  <c r="M70" i="2"/>
  <c r="M58" i="2"/>
  <c r="M26" i="2"/>
  <c r="M199" i="2"/>
  <c r="M191" i="2"/>
  <c r="M179" i="2"/>
  <c r="M218" i="2"/>
  <c r="M210" i="2"/>
  <c r="M202" i="2"/>
  <c r="M194" i="2"/>
  <c r="M186" i="2"/>
  <c r="M178" i="2"/>
  <c r="M170" i="2"/>
  <c r="M162" i="2"/>
  <c r="M150" i="2"/>
  <c r="M142" i="2"/>
  <c r="M134" i="2"/>
  <c r="M126" i="2"/>
  <c r="M102" i="2"/>
  <c r="M217" i="2"/>
  <c r="M213" i="2"/>
  <c r="M209" i="2"/>
  <c r="M205" i="2"/>
  <c r="M201" i="2"/>
  <c r="M197" i="2"/>
  <c r="M193" i="2"/>
  <c r="M189" i="2"/>
  <c r="M185" i="2"/>
  <c r="M181" i="2"/>
  <c r="M177" i="2"/>
  <c r="M173" i="2"/>
  <c r="M169" i="2"/>
  <c r="M165" i="2"/>
  <c r="M161" i="2"/>
  <c r="M157" i="2"/>
  <c r="M153" i="2"/>
  <c r="M149" i="2"/>
  <c r="M145" i="2"/>
  <c r="M141" i="2"/>
  <c r="M137" i="2"/>
  <c r="M133" i="2"/>
  <c r="M129" i="2"/>
  <c r="M125" i="2"/>
  <c r="M121" i="2"/>
  <c r="M117" i="2"/>
  <c r="M113" i="2"/>
  <c r="M109" i="2"/>
  <c r="M105" i="2"/>
  <c r="M101" i="2"/>
  <c r="M97" i="2"/>
  <c r="M93" i="2"/>
  <c r="M89" i="2"/>
  <c r="M85" i="2"/>
  <c r="M81" i="2"/>
  <c r="M77" i="2"/>
  <c r="M73" i="2"/>
  <c r="M69" i="2"/>
  <c r="M65" i="2"/>
  <c r="M61" i="2"/>
  <c r="M57" i="2"/>
  <c r="M53" i="2"/>
  <c r="M49" i="2"/>
  <c r="M45" i="2"/>
  <c r="M41" i="2"/>
  <c r="M37" i="2"/>
  <c r="M33" i="2"/>
  <c r="M29" i="2"/>
  <c r="M25" i="2"/>
  <c r="M21" i="2"/>
  <c r="M20" i="2"/>
  <c r="I176" i="2"/>
  <c r="I164" i="2"/>
  <c r="I132" i="2"/>
  <c r="I204" i="2"/>
  <c r="I136" i="2"/>
  <c r="I192" i="2"/>
  <c r="I160" i="2"/>
  <c r="I128" i="2"/>
  <c r="I208" i="2"/>
  <c r="I140" i="2"/>
  <c r="I196" i="2"/>
  <c r="I188" i="2"/>
  <c r="I156" i="2"/>
  <c r="I124" i="2"/>
  <c r="I144" i="2"/>
  <c r="I168" i="2"/>
  <c r="I216" i="2"/>
  <c r="I184" i="2"/>
  <c r="I152" i="2"/>
  <c r="I104" i="2"/>
  <c r="I172" i="2"/>
  <c r="I200" i="2"/>
  <c r="I212" i="2"/>
  <c r="I180" i="2"/>
  <c r="I148" i="2"/>
  <c r="I96" i="2"/>
  <c r="I100" i="2"/>
  <c r="I80" i="2"/>
  <c r="I56" i="2"/>
  <c r="I48" i="2"/>
  <c r="I213" i="2"/>
  <c r="I205" i="2"/>
  <c r="I201" i="2"/>
  <c r="I197" i="2"/>
  <c r="I189" i="2"/>
  <c r="I185" i="2"/>
  <c r="I181" i="2"/>
  <c r="I173" i="2"/>
  <c r="I169" i="2"/>
  <c r="I161" i="2"/>
  <c r="I153" i="2"/>
  <c r="I145" i="2"/>
  <c r="I141" i="2"/>
  <c r="I129" i="2"/>
  <c r="I121" i="2"/>
  <c r="I113" i="2"/>
  <c r="I105" i="2"/>
  <c r="I89" i="2"/>
  <c r="I53" i="2"/>
  <c r="I24" i="2"/>
  <c r="I32" i="2"/>
  <c r="I112" i="2"/>
  <c r="I84" i="2"/>
  <c r="I60" i="2"/>
  <c r="I44" i="2"/>
  <c r="I215" i="2"/>
  <c r="I199" i="2"/>
  <c r="I183" i="2"/>
  <c r="I171" i="2"/>
  <c r="I155" i="2"/>
  <c r="I147" i="2"/>
  <c r="I143" i="2"/>
  <c r="I139" i="2"/>
  <c r="I131" i="2"/>
  <c r="I127" i="2"/>
  <c r="I123" i="2"/>
  <c r="I119" i="2"/>
  <c r="I115" i="2"/>
  <c r="I111" i="2"/>
  <c r="I107" i="2"/>
  <c r="I103" i="2"/>
  <c r="I99" i="2"/>
  <c r="I95" i="2"/>
  <c r="I91" i="2"/>
  <c r="I87" i="2"/>
  <c r="I83" i="2"/>
  <c r="I79" i="2"/>
  <c r="I75" i="2"/>
  <c r="I71" i="2"/>
  <c r="I67" i="2"/>
  <c r="I63" i="2"/>
  <c r="I59" i="2"/>
  <c r="I55" i="2"/>
  <c r="I51" i="2"/>
  <c r="I47" i="2"/>
  <c r="I43" i="2"/>
  <c r="I39" i="2"/>
  <c r="I35" i="2"/>
  <c r="I31" i="2"/>
  <c r="I27" i="2"/>
  <c r="I23" i="2"/>
  <c r="I108" i="2"/>
  <c r="I76" i="2"/>
  <c r="I28" i="2"/>
  <c r="I207" i="2"/>
  <c r="I159" i="2"/>
  <c r="I116" i="2"/>
  <c r="I92" i="2"/>
  <c r="I64" i="2"/>
  <c r="I40" i="2"/>
  <c r="I219" i="2"/>
  <c r="I203" i="2"/>
  <c r="I191" i="2"/>
  <c r="I179" i="2"/>
  <c r="I163" i="2"/>
  <c r="I210" i="2"/>
  <c r="I194" i="2"/>
  <c r="I174" i="2"/>
  <c r="I150" i="2"/>
  <c r="I134" i="2"/>
  <c r="I118" i="2"/>
  <c r="I102" i="2"/>
  <c r="I86" i="2"/>
  <c r="I70" i="2"/>
  <c r="I54" i="2"/>
  <c r="I46" i="2"/>
  <c r="I34" i="2"/>
  <c r="I22" i="2"/>
  <c r="I68" i="2"/>
  <c r="I36" i="2"/>
  <c r="I211" i="2"/>
  <c r="I195" i="2"/>
  <c r="I187" i="2"/>
  <c r="I175" i="2"/>
  <c r="I167" i="2"/>
  <c r="I151" i="2"/>
  <c r="I135" i="2"/>
  <c r="I218" i="2"/>
  <c r="I214" i="2"/>
  <c r="I206" i="2"/>
  <c r="I202" i="2"/>
  <c r="I198" i="2"/>
  <c r="I190" i="2"/>
  <c r="I186" i="2"/>
  <c r="I182" i="2"/>
  <c r="I178" i="2"/>
  <c r="I170" i="2"/>
  <c r="I166" i="2"/>
  <c r="I162" i="2"/>
  <c r="I158" i="2"/>
  <c r="I154" i="2"/>
  <c r="I146" i="2"/>
  <c r="I142" i="2"/>
  <c r="I138" i="2"/>
  <c r="I130" i="2"/>
  <c r="I126" i="2"/>
  <c r="I122" i="2"/>
  <c r="I114" i="2"/>
  <c r="I110" i="2"/>
  <c r="I106" i="2"/>
  <c r="I98" i="2"/>
  <c r="I94" i="2"/>
  <c r="I90" i="2"/>
  <c r="I82" i="2"/>
  <c r="I78" i="2"/>
  <c r="I74" i="2"/>
  <c r="I66" i="2"/>
  <c r="I62" i="2"/>
  <c r="I58" i="2"/>
  <c r="I50" i="2"/>
  <c r="I42" i="2"/>
  <c r="I38" i="2"/>
  <c r="I30" i="2"/>
  <c r="I26" i="2"/>
  <c r="I120" i="2"/>
  <c r="I88" i="2"/>
  <c r="I72" i="2"/>
  <c r="I52" i="2"/>
  <c r="I217" i="2"/>
  <c r="I209" i="2"/>
  <c r="I193" i="2"/>
  <c r="I177" i="2"/>
  <c r="I165" i="2"/>
  <c r="I157" i="2"/>
  <c r="I149" i="2"/>
  <c r="I137" i="2"/>
  <c r="I133" i="2"/>
  <c r="I125" i="2"/>
  <c r="I117" i="2"/>
  <c r="I109" i="2"/>
  <c r="I101" i="2"/>
  <c r="I97" i="2"/>
  <c r="I93" i="2"/>
  <c r="I85" i="2"/>
  <c r="I81" i="2"/>
  <c r="I77" i="2"/>
  <c r="I73" i="2"/>
  <c r="I69" i="2"/>
  <c r="I65" i="2"/>
  <c r="I61" i="2"/>
  <c r="I57" i="2"/>
  <c r="I49" i="2"/>
  <c r="I45" i="2"/>
  <c r="I41" i="2"/>
  <c r="I37" i="2"/>
  <c r="I33" i="2"/>
  <c r="I29" i="2"/>
  <c r="I25" i="2"/>
  <c r="I21" i="2"/>
  <c r="I20" i="2"/>
  <c r="H196" i="2"/>
  <c r="H183" i="2"/>
  <c r="H101" i="2"/>
  <c r="H60" i="2"/>
  <c r="H28" i="2"/>
  <c r="H64" i="2"/>
  <c r="H203" i="2"/>
  <c r="H48" i="2"/>
  <c r="H208" i="2"/>
  <c r="H36" i="2"/>
  <c r="H179" i="2"/>
  <c r="H172" i="2"/>
  <c r="H96" i="2"/>
  <c r="H219" i="2"/>
  <c r="H191" i="2"/>
  <c r="H177" i="2"/>
  <c r="H159" i="2"/>
  <c r="H144" i="2"/>
  <c r="H128" i="2"/>
  <c r="H112" i="2"/>
  <c r="H84" i="2"/>
  <c r="H201" i="2"/>
  <c r="H171" i="2"/>
  <c r="H157" i="2"/>
  <c r="H40" i="2"/>
  <c r="H212" i="2"/>
  <c r="H195" i="2"/>
  <c r="H169" i="2"/>
  <c r="H149" i="2"/>
  <c r="H133" i="2"/>
  <c r="H117" i="2"/>
  <c r="H92" i="2"/>
  <c r="H188" i="2"/>
  <c r="H163" i="2"/>
  <c r="H216" i="2"/>
  <c r="H193" i="2"/>
  <c r="H168" i="2"/>
  <c r="H148" i="2"/>
  <c r="H132" i="2"/>
  <c r="H116" i="2"/>
  <c r="H100" i="2"/>
  <c r="H68" i="2"/>
  <c r="H199" i="2"/>
  <c r="H187" i="2"/>
  <c r="H180" i="2"/>
  <c r="H173" i="2"/>
  <c r="H155" i="2"/>
  <c r="H88" i="2"/>
  <c r="H56" i="2"/>
  <c r="H24" i="2"/>
  <c r="H165" i="2"/>
  <c r="H32" i="2"/>
  <c r="H213" i="2"/>
  <c r="H184" i="2"/>
  <c r="H152" i="2"/>
  <c r="H136" i="2"/>
  <c r="H120" i="2"/>
  <c r="H104" i="2"/>
  <c r="H52" i="2"/>
  <c r="H189" i="2"/>
  <c r="H164" i="2"/>
  <c r="H72" i="2"/>
  <c r="H217" i="2"/>
  <c r="H207" i="2"/>
  <c r="H176" i="2"/>
  <c r="H141" i="2"/>
  <c r="H125" i="2"/>
  <c r="H109" i="2"/>
  <c r="H200" i="2"/>
  <c r="H181" i="2"/>
  <c r="H156" i="2"/>
  <c r="H80" i="2"/>
  <c r="H211" i="2"/>
  <c r="H205" i="2"/>
  <c r="H175" i="2"/>
  <c r="H161" i="2"/>
  <c r="H140" i="2"/>
  <c r="H124" i="2"/>
  <c r="H108" i="2"/>
  <c r="H215" i="2"/>
  <c r="H209" i="2"/>
  <c r="H204" i="2"/>
  <c r="H197" i="2"/>
  <c r="H192" i="2"/>
  <c r="H185" i="2"/>
  <c r="H167" i="2"/>
  <c r="H160" i="2"/>
  <c r="H153" i="2"/>
  <c r="H145" i="2"/>
  <c r="H137" i="2"/>
  <c r="H129" i="2"/>
  <c r="H121" i="2"/>
  <c r="H113" i="2"/>
  <c r="H105" i="2"/>
  <c r="H76" i="2"/>
  <c r="H44" i="2"/>
  <c r="H151" i="2"/>
  <c r="H147" i="2"/>
  <c r="H143" i="2"/>
  <c r="H139" i="2"/>
  <c r="H135" i="2"/>
  <c r="H131" i="2"/>
  <c r="H127" i="2"/>
  <c r="H123" i="2"/>
  <c r="H119" i="2"/>
  <c r="H115" i="2"/>
  <c r="H111" i="2"/>
  <c r="H107" i="2"/>
  <c r="H103" i="2"/>
  <c r="H99" i="2"/>
  <c r="H95" i="2"/>
  <c r="H91" i="2"/>
  <c r="H87" i="2"/>
  <c r="H83" i="2"/>
  <c r="H79" i="2"/>
  <c r="H75" i="2"/>
  <c r="H71" i="2"/>
  <c r="H67" i="2"/>
  <c r="H63" i="2"/>
  <c r="H59" i="2"/>
  <c r="H55" i="2"/>
  <c r="H51" i="2"/>
  <c r="H47" i="2"/>
  <c r="H43" i="2"/>
  <c r="H39" i="2"/>
  <c r="H35" i="2"/>
  <c r="H31" i="2"/>
  <c r="H27" i="2"/>
  <c r="H23" i="2"/>
  <c r="H170" i="2"/>
  <c r="H126" i="2"/>
  <c r="H98" i="2"/>
  <c r="H70" i="2"/>
  <c r="H46" i="2"/>
  <c r="H34" i="2"/>
  <c r="H22" i="2"/>
  <c r="H218" i="2"/>
  <c r="H214" i="2"/>
  <c r="H210" i="2"/>
  <c r="H206" i="2"/>
  <c r="H202" i="2"/>
  <c r="H198" i="2"/>
  <c r="H194" i="2"/>
  <c r="H190" i="2"/>
  <c r="H186" i="2"/>
  <c r="H182" i="2"/>
  <c r="H178" i="2"/>
  <c r="H174" i="2"/>
  <c r="H166" i="2"/>
  <c r="H162" i="2"/>
  <c r="H158" i="2"/>
  <c r="H154" i="2"/>
  <c r="H150" i="2"/>
  <c r="H146" i="2"/>
  <c r="H142" i="2"/>
  <c r="H138" i="2"/>
  <c r="H134" i="2"/>
  <c r="H130" i="2"/>
  <c r="H122" i="2"/>
  <c r="H118" i="2"/>
  <c r="H114" i="2"/>
  <c r="H110" i="2"/>
  <c r="H106" i="2"/>
  <c r="H102" i="2"/>
  <c r="H94" i="2"/>
  <c r="H90" i="2"/>
  <c r="H86" i="2"/>
  <c r="H82" i="2"/>
  <c r="H78" i="2"/>
  <c r="H74" i="2"/>
  <c r="H66" i="2"/>
  <c r="H62" i="2"/>
  <c r="H58" i="2"/>
  <c r="H54" i="2"/>
  <c r="H50" i="2"/>
  <c r="H42" i="2"/>
  <c r="H38" i="2"/>
  <c r="H30" i="2"/>
  <c r="H26" i="2"/>
  <c r="H97" i="2"/>
  <c r="H93" i="2"/>
  <c r="H89" i="2"/>
  <c r="H85" i="2"/>
  <c r="H81" i="2"/>
  <c r="H77" i="2"/>
  <c r="H73" i="2"/>
  <c r="H69" i="2"/>
  <c r="H65" i="2"/>
  <c r="H61" i="2"/>
  <c r="H57" i="2"/>
  <c r="H53" i="2"/>
  <c r="H49" i="2"/>
  <c r="H45" i="2"/>
  <c r="H41" i="2"/>
  <c r="H37" i="2"/>
  <c r="H33" i="2"/>
  <c r="H29" i="2"/>
  <c r="H25" i="2"/>
  <c r="H21" i="2"/>
  <c r="H20" i="2"/>
  <c r="F216" i="2"/>
  <c r="F208" i="2"/>
  <c r="F204" i="2"/>
  <c r="F200" i="2"/>
  <c r="F212" i="2"/>
  <c r="F188" i="2"/>
  <c r="F184" i="2"/>
  <c r="F156" i="2"/>
  <c r="F128" i="2"/>
  <c r="F96" i="2"/>
  <c r="F72" i="2"/>
  <c r="F36" i="2"/>
  <c r="F215" i="2"/>
  <c r="F175" i="2"/>
  <c r="F147" i="2"/>
  <c r="F139" i="2"/>
  <c r="F127" i="2"/>
  <c r="F123" i="2"/>
  <c r="F119" i="2"/>
  <c r="F115" i="2"/>
  <c r="F99" i="2"/>
  <c r="F95" i="2"/>
  <c r="F91" i="2"/>
  <c r="F87" i="2"/>
  <c r="F83" i="2"/>
  <c r="F79" i="2"/>
  <c r="F75" i="2"/>
  <c r="F71" i="2"/>
  <c r="F67" i="2"/>
  <c r="F63" i="2"/>
  <c r="F59" i="2"/>
  <c r="F55" i="2"/>
  <c r="F51" i="2"/>
  <c r="F47" i="2"/>
  <c r="F43" i="2"/>
  <c r="F39" i="2"/>
  <c r="F35" i="2"/>
  <c r="F31" i="2"/>
  <c r="F27" i="2"/>
  <c r="F23" i="2"/>
  <c r="F196" i="2"/>
  <c r="F180" i="2"/>
  <c r="F164" i="2"/>
  <c r="F148" i="2"/>
  <c r="F132" i="2"/>
  <c r="F116" i="2"/>
  <c r="F104" i="2"/>
  <c r="F80" i="2"/>
  <c r="F64" i="2"/>
  <c r="F52" i="2"/>
  <c r="F40" i="2"/>
  <c r="F28" i="2"/>
  <c r="F207" i="2"/>
  <c r="F199" i="2"/>
  <c r="F187" i="2"/>
  <c r="F171" i="2"/>
  <c r="F159" i="2"/>
  <c r="F151" i="2"/>
  <c r="F131" i="2"/>
  <c r="F111" i="2"/>
  <c r="F210" i="2"/>
  <c r="F198" i="2"/>
  <c r="F186" i="2"/>
  <c r="F170" i="2"/>
  <c r="F158" i="2"/>
  <c r="F142" i="2"/>
  <c r="F130" i="2"/>
  <c r="F122" i="2"/>
  <c r="F110" i="2"/>
  <c r="F102" i="2"/>
  <c r="F98" i="2"/>
  <c r="F94" i="2"/>
  <c r="F86" i="2"/>
  <c r="F78" i="2"/>
  <c r="F74" i="2"/>
  <c r="F70" i="2"/>
  <c r="F66" i="2"/>
  <c r="F62" i="2"/>
  <c r="F58" i="2"/>
  <c r="F54" i="2"/>
  <c r="F50" i="2"/>
  <c r="F46" i="2"/>
  <c r="F42" i="2"/>
  <c r="F38" i="2"/>
  <c r="F34" i="2"/>
  <c r="F30" i="2"/>
  <c r="F26" i="2"/>
  <c r="F22" i="2"/>
  <c r="F172" i="2"/>
  <c r="F160" i="2"/>
  <c r="F144" i="2"/>
  <c r="F136" i="2"/>
  <c r="F120" i="2"/>
  <c r="F112" i="2"/>
  <c r="F100" i="2"/>
  <c r="F88" i="2"/>
  <c r="F76" i="2"/>
  <c r="F60" i="2"/>
  <c r="F44" i="2"/>
  <c r="F32" i="2"/>
  <c r="F211" i="2"/>
  <c r="F195" i="2"/>
  <c r="F183" i="2"/>
  <c r="F163" i="2"/>
  <c r="F143" i="2"/>
  <c r="F103" i="2"/>
  <c r="F214" i="2"/>
  <c r="F202" i="2"/>
  <c r="F190" i="2"/>
  <c r="F178" i="2"/>
  <c r="F166" i="2"/>
  <c r="F150" i="2"/>
  <c r="F134" i="2"/>
  <c r="F118" i="2"/>
  <c r="F82" i="2"/>
  <c r="F192" i="2"/>
  <c r="F176" i="2"/>
  <c r="F168" i="2"/>
  <c r="F152" i="2"/>
  <c r="F140" i="2"/>
  <c r="F124" i="2"/>
  <c r="F108" i="2"/>
  <c r="F92" i="2"/>
  <c r="F84" i="2"/>
  <c r="F68" i="2"/>
  <c r="F56" i="2"/>
  <c r="F48" i="2"/>
  <c r="F24" i="2"/>
  <c r="F219" i="2"/>
  <c r="F203" i="2"/>
  <c r="F191" i="2"/>
  <c r="F179" i="2"/>
  <c r="F167" i="2"/>
  <c r="F155" i="2"/>
  <c r="F135" i="2"/>
  <c r="F107" i="2"/>
  <c r="F218" i="2"/>
  <c r="F206" i="2"/>
  <c r="F194" i="2"/>
  <c r="F182" i="2"/>
  <c r="F174" i="2"/>
  <c r="F162" i="2"/>
  <c r="F154" i="2"/>
  <c r="F146" i="2"/>
  <c r="F138" i="2"/>
  <c r="F126" i="2"/>
  <c r="F114" i="2"/>
  <c r="F106" i="2"/>
  <c r="F90" i="2"/>
  <c r="F217" i="2"/>
  <c r="F213" i="2"/>
  <c r="F209" i="2"/>
  <c r="F205" i="2"/>
  <c r="F201" i="2"/>
  <c r="F197" i="2"/>
  <c r="F193" i="2"/>
  <c r="F189" i="2"/>
  <c r="F185" i="2"/>
  <c r="F181" i="2"/>
  <c r="F177" i="2"/>
  <c r="F173" i="2"/>
  <c r="F169" i="2"/>
  <c r="F165" i="2"/>
  <c r="F161" i="2"/>
  <c r="F157" i="2"/>
  <c r="F153" i="2"/>
  <c r="F149" i="2"/>
  <c r="F145" i="2"/>
  <c r="F141" i="2"/>
  <c r="F137" i="2"/>
  <c r="F133" i="2"/>
  <c r="F129" i="2"/>
  <c r="F125" i="2"/>
  <c r="F121" i="2"/>
  <c r="F117" i="2"/>
  <c r="F113" i="2"/>
  <c r="F109" i="2"/>
  <c r="F105" i="2"/>
  <c r="F101" i="2"/>
  <c r="F97" i="2"/>
  <c r="F93" i="2"/>
  <c r="F89" i="2"/>
  <c r="F85" i="2"/>
  <c r="F81" i="2"/>
  <c r="F77" i="2"/>
  <c r="F73" i="2"/>
  <c r="F69" i="2"/>
  <c r="F65" i="2"/>
  <c r="F61" i="2"/>
  <c r="F57" i="2"/>
  <c r="F53" i="2"/>
  <c r="F49" i="2"/>
  <c r="F45" i="2"/>
  <c r="F41" i="2"/>
  <c r="F37" i="2"/>
  <c r="F33" i="2"/>
  <c r="F29" i="2"/>
  <c r="F25" i="2"/>
  <c r="F21" i="2"/>
  <c r="F20" i="2"/>
  <c r="E188" i="2"/>
  <c r="E156" i="2"/>
  <c r="E208" i="2"/>
  <c r="E184" i="2"/>
  <c r="E160" i="2"/>
  <c r="E136" i="2"/>
  <c r="E128" i="2"/>
  <c r="E108" i="2"/>
  <c r="E92" i="2"/>
  <c r="E80" i="2"/>
  <c r="E68" i="2"/>
  <c r="E40" i="2"/>
  <c r="E211" i="2"/>
  <c r="E175" i="2"/>
  <c r="E151" i="2"/>
  <c r="E135" i="2"/>
  <c r="E119" i="2"/>
  <c r="E111" i="2"/>
  <c r="E107" i="2"/>
  <c r="E103" i="2"/>
  <c r="E99" i="2"/>
  <c r="E87" i="2"/>
  <c r="E83" i="2"/>
  <c r="E75" i="2"/>
  <c r="E71" i="2"/>
  <c r="E67" i="2"/>
  <c r="E63" i="2"/>
  <c r="E59" i="2"/>
  <c r="E55" i="2"/>
  <c r="E51" i="2"/>
  <c r="E47" i="2"/>
  <c r="E43" i="2"/>
  <c r="E39" i="2"/>
  <c r="E35" i="2"/>
  <c r="E31" i="2"/>
  <c r="E27" i="2"/>
  <c r="E23" i="2"/>
  <c r="E216" i="2"/>
  <c r="E192" i="2"/>
  <c r="E168" i="2"/>
  <c r="E140" i="2"/>
  <c r="E116" i="2"/>
  <c r="E96" i="2"/>
  <c r="E72" i="2"/>
  <c r="E32" i="2"/>
  <c r="E219" i="2"/>
  <c r="E207" i="2"/>
  <c r="E191" i="2"/>
  <c r="E167" i="2"/>
  <c r="E143" i="2"/>
  <c r="E123" i="2"/>
  <c r="E79" i="2"/>
  <c r="E200" i="2"/>
  <c r="E172" i="2"/>
  <c r="E148" i="2"/>
  <c r="E124" i="2"/>
  <c r="E100" i="2"/>
  <c r="E76" i="2"/>
  <c r="E24" i="2"/>
  <c r="E203" i="2"/>
  <c r="E187" i="2"/>
  <c r="E163" i="2"/>
  <c r="E139" i="2"/>
  <c r="E127" i="2"/>
  <c r="E115" i="2"/>
  <c r="E95" i="2"/>
  <c r="E214" i="2"/>
  <c r="E202" i="2"/>
  <c r="E190" i="2"/>
  <c r="E178" i="2"/>
  <c r="E170" i="2"/>
  <c r="E162" i="2"/>
  <c r="E150" i="2"/>
  <c r="E134" i="2"/>
  <c r="E126" i="2"/>
  <c r="E118" i="2"/>
  <c r="E110" i="2"/>
  <c r="E106" i="2"/>
  <c r="E98" i="2"/>
  <c r="E94" i="2"/>
  <c r="E90" i="2"/>
  <c r="E86" i="2"/>
  <c r="E82" i="2"/>
  <c r="E78" i="2"/>
  <c r="E74" i="2"/>
  <c r="E70" i="2"/>
  <c r="E62" i="2"/>
  <c r="E58" i="2"/>
  <c r="E54" i="2"/>
  <c r="E50" i="2"/>
  <c r="E46" i="2"/>
  <c r="E42" i="2"/>
  <c r="E38" i="2"/>
  <c r="E34" i="2"/>
  <c r="E30" i="2"/>
  <c r="E26" i="2"/>
  <c r="E22" i="2"/>
  <c r="E212" i="2"/>
  <c r="E196" i="2"/>
  <c r="E180" i="2"/>
  <c r="E164" i="2"/>
  <c r="E144" i="2"/>
  <c r="E132" i="2"/>
  <c r="E120" i="2"/>
  <c r="E104" i="2"/>
  <c r="E84" i="2"/>
  <c r="E64" i="2"/>
  <c r="E56" i="2"/>
  <c r="E52" i="2"/>
  <c r="E48" i="2"/>
  <c r="E44" i="2"/>
  <c r="E28" i="2"/>
  <c r="E215" i="2"/>
  <c r="E195" i="2"/>
  <c r="E179" i="2"/>
  <c r="E171" i="2"/>
  <c r="E159" i="2"/>
  <c r="E147" i="2"/>
  <c r="E131" i="2"/>
  <c r="E91" i="2"/>
  <c r="E218" i="2"/>
  <c r="E210" i="2"/>
  <c r="E206" i="2"/>
  <c r="E198" i="2"/>
  <c r="E194" i="2"/>
  <c r="E186" i="2"/>
  <c r="E182" i="2"/>
  <c r="E174" i="2"/>
  <c r="E166" i="2"/>
  <c r="E158" i="2"/>
  <c r="E154" i="2"/>
  <c r="E146" i="2"/>
  <c r="E142" i="2"/>
  <c r="E138" i="2"/>
  <c r="E130" i="2"/>
  <c r="E122" i="2"/>
  <c r="E114" i="2"/>
  <c r="E102" i="2"/>
  <c r="E66" i="2"/>
  <c r="E204" i="2"/>
  <c r="E176" i="2"/>
  <c r="E152" i="2"/>
  <c r="E112" i="2"/>
  <c r="E88" i="2"/>
  <c r="E60" i="2"/>
  <c r="E36" i="2"/>
  <c r="E199" i="2"/>
  <c r="E183" i="2"/>
  <c r="E155" i="2"/>
  <c r="E217" i="2"/>
  <c r="E213" i="2"/>
  <c r="E209" i="2"/>
  <c r="E205" i="2"/>
  <c r="E201" i="2"/>
  <c r="E197" i="2"/>
  <c r="E193" i="2"/>
  <c r="E189" i="2"/>
  <c r="E185" i="2"/>
  <c r="E181" i="2"/>
  <c r="E177" i="2"/>
  <c r="E173" i="2"/>
  <c r="E169" i="2"/>
  <c r="E165" i="2"/>
  <c r="E161" i="2"/>
  <c r="E157" i="2"/>
  <c r="E153" i="2"/>
  <c r="E149" i="2"/>
  <c r="E145" i="2"/>
  <c r="E141" i="2"/>
  <c r="E137" i="2"/>
  <c r="E133" i="2"/>
  <c r="E129" i="2"/>
  <c r="E125" i="2"/>
  <c r="E121" i="2"/>
  <c r="E117" i="2"/>
  <c r="E113" i="2"/>
  <c r="E109" i="2"/>
  <c r="E105" i="2"/>
  <c r="E101" i="2"/>
  <c r="E97" i="2"/>
  <c r="E93" i="2"/>
  <c r="E89" i="2"/>
  <c r="E85" i="2"/>
  <c r="E81" i="2"/>
  <c r="E77" i="2"/>
  <c r="E73" i="2"/>
  <c r="E69" i="2"/>
  <c r="E65" i="2"/>
  <c r="E61" i="2"/>
  <c r="E57" i="2"/>
  <c r="E53" i="2"/>
  <c r="E49" i="2"/>
  <c r="E45" i="2"/>
  <c r="E41" i="2"/>
  <c r="E37" i="2"/>
  <c r="E33" i="2"/>
  <c r="E29" i="2"/>
  <c r="E25" i="2"/>
  <c r="E21" i="2"/>
  <c r="E20" i="2"/>
  <c r="M8" i="21" l="1"/>
  <c r="L9" i="21" s="1"/>
  <c r="N8" i="21" a="1"/>
  <c r="N8" i="21" s="1"/>
  <c r="T9" i="21"/>
  <c r="S10" i="21" s="1"/>
  <c r="U9" i="21" a="1"/>
  <c r="U9" i="21" s="1"/>
  <c r="N7" i="21" a="1"/>
  <c r="N7" i="21" s="1"/>
  <c r="F9" i="21"/>
  <c r="E10" i="21" s="1"/>
  <c r="G9" i="21" a="1"/>
  <c r="G9" i="21" s="1"/>
  <c r="G10" i="21" l="1" a="1"/>
  <c r="G10" i="21" s="1"/>
  <c r="F10" i="21"/>
  <c r="E11" i="21" s="1"/>
  <c r="U10" i="21" a="1"/>
  <c r="U10" i="21" s="1"/>
  <c r="T10" i="21"/>
  <c r="S11" i="21" s="1"/>
  <c r="N9" i="21" a="1"/>
  <c r="N9" i="21" s="1"/>
  <c r="M9" i="21"/>
  <c r="L10" i="21" s="1"/>
  <c r="F11" i="21" l="1"/>
  <c r="G11" i="21" a="1"/>
  <c r="G11" i="21" s="1"/>
  <c r="M10" i="21"/>
  <c r="L11" i="21" s="1"/>
  <c r="N10" i="21" a="1"/>
  <c r="N10" i="21" s="1"/>
  <c r="T11" i="21"/>
  <c r="S12" i="21" s="1"/>
  <c r="U11" i="21" a="1"/>
  <c r="U11" i="21" s="1"/>
  <c r="U12" i="21" l="1" a="1"/>
  <c r="U12" i="21" s="1"/>
  <c r="T12" i="21"/>
  <c r="N11" i="21" a="1"/>
  <c r="N11" i="21" s="1"/>
  <c r="M11" i="21"/>
  <c r="AG21" i="6" a="1"/>
  <c r="AK21" i="6" a="1"/>
  <c r="AJ22" i="6" a="1"/>
  <c r="AI23" i="6" a="1"/>
  <c r="AH24" i="6" a="1"/>
  <c r="AG25" i="6" a="1"/>
  <c r="AK25" i="6" a="1"/>
  <c r="AJ26" i="6" a="1"/>
  <c r="AI27" i="6" a="1"/>
  <c r="AH28" i="6" a="1"/>
  <c r="AG29" i="6" a="1"/>
  <c r="AK29" i="6" a="1"/>
  <c r="AJ30" i="6" a="1"/>
  <c r="AI31" i="6" a="1"/>
  <c r="AH32" i="6" a="1"/>
  <c r="AG33" i="6" a="1"/>
  <c r="AK33" i="6" a="1"/>
  <c r="AJ34" i="6" a="1"/>
  <c r="AI35" i="6" a="1"/>
  <c r="AH36" i="6" a="1"/>
  <c r="AH21" i="6" a="1"/>
  <c r="AG22" i="6" a="1"/>
  <c r="AI21" i="6" a="1"/>
  <c r="AK22" i="6" a="1"/>
  <c r="AG24" i="6" a="1"/>
  <c r="AI25" i="6" a="1"/>
  <c r="AH29" i="6" a="1"/>
  <c r="AI30" i="6" a="1"/>
  <c r="AK31" i="6" a="1"/>
  <c r="AI37" i="6" a="1"/>
  <c r="AH39" i="6" a="1"/>
  <c r="AG41" i="6" a="1"/>
  <c r="AG42" i="6" a="1"/>
  <c r="AK43" i="6" a="1"/>
  <c r="AJ45" i="6" a="1"/>
  <c r="AI47" i="6" a="1"/>
  <c r="AI48" i="6" a="1"/>
  <c r="AH50" i="6" a="1"/>
  <c r="AG52" i="6" a="1"/>
  <c r="AK53" i="6" a="1"/>
  <c r="AK54" i="6" a="1"/>
  <c r="AJ56" i="6" a="1"/>
  <c r="AI58" i="6" a="1"/>
  <c r="AH60" i="6" a="1"/>
  <c r="AH61" i="6" a="1"/>
  <c r="AG63" i="6" a="1"/>
  <c r="AK64" i="6" a="1"/>
  <c r="AJ66" i="6" a="1"/>
  <c r="AJ67" i="6" a="1"/>
  <c r="AI69" i="6" a="1"/>
  <c r="AH71" i="6" a="1"/>
  <c r="AG73" i="6" a="1"/>
  <c r="AG74" i="6" a="1"/>
  <c r="AK75" i="6" a="1"/>
  <c r="AJ77" i="6" a="1"/>
  <c r="AI79" i="6" a="1"/>
  <c r="AI80" i="6" a="1"/>
  <c r="AH82" i="6" a="1"/>
  <c r="AG84" i="6" a="1"/>
  <c r="AK85" i="6" a="1"/>
  <c r="AK86" i="6" a="1"/>
  <c r="AJ88" i="6" a="1"/>
  <c r="AI89" i="6" a="1"/>
  <c r="AH90" i="6" a="1"/>
  <c r="AG91" i="6" a="1"/>
  <c r="AK91" i="6" a="1"/>
  <c r="AJ92" i="6" a="1"/>
  <c r="AI93" i="6" a="1"/>
  <c r="AH94" i="6" a="1"/>
  <c r="AG95" i="6" a="1"/>
  <c r="AK95" i="6" a="1"/>
  <c r="AJ96" i="6" a="1"/>
  <c r="AI97" i="6" a="1"/>
  <c r="AH98" i="6" a="1"/>
  <c r="AG99" i="6" a="1"/>
  <c r="AK99" i="6" a="1"/>
  <c r="AJ100" i="6" a="1"/>
  <c r="AI101" i="6" a="1"/>
  <c r="AH102" i="6" a="1"/>
  <c r="AG103" i="6" a="1"/>
  <c r="AK103" i="6" a="1"/>
  <c r="AJ104" i="6" a="1"/>
  <c r="AI105" i="6" a="1"/>
  <c r="AH106" i="6" a="1"/>
  <c r="AG107" i="6" a="1"/>
  <c r="AK107" i="6" a="1"/>
  <c r="AJ108" i="6" a="1"/>
  <c r="AG23" i="6" a="1"/>
  <c r="AK26" i="6" a="1"/>
  <c r="AG28" i="6" a="1"/>
  <c r="AI29" i="6" a="1"/>
  <c r="AH33" i="6" a="1"/>
  <c r="AI34" i="6" a="1"/>
  <c r="AJ35" i="6" a="1"/>
  <c r="AJ36" i="6" a="1"/>
  <c r="AI38" i="6" a="1"/>
  <c r="AH40" i="6" a="1"/>
  <c r="AH41" i="6" a="1"/>
  <c r="AG43" i="6" a="1"/>
  <c r="AK44" i="6" a="1"/>
  <c r="AJ46" i="6" a="1"/>
  <c r="AJ47" i="6" a="1"/>
  <c r="AI49" i="6" a="1"/>
  <c r="AH51" i="6" a="1"/>
  <c r="AG53" i="6" a="1"/>
  <c r="AG54" i="6" a="1"/>
  <c r="AK55" i="6" a="1"/>
  <c r="AJ57" i="6" a="1"/>
  <c r="AI59" i="6" a="1"/>
  <c r="AI60" i="6" a="1"/>
  <c r="AH62" i="6" a="1"/>
  <c r="AG64" i="6" a="1"/>
  <c r="AK65" i="6" a="1"/>
  <c r="AK66" i="6" a="1"/>
  <c r="AJ68" i="6" a="1"/>
  <c r="AI70" i="6" a="1"/>
  <c r="AH72" i="6" a="1"/>
  <c r="AH73" i="6" a="1"/>
  <c r="AG75" i="6" a="1"/>
  <c r="AK76" i="6" a="1"/>
  <c r="AJ78" i="6" a="1"/>
  <c r="AJ79" i="6" a="1"/>
  <c r="AI81" i="6" a="1"/>
  <c r="AH83" i="6" a="1"/>
  <c r="AG85" i="6" a="1"/>
  <c r="AG86" i="6" a="1"/>
  <c r="AK87" i="6" a="1"/>
  <c r="AJ21" i="6" a="1"/>
  <c r="AI24" i="6" a="1"/>
  <c r="AJ25" i="6" a="1"/>
  <c r="AG27" i="6" a="1"/>
  <c r="AK30" i="6" a="1"/>
  <c r="AG32" i="6" a="1"/>
  <c r="AI33" i="6" a="1"/>
  <c r="AJ37" i="6" a="1"/>
  <c r="AI39" i="6" a="1"/>
  <c r="AI40" i="6" a="1"/>
  <c r="AH42" i="6" a="1"/>
  <c r="AG44" i="6" a="1"/>
  <c r="AK45" i="6" a="1"/>
  <c r="AK46" i="6" a="1"/>
  <c r="AJ48" i="6" a="1"/>
  <c r="AI50" i="6" a="1"/>
  <c r="AH52" i="6" a="1"/>
  <c r="AH53" i="6" a="1"/>
  <c r="AG55" i="6" a="1"/>
  <c r="AK56" i="6" a="1"/>
  <c r="AJ58" i="6" a="1"/>
  <c r="AJ59" i="6" a="1"/>
  <c r="AI61" i="6" a="1"/>
  <c r="AH63" i="6" a="1"/>
  <c r="AG65" i="6" a="1"/>
  <c r="AG66" i="6" a="1"/>
  <c r="AK67" i="6" a="1"/>
  <c r="AJ69" i="6" a="1"/>
  <c r="AI71" i="6" a="1"/>
  <c r="AI72" i="6" a="1"/>
  <c r="AH74" i="6" a="1"/>
  <c r="AG76" i="6" a="1"/>
  <c r="AK77" i="6" a="1"/>
  <c r="AK78" i="6" a="1"/>
  <c r="AJ80" i="6" a="1"/>
  <c r="AI82" i="6" a="1"/>
  <c r="AH84" i="6" a="1"/>
  <c r="AH85" i="6" a="1"/>
  <c r="AG87" i="6" a="1"/>
  <c r="AK88" i="6" a="1"/>
  <c r="AJ89" i="6" a="1"/>
  <c r="AI90" i="6" a="1"/>
  <c r="AH91" i="6" a="1"/>
  <c r="AG92" i="6" a="1"/>
  <c r="AK92" i="6" a="1"/>
  <c r="AJ93" i="6" a="1"/>
  <c r="AI94" i="6" a="1"/>
  <c r="AH95" i="6" a="1"/>
  <c r="AG96" i="6" a="1"/>
  <c r="AK96" i="6" a="1"/>
  <c r="AH23" i="6" a="1"/>
  <c r="AJ24" i="6" a="1"/>
  <c r="AI28" i="6" a="1"/>
  <c r="AJ29" i="6" a="1"/>
  <c r="AG31" i="6" a="1"/>
  <c r="AK34" i="6" a="1"/>
  <c r="AK35" i="6" a="1"/>
  <c r="AK36" i="6" a="1"/>
  <c r="AJ38" i="6" a="1"/>
  <c r="AJ39" i="6" a="1"/>
  <c r="AI41" i="6" a="1"/>
  <c r="AH43" i="6" a="1"/>
  <c r="AG45" i="6" a="1"/>
  <c r="AG46" i="6" a="1"/>
  <c r="AK47" i="6" a="1"/>
  <c r="AJ49" i="6" a="1"/>
  <c r="AI51" i="6" a="1"/>
  <c r="AI52" i="6" a="1"/>
  <c r="AH54" i="6" a="1"/>
  <c r="AG56" i="6" a="1"/>
  <c r="AK57" i="6" a="1"/>
  <c r="AK58" i="6" a="1"/>
  <c r="AJ60" i="6" a="1"/>
  <c r="AI62" i="6" a="1"/>
  <c r="AH64" i="6" a="1"/>
  <c r="AH65" i="6" a="1"/>
  <c r="AG67" i="6" a="1"/>
  <c r="AK68" i="6" a="1"/>
  <c r="AJ70" i="6" a="1"/>
  <c r="AJ71" i="6" a="1"/>
  <c r="AI73" i="6" a="1"/>
  <c r="AH75" i="6" a="1"/>
  <c r="AG77" i="6" a="1"/>
  <c r="AG78" i="6" a="1"/>
  <c r="AK79" i="6" a="1"/>
  <c r="AJ81" i="6" a="1"/>
  <c r="AI83" i="6" a="1"/>
  <c r="AI84" i="6" a="1"/>
  <c r="AH86" i="6" a="1"/>
  <c r="AG88" i="6" a="1"/>
  <c r="AH22" i="6" a="1"/>
  <c r="AG26" i="6" a="1"/>
  <c r="AH27" i="6" a="1"/>
  <c r="AJ28" i="6" a="1"/>
  <c r="AI32" i="6" a="1"/>
  <c r="AJ33" i="6" a="1"/>
  <c r="AK37" i="6" a="1"/>
  <c r="AK38" i="6" a="1"/>
  <c r="AJ40" i="6" a="1"/>
  <c r="AI42" i="6" a="1"/>
  <c r="AH44" i="6" a="1"/>
  <c r="AH45" i="6" a="1"/>
  <c r="AG47" i="6" a="1"/>
  <c r="AK48" i="6" a="1"/>
  <c r="AJ50" i="6" a="1"/>
  <c r="AJ51" i="6" a="1"/>
  <c r="AI53" i="6" a="1"/>
  <c r="AH55" i="6" a="1"/>
  <c r="AG57" i="6" a="1"/>
  <c r="AG58" i="6" a="1"/>
  <c r="AK59" i="6" a="1"/>
  <c r="AH25" i="6" a="1"/>
  <c r="AK28" i="6" a="1"/>
  <c r="AJ32" i="6" a="1"/>
  <c r="AH35" i="6" a="1"/>
  <c r="AK42" i="6" a="1"/>
  <c r="AI45" i="6" a="1"/>
  <c r="AG48" i="6" a="1"/>
  <c r="AI57" i="6" a="1"/>
  <c r="AG60" i="6" a="1"/>
  <c r="AK61" i="6" a="1"/>
  <c r="AH69" i="6" a="1"/>
  <c r="AG71" i="6" a="1"/>
  <c r="AK72" i="6" a="1"/>
  <c r="AJ74" i="6" a="1"/>
  <c r="AG82" i="6" a="1"/>
  <c r="AK83" i="6" a="1"/>
  <c r="AJ85" i="6" a="1"/>
  <c r="AI87" i="6" a="1"/>
  <c r="AH89" i="6" a="1"/>
  <c r="AK90" i="6" a="1"/>
  <c r="AI92" i="6" a="1"/>
  <c r="AG94" i="6" a="1"/>
  <c r="AJ95" i="6" a="1"/>
  <c r="AH97" i="6" a="1"/>
  <c r="AJ98" i="6" a="1"/>
  <c r="AI102" i="6" a="1"/>
  <c r="AJ103" i="6" a="1"/>
  <c r="AG105" i="6" a="1"/>
  <c r="AK108" i="6" a="1"/>
  <c r="AG112" i="6" a="1"/>
  <c r="AK113" i="6" a="1"/>
  <c r="AJ115" i="6" a="1"/>
  <c r="AI117" i="6" a="1"/>
  <c r="AI118" i="6" a="1"/>
  <c r="AH120" i="6" a="1"/>
  <c r="AG122" i="6" a="1"/>
  <c r="AK123" i="6" a="1"/>
  <c r="AK124" i="6" a="1"/>
  <c r="AJ126" i="6" a="1"/>
  <c r="AI128" i="6" a="1"/>
  <c r="AH130" i="6" a="1"/>
  <c r="AH131" i="6" a="1"/>
  <c r="AG133" i="6" a="1"/>
  <c r="AK134" i="6" a="1"/>
  <c r="AJ136" i="6" a="1"/>
  <c r="AJ137" i="6" a="1"/>
  <c r="AI139" i="6" a="1"/>
  <c r="AH141" i="6" a="1"/>
  <c r="AG143" i="6" a="1"/>
  <c r="AG144" i="6" a="1"/>
  <c r="AK145" i="6" a="1"/>
  <c r="AJ147" i="6" a="1"/>
  <c r="AI148" i="6" a="1"/>
  <c r="AH149" i="6" a="1"/>
  <c r="AG150" i="6" a="1"/>
  <c r="AK150" i="6" a="1"/>
  <c r="AJ151" i="6" a="1"/>
  <c r="AI152" i="6" a="1"/>
  <c r="AH153" i="6" a="1"/>
  <c r="AG154" i="6" a="1"/>
  <c r="AK154" i="6" a="1"/>
  <c r="AJ155" i="6" a="1"/>
  <c r="AI156" i="6" a="1"/>
  <c r="AH157" i="6" a="1"/>
  <c r="AG158" i="6" a="1"/>
  <c r="AK158" i="6" a="1"/>
  <c r="AJ159" i="6" a="1"/>
  <c r="AI160" i="6" a="1"/>
  <c r="AH161" i="6" a="1"/>
  <c r="AG162" i="6" a="1"/>
  <c r="AK162" i="6" a="1"/>
  <c r="AJ163" i="6" a="1"/>
  <c r="AI164" i="6" a="1"/>
  <c r="AH165" i="6" a="1"/>
  <c r="AG166" i="6" a="1"/>
  <c r="AI22" i="6" a="1"/>
  <c r="AH26" i="6" a="1"/>
  <c r="AG36" i="6" a="1"/>
  <c r="AH38" i="6" a="1"/>
  <c r="AK40" i="6" a="1"/>
  <c r="AI43" i="6" a="1"/>
  <c r="AK50" i="6" a="1"/>
  <c r="AK52" i="6" a="1"/>
  <c r="AI55" i="6" a="1"/>
  <c r="AG62" i="6" a="1"/>
  <c r="AK63" i="6" a="1"/>
  <c r="AJ65" i="6" a="1"/>
  <c r="AI67" i="6" a="1"/>
  <c r="AK74" i="6" a="1"/>
  <c r="AJ76" i="6" a="1"/>
  <c r="AI78" i="6" a="1"/>
  <c r="AH80" i="6" a="1"/>
  <c r="AJ87" i="6" a="1"/>
  <c r="AG100" i="6" a="1"/>
  <c r="AH101" i="6" a="1"/>
  <c r="AJ102" i="6" a="1"/>
  <c r="AI106" i="6" a="1"/>
  <c r="AJ107" i="6" a="1"/>
  <c r="AG109" i="6" a="1"/>
  <c r="AG110" i="6" a="1"/>
  <c r="AG111" i="6" a="1"/>
  <c r="AG113" i="6" a="1"/>
  <c r="AK114" i="6" a="1"/>
  <c r="AJ116" i="6" a="1"/>
  <c r="AJ117" i="6" a="1"/>
  <c r="AI119" i="6" a="1"/>
  <c r="AH121" i="6" a="1"/>
  <c r="AG123" i="6" a="1"/>
  <c r="AG124" i="6" a="1"/>
  <c r="AK125" i="6" a="1"/>
  <c r="AJ127" i="6" a="1"/>
  <c r="AI129" i="6" a="1"/>
  <c r="AI130" i="6" a="1"/>
  <c r="AH132" i="6" a="1"/>
  <c r="AG134" i="6" a="1"/>
  <c r="AK135" i="6" a="1"/>
  <c r="AK136" i="6" a="1"/>
  <c r="AJ138" i="6" a="1"/>
  <c r="AI140" i="6" a="1"/>
  <c r="AH142" i="6" a="1"/>
  <c r="AH143" i="6" a="1"/>
  <c r="AG145" i="6" a="1"/>
  <c r="AK146" i="6" a="1"/>
  <c r="AG30" i="6" a="1"/>
  <c r="AK32" i="6" a="1"/>
  <c r="AJ43" i="6" a="1"/>
  <c r="AH46" i="6" a="1"/>
  <c r="AH48" i="6" a="1"/>
  <c r="AJ55" i="6" a="1"/>
  <c r="AH58" i="6" a="1"/>
  <c r="AI64" i="6" a="1"/>
  <c r="AH66" i="6" a="1"/>
  <c r="AG68" i="6" a="1"/>
  <c r="AK69" i="6" a="1"/>
  <c r="AH77" i="6" a="1"/>
  <c r="AG79" i="6" a="1"/>
  <c r="AK80" i="6" a="1"/>
  <c r="AJ82" i="6" a="1"/>
  <c r="AK89" i="6" a="1"/>
  <c r="AI91" i="6" a="1"/>
  <c r="AG93" i="6" a="1"/>
  <c r="AJ94" i="6" a="1"/>
  <c r="AH96" i="6" a="1"/>
  <c r="AJ97" i="6" a="1"/>
  <c r="AK98" i="6" a="1"/>
  <c r="AH100" i="6" a="1"/>
  <c r="AG104" i="6" a="1"/>
  <c r="AH105" i="6" a="1"/>
  <c r="AJ106" i="6" a="1"/>
  <c r="AH111" i="6" a="1"/>
  <c r="AH112" i="6" a="1"/>
  <c r="AG114" i="6" a="1"/>
  <c r="AK115" i="6" a="1"/>
  <c r="AK116" i="6" a="1"/>
  <c r="AJ118" i="6" a="1"/>
  <c r="AI120" i="6" a="1"/>
  <c r="AH122" i="6" a="1"/>
  <c r="AH123" i="6" a="1"/>
  <c r="AG125" i="6" a="1"/>
  <c r="AK126" i="6" a="1"/>
  <c r="AJ128" i="6" a="1"/>
  <c r="AJ129" i="6" a="1"/>
  <c r="AI131" i="6" a="1"/>
  <c r="AH133" i="6" a="1"/>
  <c r="AG135" i="6" a="1"/>
  <c r="AG136" i="6" a="1"/>
  <c r="AK137" i="6" a="1"/>
  <c r="AJ139" i="6" a="1"/>
  <c r="AI141" i="6" a="1"/>
  <c r="AI142" i="6" a="1"/>
  <c r="AH144" i="6" a="1"/>
  <c r="AG146" i="6" a="1"/>
  <c r="AK147" i="6" a="1"/>
  <c r="AJ148" i="6" a="1"/>
  <c r="AI149" i="6" a="1"/>
  <c r="AH150" i="6" a="1"/>
  <c r="AG151" i="6" a="1"/>
  <c r="AK151" i="6" a="1"/>
  <c r="AJ152" i="6" a="1"/>
  <c r="AI153" i="6" a="1"/>
  <c r="AH154" i="6" a="1"/>
  <c r="AG155" i="6" a="1"/>
  <c r="AK155" i="6" a="1"/>
  <c r="AJ156" i="6" a="1"/>
  <c r="AI157" i="6" a="1"/>
  <c r="AJ23" i="6" a="1"/>
  <c r="AI26" i="6" a="1"/>
  <c r="AH30" i="6" a="1"/>
  <c r="AI36" i="6" a="1"/>
  <c r="AG39" i="6" a="1"/>
  <c r="AJ41" i="6" a="1"/>
  <c r="AG51" i="6" a="1"/>
  <c r="AJ53" i="6" a="1"/>
  <c r="AH56" i="6" a="1"/>
  <c r="AK60" i="6" a="1"/>
  <c r="AJ62" i="6" a="1"/>
  <c r="AG70" i="6" a="1"/>
  <c r="AK71" i="6" a="1"/>
  <c r="AJ73" i="6" a="1"/>
  <c r="AI75" i="6" a="1"/>
  <c r="AK82" i="6" a="1"/>
  <c r="AJ84" i="6" a="1"/>
  <c r="AI86" i="6" a="1"/>
  <c r="AH88" i="6" a="1"/>
  <c r="AK97" i="6" a="1"/>
  <c r="AJ101" i="6" a="1"/>
  <c r="AK102" i="6" a="1"/>
  <c r="AH104" i="6" a="1"/>
  <c r="AG108" i="6" a="1"/>
  <c r="AH109" i="6" a="1"/>
  <c r="AH110" i="6" a="1"/>
  <c r="AI111" i="6" a="1"/>
  <c r="AH113" i="6" a="1"/>
  <c r="AG115" i="6" a="1"/>
  <c r="AG116" i="6" a="1"/>
  <c r="AK117" i="6" a="1"/>
  <c r="AJ119" i="6" a="1"/>
  <c r="AI121" i="6" a="1"/>
  <c r="AI122" i="6" a="1"/>
  <c r="AH124" i="6" a="1"/>
  <c r="AG126" i="6" a="1"/>
  <c r="AK127" i="6" a="1"/>
  <c r="AK128" i="6" a="1"/>
  <c r="AJ130" i="6" a="1"/>
  <c r="AI132" i="6" a="1"/>
  <c r="AH134" i="6" a="1"/>
  <c r="AH135" i="6" a="1"/>
  <c r="AG137" i="6" a="1"/>
  <c r="AK138" i="6" a="1"/>
  <c r="AJ140" i="6" a="1"/>
  <c r="AJ141" i="6" a="1"/>
  <c r="AI143" i="6" a="1"/>
  <c r="AH145" i="6" a="1"/>
  <c r="AG147" i="6" a="1"/>
  <c r="AK23" i="6" a="1"/>
  <c r="AG34" i="6" a="1"/>
  <c r="AG37" i="6" a="1"/>
  <c r="AI44" i="6" a="1"/>
  <c r="AI46" i="6" a="1"/>
  <c r="AG49" i="6" a="1"/>
  <c r="AI56" i="6" a="1"/>
  <c r="AG59" i="6" a="1"/>
  <c r="AK62" i="6" a="1"/>
  <c r="AJ64" i="6" a="1"/>
  <c r="AI66" i="6" a="1"/>
  <c r="AH68" i="6" a="1"/>
  <c r="AJ75" i="6" a="1"/>
  <c r="AI77" i="6" a="1"/>
  <c r="AH79" i="6" a="1"/>
  <c r="AG81" i="6" a="1"/>
  <c r="AI88" i="6" a="1"/>
  <c r="AG90" i="6" a="1"/>
  <c r="AJ91" i="6" a="1"/>
  <c r="AH93" i="6" a="1"/>
  <c r="AK94" i="6" a="1"/>
  <c r="AI96" i="6" a="1"/>
  <c r="AH99" i="6" a="1"/>
  <c r="AI100" i="6" a="1"/>
  <c r="AK101" i="6" a="1"/>
  <c r="AJ105" i="6" a="1"/>
  <c r="AK106" i="6" a="1"/>
  <c r="AH108" i="6" a="1"/>
  <c r="AI110" i="6" a="1"/>
  <c r="AI112" i="6" a="1"/>
  <c r="AH114" i="6" a="1"/>
  <c r="AH115" i="6" a="1"/>
  <c r="AG117" i="6" a="1"/>
  <c r="AK118" i="6" a="1"/>
  <c r="AJ120" i="6" a="1"/>
  <c r="AJ121" i="6" a="1"/>
  <c r="AI123" i="6" a="1"/>
  <c r="AH125" i="6" a="1"/>
  <c r="AG127" i="6" a="1"/>
  <c r="AG128" i="6" a="1"/>
  <c r="AK129" i="6" a="1"/>
  <c r="AJ131" i="6" a="1"/>
  <c r="AI133" i="6" a="1"/>
  <c r="AI134" i="6" a="1"/>
  <c r="AH136" i="6" a="1"/>
  <c r="AG138" i="6" a="1"/>
  <c r="AK139" i="6" a="1"/>
  <c r="AK140" i="6" a="1"/>
  <c r="AJ142" i="6" a="1"/>
  <c r="AI144" i="6" a="1"/>
  <c r="AH146" i="6" a="1"/>
  <c r="AH147" i="6" a="1"/>
  <c r="AG148" i="6" a="1"/>
  <c r="AK148" i="6" a="1"/>
  <c r="AJ149" i="6" a="1"/>
  <c r="AI150" i="6" a="1"/>
  <c r="AJ31" i="6" a="1"/>
  <c r="AJ52" i="6" a="1"/>
  <c r="AH59" i="6" a="1"/>
  <c r="AG69" i="6" a="1"/>
  <c r="AI74" i="6" a="1"/>
  <c r="AG89" i="6" a="1"/>
  <c r="AK100" i="6" a="1"/>
  <c r="AI104" i="6" a="1"/>
  <c r="AI107" i="6" a="1"/>
  <c r="AI113" i="6" a="1"/>
  <c r="AK120" i="6" a="1"/>
  <c r="AK122" i="6" a="1"/>
  <c r="AI125" i="6" a="1"/>
  <c r="AK132" i="6" a="1"/>
  <c r="AI135" i="6" a="1"/>
  <c r="AI137" i="6" a="1"/>
  <c r="AK144" i="6" a="1"/>
  <c r="AI147" i="6" a="1"/>
  <c r="AI151" i="6" a="1"/>
  <c r="AG153" i="6" a="1"/>
  <c r="AJ154" i="6" a="1"/>
  <c r="AH156" i="6" a="1"/>
  <c r="AK157" i="6" a="1"/>
  <c r="AH159" i="6" a="1"/>
  <c r="AG163" i="6" a="1"/>
  <c r="AH164" i="6" a="1"/>
  <c r="AJ165" i="6" a="1"/>
  <c r="AK167" i="6" a="1"/>
  <c r="AG171" i="6" a="1"/>
  <c r="AH174" i="6" a="1"/>
  <c r="AI177" i="6" a="1"/>
  <c r="AJ180" i="6" a="1"/>
  <c r="AK183" i="6" a="1"/>
  <c r="AG187" i="6" a="1"/>
  <c r="AH190" i="6" a="1"/>
  <c r="AI193" i="6" a="1"/>
  <c r="AI194" i="6" a="1"/>
  <c r="AH196" i="6" a="1"/>
  <c r="AG198" i="6" a="1"/>
  <c r="AG199" i="6" a="1"/>
  <c r="AK200" i="6" a="1"/>
  <c r="AK24" i="6" a="1"/>
  <c r="AH34" i="6" a="1"/>
  <c r="AG40" i="6" a="1"/>
  <c r="AH47" i="6" a="1"/>
  <c r="AI54" i="6" a="1"/>
  <c r="AH70" i="6" a="1"/>
  <c r="AK84" i="6" a="1"/>
  <c r="AK93" i="6" a="1"/>
  <c r="AG98" i="6" a="1"/>
  <c r="AG101" i="6" a="1"/>
  <c r="AK110" i="6" a="1"/>
  <c r="AJ113" i="6" a="1"/>
  <c r="AH116" i="6" a="1"/>
  <c r="AH118" i="6" a="1"/>
  <c r="AJ125" i="6" a="1"/>
  <c r="AH128" i="6" a="1"/>
  <c r="AK130" i="6" a="1"/>
  <c r="AH140" i="6" a="1"/>
  <c r="AK142" i="6" a="1"/>
  <c r="AI145" i="6" a="1"/>
  <c r="AK149" i="6" a="1"/>
  <c r="AJ160" i="6" a="1"/>
  <c r="AK161" i="6" a="1"/>
  <c r="AH163" i="6" a="1"/>
  <c r="AK166" i="6" a="1"/>
  <c r="AG168" i="6" a="1"/>
  <c r="AG169" i="6" a="1"/>
  <c r="AG170" i="6" a="1"/>
  <c r="AH171" i="6" a="1"/>
  <c r="AH172" i="6" a="1"/>
  <c r="AH173" i="6" a="1"/>
  <c r="AI174" i="6" a="1"/>
  <c r="AI175" i="6" a="1"/>
  <c r="AI176" i="6" a="1"/>
  <c r="AJ177" i="6" a="1"/>
  <c r="AJ178" i="6" a="1"/>
  <c r="AJ179" i="6" a="1"/>
  <c r="AK180" i="6" a="1"/>
  <c r="AK181" i="6" a="1"/>
  <c r="AK182" i="6" a="1"/>
  <c r="AG184" i="6" a="1"/>
  <c r="AG185" i="6" a="1"/>
  <c r="AG186" i="6" a="1"/>
  <c r="AH187" i="6" a="1"/>
  <c r="AH188" i="6" a="1"/>
  <c r="AH189" i="6" a="1"/>
  <c r="AI190" i="6" a="1"/>
  <c r="AI191" i="6" a="1"/>
  <c r="AI192" i="6" a="1"/>
  <c r="AJ193" i="6" a="1"/>
  <c r="AI195" i="6" a="1"/>
  <c r="AH197" i="6" a="1"/>
  <c r="AH198" i="6" a="1"/>
  <c r="AG200" i="6" a="1"/>
  <c r="AK201" i="6" a="1"/>
  <c r="AJ202" i="6" a="1"/>
  <c r="AI203" i="6" a="1"/>
  <c r="AH204" i="6" a="1"/>
  <c r="AG205" i="6" a="1"/>
  <c r="AK205" i="6" a="1"/>
  <c r="AG35" i="6" a="1"/>
  <c r="AK41" i="6" a="1"/>
  <c r="AG61" i="6" a="1"/>
  <c r="AI65" i="6" a="1"/>
  <c r="AK70" i="6" a="1"/>
  <c r="AG80" i="6" a="1"/>
  <c r="AI85" i="6" a="1"/>
  <c r="AK104" i="6" a="1"/>
  <c r="AI108" i="6" a="1"/>
  <c r="AJ111" i="6" a="1"/>
  <c r="AG121" i="6" a="1"/>
  <c r="AJ123" i="6" a="1"/>
  <c r="AH126" i="6" a="1"/>
  <c r="AJ133" i="6" a="1"/>
  <c r="AJ135" i="6" a="1"/>
  <c r="AH138" i="6" a="1"/>
  <c r="AJ145" i="6" a="1"/>
  <c r="AG152" i="6" a="1"/>
  <c r="AJ153" i="6" a="1"/>
  <c r="AH155" i="6" a="1"/>
  <c r="AK156" i="6" a="1"/>
  <c r="AH158" i="6" a="1"/>
  <c r="AI159" i="6" a="1"/>
  <c r="AK160" i="6" a="1"/>
  <c r="AJ164" i="6" a="1"/>
  <c r="AK165" i="6" a="1"/>
  <c r="AG167" i="6" a="1"/>
  <c r="AH170" i="6" a="1"/>
  <c r="AI173" i="6" a="1"/>
  <c r="AJ176" i="6" a="1"/>
  <c r="AK179" i="6" a="1"/>
  <c r="AG183" i="6" a="1"/>
  <c r="AH186" i="6" a="1"/>
  <c r="AI189" i="6" a="1"/>
  <c r="AJ192" i="6" a="1"/>
  <c r="AJ194" i="6" a="1"/>
  <c r="AI196" i="6" a="1"/>
  <c r="AI197" i="6" a="1"/>
  <c r="AH199" i="6" a="1"/>
  <c r="AG201" i="6" a="1"/>
  <c r="AJ27" i="6" a="1"/>
  <c r="AH49" i="6" a="1"/>
  <c r="AJ54" i="6" a="1"/>
  <c r="AJ61" i="6" a="1"/>
  <c r="AH76" i="6" a="1"/>
  <c r="AH81" i="6" a="1"/>
  <c r="AJ90" i="6" a="1"/>
  <c r="AI98" i="6" a="1"/>
  <c r="AG102" i="6" a="1"/>
  <c r="AK105" i="6" a="1"/>
  <c r="AI114" i="6" a="1"/>
  <c r="AI116" i="6" a="1"/>
  <c r="AG119" i="6" a="1"/>
  <c r="AI126" i="6" a="1"/>
  <c r="AG129" i="6" a="1"/>
  <c r="AG131" i="6" a="1"/>
  <c r="AI138" i="6" a="1"/>
  <c r="AG141" i="6" a="1"/>
  <c r="AJ143" i="6" a="1"/>
  <c r="AH148" i="6" a="1"/>
  <c r="AI158" i="6" a="1"/>
  <c r="AH162" i="6" a="1"/>
  <c r="AI163" i="6" a="1"/>
  <c r="AK164" i="6" a="1"/>
  <c r="AH167" i="6" a="1"/>
  <c r="AH168" i="6" a="1"/>
  <c r="AH169" i="6" a="1"/>
  <c r="AI170" i="6" a="1"/>
  <c r="AI171" i="6" a="1"/>
  <c r="AI172" i="6" a="1"/>
  <c r="AJ173" i="6" a="1"/>
  <c r="AJ174" i="6" a="1"/>
  <c r="AJ175" i="6" a="1"/>
  <c r="AK176" i="6" a="1"/>
  <c r="AK177" i="6" a="1"/>
  <c r="AK178" i="6" a="1"/>
  <c r="AG180" i="6" a="1"/>
  <c r="AG181" i="6" a="1"/>
  <c r="AG182" i="6" a="1"/>
  <c r="AH183" i="6" a="1"/>
  <c r="AH184" i="6" a="1"/>
  <c r="AH185" i="6" a="1"/>
  <c r="AI186" i="6" a="1"/>
  <c r="AI187" i="6" a="1"/>
  <c r="AI188" i="6" a="1"/>
  <c r="AJ189" i="6" a="1"/>
  <c r="AJ190" i="6" a="1"/>
  <c r="AJ191" i="6" a="1"/>
  <c r="AK192" i="6" a="1"/>
  <c r="AK193" i="6" a="1"/>
  <c r="AJ195" i="6" a="1"/>
  <c r="AJ196" i="6" a="1"/>
  <c r="AI198" i="6" a="1"/>
  <c r="AH200" i="6" a="1"/>
  <c r="AG202" i="6" a="1"/>
  <c r="AK202" i="6" a="1"/>
  <c r="AJ203" i="6" a="1"/>
  <c r="AI204" i="6" a="1"/>
  <c r="AH205" i="6" a="1"/>
  <c r="AG206" i="6" a="1"/>
  <c r="AK206" i="6" a="1"/>
  <c r="AJ207" i="6" a="1"/>
  <c r="AI208" i="6" a="1"/>
  <c r="AH209" i="6" a="1"/>
  <c r="AG210" i="6" a="1"/>
  <c r="AK210" i="6" a="1"/>
  <c r="AJ211" i="6" a="1"/>
  <c r="AI212" i="6" a="1"/>
  <c r="AH213" i="6" a="1"/>
  <c r="AG214" i="6" a="1"/>
  <c r="AK214" i="6" a="1"/>
  <c r="AJ215" i="6" a="1"/>
  <c r="AI216" i="6" a="1"/>
  <c r="AH217" i="6" a="1"/>
  <c r="AG218" i="6" a="1"/>
  <c r="AK218" i="6" a="1"/>
  <c r="AJ219" i="6" a="1"/>
  <c r="AK27" i="6" a="1"/>
  <c r="AH37" i="6" a="1"/>
  <c r="AJ42" i="6" a="1"/>
  <c r="AK49" i="6" a="1"/>
  <c r="AG72" i="6" a="1"/>
  <c r="AI76" i="6" a="1"/>
  <c r="AJ86" i="6" a="1"/>
  <c r="AI95" i="6" a="1"/>
  <c r="AI99" i="6" a="1"/>
  <c r="AI109" i="6" a="1"/>
  <c r="AK111" i="6" a="1"/>
  <c r="AH119" i="6" a="1"/>
  <c r="AK121" i="6" a="1"/>
  <c r="AI124" i="6" a="1"/>
  <c r="AK133" i="6" a="1"/>
  <c r="AI136" i="6" a="1"/>
  <c r="AG139" i="6" a="1"/>
  <c r="AI146" i="6" a="1"/>
  <c r="AJ150" i="6" a="1"/>
  <c r="AH152" i="6" a="1"/>
  <c r="AK153" i="6" a="1"/>
  <c r="AI155" i="6" a="1"/>
  <c r="AG157" i="6" a="1"/>
  <c r="AK159" i="6" a="1"/>
  <c r="AG161" i="6" a="1"/>
  <c r="AI162" i="6" a="1"/>
  <c r="AH166" i="6" a="1"/>
  <c r="AI169" i="6" a="1"/>
  <c r="AJ172" i="6" a="1"/>
  <c r="AK175" i="6" a="1"/>
  <c r="AG179" i="6" a="1"/>
  <c r="AH182" i="6" a="1"/>
  <c r="AI185" i="6" a="1"/>
  <c r="AJ188" i="6" a="1"/>
  <c r="AK191" i="6" a="1"/>
  <c r="AK194" i="6" a="1"/>
  <c r="AK195" i="6" a="1"/>
  <c r="AJ197" i="6" a="1"/>
  <c r="AI199" i="6" a="1"/>
  <c r="AH201" i="6" a="1"/>
  <c r="AI63" i="6" a="1"/>
  <c r="AJ99" i="6" a="1"/>
  <c r="AJ109" i="6" a="1"/>
  <c r="AI115" i="6" a="1"/>
  <c r="AJ122" i="6" a="1"/>
  <c r="AH129" i="6" a="1"/>
  <c r="AJ157" i="6" a="1"/>
  <c r="AJ170" i="6" a="1"/>
  <c r="AG173" i="6" a="1"/>
  <c r="AH179" i="6" a="1"/>
  <c r="AJ181" i="6" a="1"/>
  <c r="AJ184" i="6" a="1"/>
  <c r="AJ187" i="6" a="1"/>
  <c r="AG190" i="6" a="1"/>
  <c r="AJ200" i="6" a="1"/>
  <c r="AG203" i="6" a="1"/>
  <c r="AK204" i="6" a="1"/>
  <c r="AG207" i="6" a="1"/>
  <c r="AJ208" i="6" a="1"/>
  <c r="AH210" i="6" a="1"/>
  <c r="AK211" i="6" a="1"/>
  <c r="AI213" i="6" a="1"/>
  <c r="AG215" i="6" a="1"/>
  <c r="AJ216" i="6" a="1"/>
  <c r="AK217" i="6" a="1"/>
  <c r="AG149" i="6" a="1"/>
  <c r="AI161" i="6" a="1"/>
  <c r="AG165" i="6" a="1"/>
  <c r="AK173" i="6" a="1"/>
  <c r="AH176" i="6" a="1"/>
  <c r="AI182" i="6" a="1"/>
  <c r="AK184" i="6" a="1"/>
  <c r="AK187" i="6" a="1"/>
  <c r="AH193" i="6" a="1"/>
  <c r="AG196" i="6" a="1"/>
  <c r="AJ198" i="6" a="1"/>
  <c r="AI205" i="6" a="1"/>
  <c r="AG219" i="6" a="1"/>
  <c r="AG188" i="6" a="1"/>
  <c r="AG194" i="6" a="1"/>
  <c r="AI201" i="6" a="1"/>
  <c r="AK208" i="6" a="1"/>
  <c r="AG212" i="6" a="1"/>
  <c r="AH215" i="6" a="1"/>
  <c r="AK216" i="6" a="1"/>
  <c r="AK213" i="6" a="1"/>
  <c r="AH218" i="6" a="1"/>
  <c r="AJ72" i="6" a="1"/>
  <c r="AH127" i="6" a="1"/>
  <c r="AJ169" i="6" a="1"/>
  <c r="AI180" i="6" a="1"/>
  <c r="AG197" i="6" a="1"/>
  <c r="AI217" i="6" a="1"/>
  <c r="AJ114" i="6" a="1"/>
  <c r="AK163" i="6" a="1"/>
  <c r="AH181" i="6" a="1"/>
  <c r="AK189" i="6" a="1"/>
  <c r="AJ204" i="6" a="1"/>
  <c r="AH211" i="6" a="1"/>
  <c r="AG216" i="6" a="1"/>
  <c r="AH107" i="6" a="1"/>
  <c r="AG164" i="6" a="1"/>
  <c r="AI178" i="6" a="1"/>
  <c r="AG193" i="6" a="1"/>
  <c r="AI202" i="6" a="1"/>
  <c r="AK209" i="6" a="1"/>
  <c r="AH216" i="6" a="1"/>
  <c r="AH31" i="6" a="1"/>
  <c r="AG50" i="6" a="1"/>
  <c r="AJ63" i="6" a="1"/>
  <c r="AK109" i="6" a="1"/>
  <c r="AH117" i="6" a="1"/>
  <c r="AG142" i="6" a="1"/>
  <c r="AJ167" i="6" a="1"/>
  <c r="AK190" i="6" a="1"/>
  <c r="AH212" i="6" a="1"/>
  <c r="AH219" i="6" a="1"/>
  <c r="AJ218" i="6" a="1"/>
  <c r="AK51" i="6" a="1"/>
  <c r="AH67" i="6" a="1"/>
  <c r="AH78" i="6" a="1"/>
  <c r="AH92" i="6" a="1"/>
  <c r="AH103" i="6" a="1"/>
  <c r="AJ110" i="6" a="1"/>
  <c r="AG130" i="6" a="1"/>
  <c r="AH137" i="6" a="1"/>
  <c r="AK143" i="6" a="1"/>
  <c r="AI154" i="6" a="1"/>
  <c r="AJ158" i="6" a="1"/>
  <c r="AJ161" i="6" a="1"/>
  <c r="AI168" i="6" a="1"/>
  <c r="AK170" i="6" a="1"/>
  <c r="AG177" i="6" a="1"/>
  <c r="AI179" i="6" a="1"/>
  <c r="AJ185" i="6" a="1"/>
  <c r="AG191" i="6" a="1"/>
  <c r="AH203" i="6" a="1"/>
  <c r="AH207" i="6" a="1"/>
  <c r="AI210" i="6" a="1"/>
  <c r="AJ213" i="6" a="1"/>
  <c r="AG217" i="6" a="1"/>
  <c r="AK112" i="6" a="1"/>
  <c r="AG160" i="6" a="1"/>
  <c r="AG178" i="6" a="1"/>
  <c r="AG195" i="6" a="1"/>
  <c r="AG204" i="6" a="1"/>
  <c r="AI218" i="6" a="1"/>
  <c r="AH87" i="6" a="1"/>
  <c r="AJ146" i="6" a="1"/>
  <c r="AK172" i="6" a="1"/>
  <c r="AJ183" i="6" a="1"/>
  <c r="AI206" i="6" a="1"/>
  <c r="AK212" i="6" a="1"/>
  <c r="AJ44" i="6" a="1"/>
  <c r="AK141" i="6" a="1"/>
  <c r="AI167" i="6" a="1"/>
  <c r="AI181" i="6" a="1"/>
  <c r="AH195" i="6" a="1"/>
  <c r="AJ206" i="6" a="1"/>
  <c r="AG213" i="6" a="1"/>
  <c r="AK219" i="6" a="1"/>
  <c r="AI68" i="6" a="1"/>
  <c r="AK81" i="6" a="1"/>
  <c r="AI103" i="6" a="1"/>
  <c r="AG118" i="6" a="1"/>
  <c r="AJ124" i="6" a="1"/>
  <c r="AK131" i="6" a="1"/>
  <c r="AI165" i="6" a="1"/>
  <c r="AJ168" i="6" a="1"/>
  <c r="AJ171" i="6" a="1"/>
  <c r="AG174" i="6" a="1"/>
  <c r="AH180" i="6" a="1"/>
  <c r="AJ182" i="6" a="1"/>
  <c r="AK188" i="6" a="1"/>
  <c r="AH191" i="6" a="1"/>
  <c r="AH194" i="6" a="1"/>
  <c r="AK196" i="6" a="1"/>
  <c r="AK198" i="6" a="1"/>
  <c r="AK203" i="6" a="1"/>
  <c r="AJ205" i="6" a="1"/>
  <c r="AI207" i="6" a="1"/>
  <c r="AG209" i="6" a="1"/>
  <c r="AJ210" i="6" a="1"/>
  <c r="AI215" i="6" a="1"/>
  <c r="AK39" i="6" a="1"/>
  <c r="AG106" i="6" a="1"/>
  <c r="AJ132" i="6" a="1"/>
  <c r="AG156" i="6" a="1"/>
  <c r="AG175" i="6" a="1"/>
  <c r="AJ186" i="6" a="1"/>
  <c r="AJ199" i="6" a="1"/>
  <c r="AI219" i="6" a="1"/>
  <c r="AG140" i="6" a="1"/>
  <c r="AH175" i="6" a="1"/>
  <c r="AH192" i="6" a="1"/>
  <c r="AG208" i="6" a="1"/>
  <c r="AI127" i="6" a="1"/>
  <c r="AK152" i="6" a="1"/>
  <c r="AK169" i="6" a="1"/>
  <c r="AI184" i="6" a="1"/>
  <c r="AK197" i="6" a="1"/>
  <c r="AH208" i="6" a="1"/>
  <c r="AJ214" i="6" a="1"/>
  <c r="AG38" i="6" a="1"/>
  <c r="AH57" i="6" a="1"/>
  <c r="AG83" i="6" a="1"/>
  <c r="AJ112" i="6" a="1"/>
  <c r="AK119" i="6" a="1"/>
  <c r="AG132" i="6" a="1"/>
  <c r="AH139" i="6" a="1"/>
  <c r="AJ144" i="6" a="1"/>
  <c r="AH151" i="6" a="1"/>
  <c r="AG159" i="6" a="1"/>
  <c r="AJ162" i="6" a="1"/>
  <c r="AI166" i="6" a="1"/>
  <c r="AK168" i="6" a="1"/>
  <c r="AK171" i="6" a="1"/>
  <c r="AK174" i="6" a="1"/>
  <c r="AH177" i="6" a="1"/>
  <c r="AI183" i="6" a="1"/>
  <c r="AK185" i="6" a="1"/>
  <c r="AG192" i="6" a="1"/>
  <c r="AJ201" i="6" a="1"/>
  <c r="AH206" i="6" a="1"/>
  <c r="AK207" i="6" a="1"/>
  <c r="AI209" i="6" a="1"/>
  <c r="AG211" i="6" a="1"/>
  <c r="AJ212" i="6" a="1"/>
  <c r="AH214" i="6" a="1"/>
  <c r="AK215" i="6" a="1"/>
  <c r="AJ83" i="6" a="1"/>
  <c r="AG120" i="6" a="1"/>
  <c r="AG172" i="6" a="1"/>
  <c r="AG189" i="6" a="1"/>
  <c r="AH202" i="6" a="1"/>
  <c r="AG97" i="6" a="1"/>
  <c r="AJ166" i="6" a="1"/>
  <c r="AH178" i="6" a="1"/>
  <c r="AK199" i="6" a="1"/>
  <c r="AJ209" i="6" a="1"/>
  <c r="AI214" i="6" a="1"/>
  <c r="AK73" i="6" a="1"/>
  <c r="AJ134" i="6" a="1"/>
  <c r="AH160" i="6" a="1"/>
  <c r="AG176" i="6" a="1"/>
  <c r="AK186" i="6" a="1"/>
  <c r="AI200" i="6" a="1"/>
  <c r="AI211" i="6" a="1"/>
  <c r="AJ217" i="6" a="1"/>
  <c r="AH20" i="6" a="1"/>
  <c r="AI20" i="6" a="1"/>
  <c r="AJ20" i="6" a="1"/>
  <c r="AK20" i="6" a="1"/>
  <c r="AG20" i="6" a="1"/>
  <c r="AF21" i="6" a="1"/>
  <c r="AF25" i="6" a="1"/>
  <c r="AF29" i="6" a="1"/>
  <c r="AF33" i="6" a="1"/>
  <c r="AF37" i="6" a="1"/>
  <c r="AF41" i="6" a="1"/>
  <c r="AF45" i="6" a="1"/>
  <c r="AF49" i="6" a="1"/>
  <c r="AF53" i="6" a="1"/>
  <c r="AF57" i="6" a="1"/>
  <c r="AF61" i="6" a="1"/>
  <c r="AF65" i="6" a="1"/>
  <c r="AF69" i="6" a="1"/>
  <c r="AF73" i="6" a="1"/>
  <c r="AF77" i="6" a="1"/>
  <c r="AF81" i="6" a="1"/>
  <c r="AF85" i="6" a="1"/>
  <c r="AF89" i="6" a="1"/>
  <c r="AF93" i="6" a="1"/>
  <c r="AF97" i="6" a="1"/>
  <c r="AF101" i="6" a="1"/>
  <c r="AF105" i="6" a="1"/>
  <c r="AF109" i="6" a="1"/>
  <c r="AF113" i="6" a="1"/>
  <c r="AF117" i="6" a="1"/>
  <c r="AF121" i="6" a="1"/>
  <c r="AF125" i="6" a="1"/>
  <c r="AF129" i="6" a="1"/>
  <c r="AF133" i="6" a="1"/>
  <c r="AF137" i="6" a="1"/>
  <c r="AF141" i="6" a="1"/>
  <c r="AF145" i="6" a="1"/>
  <c r="AF149" i="6" a="1"/>
  <c r="AF153" i="6" a="1"/>
  <c r="AF157" i="6" a="1"/>
  <c r="AF161" i="6" a="1"/>
  <c r="AF165" i="6" a="1"/>
  <c r="AF169" i="6" a="1"/>
  <c r="AF173" i="6" a="1"/>
  <c r="AF177" i="6" a="1"/>
  <c r="AF181" i="6" a="1"/>
  <c r="AF185" i="6" a="1"/>
  <c r="AF189" i="6" a="1"/>
  <c r="AF193" i="6" a="1"/>
  <c r="AF197" i="6" a="1"/>
  <c r="AF201" i="6" a="1"/>
  <c r="AF205" i="6" a="1"/>
  <c r="AF209" i="6" a="1"/>
  <c r="AF213" i="6" a="1"/>
  <c r="AF217" i="6" a="1"/>
  <c r="AF22" i="6" a="1"/>
  <c r="AF26" i="6" a="1"/>
  <c r="AF30" i="6" a="1"/>
  <c r="AF34" i="6" a="1"/>
  <c r="AF38" i="6" a="1"/>
  <c r="AF42" i="6" a="1"/>
  <c r="AF46" i="6" a="1"/>
  <c r="AF50" i="6" a="1"/>
  <c r="AF54" i="6" a="1"/>
  <c r="AF58" i="6" a="1"/>
  <c r="AF62" i="6" a="1"/>
  <c r="AF66" i="6" a="1"/>
  <c r="AF70" i="6" a="1"/>
  <c r="AF74" i="6" a="1"/>
  <c r="AF78" i="6" a="1"/>
  <c r="AF82" i="6" a="1"/>
  <c r="AF86" i="6" a="1"/>
  <c r="AF90" i="6" a="1"/>
  <c r="AF94" i="6" a="1"/>
  <c r="AF98" i="6" a="1"/>
  <c r="AF102" i="6" a="1"/>
  <c r="AF106" i="6" a="1"/>
  <c r="AF110" i="6" a="1"/>
  <c r="AF114" i="6" a="1"/>
  <c r="AF118" i="6" a="1"/>
  <c r="AF122" i="6" a="1"/>
  <c r="AF126" i="6" a="1"/>
  <c r="AF130" i="6" a="1"/>
  <c r="AF134" i="6" a="1"/>
  <c r="AF138" i="6" a="1"/>
  <c r="AF142" i="6" a="1"/>
  <c r="AF146" i="6" a="1"/>
  <c r="AF150" i="6" a="1"/>
  <c r="AF154" i="6" a="1"/>
  <c r="AF158" i="6" a="1"/>
  <c r="AF162" i="6" a="1"/>
  <c r="AF166" i="6" a="1"/>
  <c r="AF170" i="6" a="1"/>
  <c r="AF174" i="6" a="1"/>
  <c r="AF178" i="6" a="1"/>
  <c r="AF182" i="6" a="1"/>
  <c r="AF186" i="6" a="1"/>
  <c r="AF190" i="6" a="1"/>
  <c r="AF194" i="6" a="1"/>
  <c r="AF198" i="6" a="1"/>
  <c r="AF202" i="6" a="1"/>
  <c r="AF206" i="6" a="1"/>
  <c r="AF210" i="6" a="1"/>
  <c r="AF214" i="6" a="1"/>
  <c r="AF218" i="6" a="1"/>
  <c r="AF147" i="6" a="1"/>
  <c r="AF159" i="6" a="1"/>
  <c r="AF167" i="6" a="1"/>
  <c r="AF175" i="6" a="1"/>
  <c r="AF187" i="6" a="1"/>
  <c r="AF195" i="6" a="1"/>
  <c r="AF203" i="6" a="1"/>
  <c r="AF211" i="6" a="1"/>
  <c r="AF219" i="6" a="1"/>
  <c r="AF23" i="6" a="1"/>
  <c r="AF27" i="6" a="1"/>
  <c r="AF31" i="6" a="1"/>
  <c r="AF35" i="6" a="1"/>
  <c r="AF39" i="6" a="1"/>
  <c r="AF43" i="6" a="1"/>
  <c r="AF47" i="6" a="1"/>
  <c r="AF51" i="6" a="1"/>
  <c r="AF55" i="6" a="1"/>
  <c r="AF59" i="6" a="1"/>
  <c r="AF63" i="6" a="1"/>
  <c r="AF67" i="6" a="1"/>
  <c r="AF71" i="6" a="1"/>
  <c r="AF75" i="6" a="1"/>
  <c r="AF79" i="6" a="1"/>
  <c r="AF83" i="6" a="1"/>
  <c r="AF87" i="6" a="1"/>
  <c r="AF91" i="6" a="1"/>
  <c r="AF95" i="6" a="1"/>
  <c r="AF99" i="6" a="1"/>
  <c r="AF103" i="6" a="1"/>
  <c r="AF107" i="6" a="1"/>
  <c r="AF111" i="6" a="1"/>
  <c r="AF115" i="6" a="1"/>
  <c r="AF119" i="6" a="1"/>
  <c r="AF123" i="6" a="1"/>
  <c r="AF127" i="6" a="1"/>
  <c r="AF131" i="6" a="1"/>
  <c r="AF135" i="6" a="1"/>
  <c r="AF139" i="6" a="1"/>
  <c r="AF143" i="6" a="1"/>
  <c r="AF151" i="6" a="1"/>
  <c r="AF155" i="6" a="1"/>
  <c r="AF163" i="6" a="1"/>
  <c r="AF171" i="6" a="1"/>
  <c r="AF179" i="6" a="1"/>
  <c r="AF183" i="6" a="1"/>
  <c r="AF191" i="6" a="1"/>
  <c r="AF199" i="6" a="1"/>
  <c r="AF207" i="6" a="1"/>
  <c r="AF215" i="6" a="1"/>
  <c r="AF24" i="6" a="1"/>
  <c r="AF40" i="6" a="1"/>
  <c r="AF56" i="6" a="1"/>
  <c r="AF72" i="6" a="1"/>
  <c r="AF88" i="6" a="1"/>
  <c r="AF104" i="6" a="1"/>
  <c r="AF120" i="6" a="1"/>
  <c r="AF136" i="6" a="1"/>
  <c r="AF152" i="6" a="1"/>
  <c r="AF180" i="6" a="1"/>
  <c r="AF216" i="6" a="1"/>
  <c r="AF44" i="6" a="1"/>
  <c r="AF76" i="6" a="1"/>
  <c r="AF108" i="6" a="1"/>
  <c r="AF124" i="6" a="1"/>
  <c r="AF156" i="6" a="1"/>
  <c r="AF208" i="6" a="1"/>
  <c r="AF160" i="6" a="1"/>
  <c r="AF188" i="6" a="1"/>
  <c r="AF68" i="6" a="1"/>
  <c r="AF100" i="6" a="1"/>
  <c r="AF176" i="6" a="1"/>
  <c r="AF168" i="6" a="1"/>
  <c r="AF196" i="6" a="1"/>
  <c r="AF60" i="6" a="1"/>
  <c r="AF92" i="6" a="1"/>
  <c r="AF140" i="6" a="1"/>
  <c r="AF184" i="6" a="1"/>
  <c r="AF128" i="6" a="1"/>
  <c r="AF172" i="6" a="1"/>
  <c r="AF52" i="6" a="1"/>
  <c r="AF132" i="6" a="1"/>
  <c r="AF192" i="6" a="1"/>
  <c r="AF28" i="6" a="1"/>
  <c r="AF36" i="6" a="1"/>
  <c r="AF148" i="6" a="1"/>
  <c r="AF32" i="6" a="1"/>
  <c r="AF48" i="6" a="1"/>
  <c r="AF64" i="6" a="1"/>
  <c r="AF80" i="6" a="1"/>
  <c r="AF96" i="6" a="1"/>
  <c r="AF112" i="6" a="1"/>
  <c r="AF144" i="6" a="1"/>
  <c r="AF200" i="6" a="1"/>
  <c r="AF212" i="6" a="1"/>
  <c r="AF84" i="6" a="1"/>
  <c r="AF116" i="6" a="1"/>
  <c r="AF164" i="6" a="1"/>
  <c r="AF204" i="6" a="1"/>
  <c r="AF20" i="6" a="1"/>
  <c r="AJ217" i="6" l="1"/>
  <c r="AI211" i="6"/>
  <c r="AI200" i="6"/>
  <c r="AK186" i="6"/>
  <c r="AG176" i="6"/>
  <c r="AH160" i="6"/>
  <c r="AJ134" i="6"/>
  <c r="AK73" i="6"/>
  <c r="AI214" i="6"/>
  <c r="AJ209" i="6"/>
  <c r="AK199" i="6"/>
  <c r="AH178" i="6"/>
  <c r="AJ166" i="6"/>
  <c r="AG97" i="6"/>
  <c r="AH202" i="6"/>
  <c r="AG189" i="6"/>
  <c r="AG172" i="6"/>
  <c r="AG120" i="6"/>
  <c r="AJ83" i="6"/>
  <c r="AK215" i="6"/>
  <c r="AH214" i="6"/>
  <c r="AJ212" i="6"/>
  <c r="AG211" i="6"/>
  <c r="AI209" i="6"/>
  <c r="AK207" i="6"/>
  <c r="AH206" i="6"/>
  <c r="AJ201" i="6"/>
  <c r="AG192" i="6"/>
  <c r="AK185" i="6"/>
  <c r="AI183" i="6"/>
  <c r="AH177" i="6"/>
  <c r="AK174" i="6"/>
  <c r="AK171" i="6"/>
  <c r="AK168" i="6"/>
  <c r="AI166" i="6"/>
  <c r="AJ162" i="6"/>
  <c r="AG159" i="6"/>
  <c r="AH151" i="6"/>
  <c r="AJ144" i="6"/>
  <c r="AH139" i="6"/>
  <c r="AG132" i="6"/>
  <c r="AK119" i="6"/>
  <c r="AJ112" i="6"/>
  <c r="AG83" i="6"/>
  <c r="AH57" i="6"/>
  <c r="AG38" i="6"/>
  <c r="AJ214" i="6"/>
  <c r="AH208" i="6"/>
  <c r="AK197" i="6"/>
  <c r="AI184" i="6"/>
  <c r="AK169" i="6"/>
  <c r="AK152" i="6"/>
  <c r="AI127" i="6"/>
  <c r="AG208" i="6"/>
  <c r="AH192" i="6"/>
  <c r="AH175" i="6"/>
  <c r="AG140" i="6"/>
  <c r="AI219" i="6"/>
  <c r="AJ199" i="6"/>
  <c r="AJ186" i="6"/>
  <c r="AG175" i="6"/>
  <c r="AG156" i="6"/>
  <c r="AJ132" i="6"/>
  <c r="AG106" i="6"/>
  <c r="AK39" i="6"/>
  <c r="AI215" i="6"/>
  <c r="AJ210" i="6"/>
  <c r="AG209" i="6"/>
  <c r="AI207" i="6"/>
  <c r="AJ205" i="6"/>
  <c r="AK203" i="6"/>
  <c r="AK198" i="6"/>
  <c r="AK196" i="6"/>
  <c r="AH194" i="6"/>
  <c r="AH191" i="6"/>
  <c r="AK188" i="6"/>
  <c r="AJ182" i="6"/>
  <c r="AH180" i="6"/>
  <c r="AG174" i="6"/>
  <c r="AJ171" i="6"/>
  <c r="AJ168" i="6"/>
  <c r="AI165" i="6"/>
  <c r="AK131" i="6"/>
  <c r="AJ124" i="6"/>
  <c r="AG118" i="6"/>
  <c r="AI103" i="6"/>
  <c r="AK81" i="6"/>
  <c r="AI68" i="6"/>
  <c r="AK219" i="6"/>
  <c r="AG213" i="6"/>
  <c r="AJ206" i="6"/>
  <c r="AH195" i="6"/>
  <c r="AI181" i="6"/>
  <c r="AI167" i="6"/>
  <c r="AK141" i="6"/>
  <c r="AJ44" i="6"/>
  <c r="AK212" i="6"/>
  <c r="AI206" i="6"/>
  <c r="AJ183" i="6"/>
  <c r="AK172" i="6"/>
  <c r="AJ146" i="6"/>
  <c r="AH87" i="6"/>
  <c r="AI218" i="6"/>
  <c r="AG204" i="6"/>
  <c r="AG195" i="6"/>
  <c r="AG178" i="6"/>
  <c r="AG160" i="6"/>
  <c r="AK112" i="6"/>
  <c r="AG217" i="6"/>
  <c r="AJ213" i="6"/>
  <c r="AI210" i="6"/>
  <c r="AH207" i="6"/>
  <c r="AH203" i="6"/>
  <c r="AG191" i="6"/>
  <c r="AJ185" i="6"/>
  <c r="AI179" i="6"/>
  <c r="AG177" i="6"/>
  <c r="AK170" i="6"/>
  <c r="AI168" i="6"/>
  <c r="AJ161" i="6"/>
  <c r="AJ158" i="6"/>
  <c r="AI154" i="6"/>
  <c r="AK143" i="6"/>
  <c r="AH137" i="6"/>
  <c r="AG130" i="6"/>
  <c r="AJ110" i="6"/>
  <c r="AH103" i="6"/>
  <c r="AH92" i="6"/>
  <c r="AH78" i="6"/>
  <c r="AH67" i="6"/>
  <c r="AK51" i="6"/>
  <c r="AJ218" i="6"/>
  <c r="AH219" i="6"/>
  <c r="AH212" i="6"/>
  <c r="AK190" i="6"/>
  <c r="AJ167" i="6"/>
  <c r="AG142" i="6"/>
  <c r="AH117" i="6"/>
  <c r="AK109" i="6"/>
  <c r="AJ63" i="6"/>
  <c r="AG50" i="6"/>
  <c r="AH31" i="6"/>
  <c r="AH216" i="6"/>
  <c r="AK209" i="6"/>
  <c r="AI202" i="6"/>
  <c r="AG193" i="6"/>
  <c r="AI178" i="6"/>
  <c r="AG164" i="6"/>
  <c r="AH107" i="6"/>
  <c r="AG216" i="6"/>
  <c r="AH211" i="6"/>
  <c r="AJ204" i="6"/>
  <c r="AK189" i="6"/>
  <c r="AH181" i="6"/>
  <c r="AK163" i="6"/>
  <c r="AJ114" i="6"/>
  <c r="AI217" i="6"/>
  <c r="AG197" i="6"/>
  <c r="AI180" i="6"/>
  <c r="AJ169" i="6"/>
  <c r="AH127" i="6"/>
  <c r="AJ72" i="6"/>
  <c r="AH218" i="6"/>
  <c r="AK213" i="6"/>
  <c r="AK216" i="6"/>
  <c r="AH215" i="6"/>
  <c r="AG212" i="6"/>
  <c r="AK208" i="6"/>
  <c r="AI201" i="6"/>
  <c r="AG194" i="6"/>
  <c r="AG188" i="6"/>
  <c r="AG219" i="6"/>
  <c r="AI205" i="6"/>
  <c r="AJ198" i="6"/>
  <c r="AG196" i="6"/>
  <c r="AH193" i="6"/>
  <c r="AK187" i="6"/>
  <c r="AK184" i="6"/>
  <c r="AI182" i="6"/>
  <c r="AH176" i="6"/>
  <c r="AK173" i="6"/>
  <c r="AG165" i="6"/>
  <c r="AI161" i="6"/>
  <c r="AG149" i="6"/>
  <c r="AK217" i="6"/>
  <c r="AJ216" i="6"/>
  <c r="AG215" i="6"/>
  <c r="AI213" i="6"/>
  <c r="AK211" i="6"/>
  <c r="AH210" i="6"/>
  <c r="AJ208" i="6"/>
  <c r="AG207" i="6"/>
  <c r="AK204" i="6"/>
  <c r="AG203" i="6"/>
  <c r="AJ200" i="6"/>
  <c r="AG190" i="6"/>
  <c r="AJ187" i="6"/>
  <c r="AJ184" i="6"/>
  <c r="AJ181" i="6"/>
  <c r="AH179" i="6"/>
  <c r="AG173" i="6"/>
  <c r="AJ170" i="6"/>
  <c r="AJ157" i="6"/>
  <c r="AH129" i="6"/>
  <c r="AJ122" i="6"/>
  <c r="AI115" i="6"/>
  <c r="AJ109" i="6"/>
  <c r="AJ99" i="6"/>
  <c r="AI63" i="6"/>
  <c r="AH201" i="6"/>
  <c r="AI199" i="6"/>
  <c r="AJ197" i="6"/>
  <c r="AK195" i="6"/>
  <c r="AK194" i="6"/>
  <c r="AK191" i="6"/>
  <c r="AJ188" i="6"/>
  <c r="AI185" i="6"/>
  <c r="AH182" i="6"/>
  <c r="AG179" i="6"/>
  <c r="AK175" i="6"/>
  <c r="AJ172" i="6"/>
  <c r="AI169" i="6"/>
  <c r="AH166" i="6"/>
  <c r="AI162" i="6"/>
  <c r="AG161" i="6"/>
  <c r="AK159" i="6"/>
  <c r="AG157" i="6"/>
  <c r="AI155" i="6"/>
  <c r="AK153" i="6"/>
  <c r="AH152" i="6"/>
  <c r="AJ150" i="6"/>
  <c r="AI146" i="6"/>
  <c r="AG139" i="6"/>
  <c r="AI136" i="6"/>
  <c r="AK133" i="6"/>
  <c r="AI124" i="6"/>
  <c r="AK121" i="6"/>
  <c r="AH119" i="6"/>
  <c r="AK111" i="6"/>
  <c r="AI109" i="6"/>
  <c r="AI99" i="6"/>
  <c r="AI95" i="6"/>
  <c r="AJ86" i="6"/>
  <c r="AI76" i="6"/>
  <c r="AG72" i="6"/>
  <c r="AK49" i="6"/>
  <c r="AJ42" i="6"/>
  <c r="AH37" i="6"/>
  <c r="AK27" i="6"/>
  <c r="AJ219" i="6"/>
  <c r="AK218" i="6"/>
  <c r="AG218" i="6"/>
  <c r="AH217" i="6"/>
  <c r="AI216" i="6"/>
  <c r="AJ215" i="6"/>
  <c r="AK214" i="6"/>
  <c r="AG214" i="6"/>
  <c r="AH213" i="6"/>
  <c r="AI212" i="6"/>
  <c r="AJ211" i="6"/>
  <c r="AK210" i="6"/>
  <c r="AG210" i="6"/>
  <c r="AH209" i="6"/>
  <c r="AI208" i="6"/>
  <c r="AJ207" i="6"/>
  <c r="AK206" i="6"/>
  <c r="AG206" i="6"/>
  <c r="AH205" i="6"/>
  <c r="AI204" i="6"/>
  <c r="AJ203" i="6"/>
  <c r="AK202" i="6"/>
  <c r="AG202" i="6"/>
  <c r="AH200" i="6"/>
  <c r="AI198" i="6"/>
  <c r="AJ196" i="6"/>
  <c r="AJ195" i="6"/>
  <c r="AK193" i="6"/>
  <c r="AK192" i="6"/>
  <c r="AJ191" i="6"/>
  <c r="AJ190" i="6"/>
  <c r="AJ189" i="6"/>
  <c r="AI188" i="6"/>
  <c r="AI187" i="6"/>
  <c r="AI186" i="6"/>
  <c r="AH185" i="6"/>
  <c r="AH184" i="6"/>
  <c r="AH183" i="6"/>
  <c r="AG182" i="6"/>
  <c r="AG181" i="6"/>
  <c r="AG180" i="6"/>
  <c r="AK178" i="6"/>
  <c r="AK177" i="6"/>
  <c r="AK176" i="6"/>
  <c r="AJ175" i="6"/>
  <c r="AJ174" i="6"/>
  <c r="AJ173" i="6"/>
  <c r="AI172" i="6"/>
  <c r="AI171" i="6"/>
  <c r="AI170" i="6"/>
  <c r="AH169" i="6"/>
  <c r="AH168" i="6"/>
  <c r="AH167" i="6"/>
  <c r="AK164" i="6"/>
  <c r="AI163" i="6"/>
  <c r="AH162" i="6"/>
  <c r="AI158" i="6"/>
  <c r="AH148" i="6"/>
  <c r="AJ143" i="6"/>
  <c r="AG141" i="6"/>
  <c r="AI138" i="6"/>
  <c r="AG131" i="6"/>
  <c r="AG129" i="6"/>
  <c r="AI126" i="6"/>
  <c r="AG119" i="6"/>
  <c r="AI116" i="6"/>
  <c r="AI114" i="6"/>
  <c r="AK105" i="6"/>
  <c r="AG102" i="6"/>
  <c r="AI98" i="6"/>
  <c r="AJ90" i="6"/>
  <c r="AH81" i="6"/>
  <c r="AH76" i="6"/>
  <c r="AJ61" i="6"/>
  <c r="AJ54" i="6"/>
  <c r="AH49" i="6"/>
  <c r="AJ27" i="6"/>
  <c r="AG201" i="6"/>
  <c r="AH199" i="6"/>
  <c r="AI197" i="6"/>
  <c r="AI196" i="6"/>
  <c r="AJ194" i="6"/>
  <c r="AJ192" i="6"/>
  <c r="AI189" i="6"/>
  <c r="AH186" i="6"/>
  <c r="AG183" i="6"/>
  <c r="AK179" i="6"/>
  <c r="AJ176" i="6"/>
  <c r="AI173" i="6"/>
  <c r="AH170" i="6"/>
  <c r="AG167" i="6"/>
  <c r="AK165" i="6"/>
  <c r="AJ164" i="6"/>
  <c r="AK160" i="6"/>
  <c r="AI159" i="6"/>
  <c r="AH158" i="6"/>
  <c r="AK156" i="6"/>
  <c r="AH155" i="6"/>
  <c r="AJ153" i="6"/>
  <c r="AG152" i="6"/>
  <c r="AJ145" i="6"/>
  <c r="AH138" i="6"/>
  <c r="AJ135" i="6"/>
  <c r="AJ133" i="6"/>
  <c r="AH126" i="6"/>
  <c r="AJ123" i="6"/>
  <c r="AG121" i="6"/>
  <c r="AJ111" i="6"/>
  <c r="AI108" i="6"/>
  <c r="AK104" i="6"/>
  <c r="AI85" i="6"/>
  <c r="AG80" i="6"/>
  <c r="AK70" i="6"/>
  <c r="AI65" i="6"/>
  <c r="AG61" i="6"/>
  <c r="AK41" i="6"/>
  <c r="AG35" i="6"/>
  <c r="AK205" i="6"/>
  <c r="AG205" i="6"/>
  <c r="AH204" i="6"/>
  <c r="AI203" i="6"/>
  <c r="AJ202" i="6"/>
  <c r="AK201" i="6"/>
  <c r="AG200" i="6"/>
  <c r="AH198" i="6"/>
  <c r="AH197" i="6"/>
  <c r="AI195" i="6"/>
  <c r="AJ193" i="6"/>
  <c r="AI192" i="6"/>
  <c r="AI191" i="6"/>
  <c r="AI190" i="6"/>
  <c r="AH189" i="6"/>
  <c r="AH188" i="6"/>
  <c r="AH187" i="6"/>
  <c r="AG186" i="6"/>
  <c r="AG185" i="6"/>
  <c r="AG184" i="6"/>
  <c r="AK182" i="6"/>
  <c r="AK181" i="6"/>
  <c r="AK180" i="6"/>
  <c r="AJ179" i="6"/>
  <c r="AJ178" i="6"/>
  <c r="AJ177" i="6"/>
  <c r="AI176" i="6"/>
  <c r="AI175" i="6"/>
  <c r="AI174" i="6"/>
  <c r="AH173" i="6"/>
  <c r="AH172" i="6"/>
  <c r="AH171" i="6"/>
  <c r="AG170" i="6"/>
  <c r="AG169" i="6"/>
  <c r="AG168" i="6"/>
  <c r="AK166" i="6"/>
  <c r="AH163" i="6"/>
  <c r="AK161" i="6"/>
  <c r="AJ160" i="6"/>
  <c r="AK149" i="6"/>
  <c r="AI145" i="6"/>
  <c r="AK142" i="6"/>
  <c r="AH140" i="6"/>
  <c r="AK130" i="6"/>
  <c r="AH128" i="6"/>
  <c r="AJ125" i="6"/>
  <c r="AH118" i="6"/>
  <c r="AH116" i="6"/>
  <c r="AJ113" i="6"/>
  <c r="AK110" i="6"/>
  <c r="AG101" i="6"/>
  <c r="AG98" i="6"/>
  <c r="AK93" i="6"/>
  <c r="AK84" i="6"/>
  <c r="AH70" i="6"/>
  <c r="AI54" i="6"/>
  <c r="AH47" i="6"/>
  <c r="AG40" i="6"/>
  <c r="AH34" i="6"/>
  <c r="AK24" i="6"/>
  <c r="AK200" i="6"/>
  <c r="AG199" i="6"/>
  <c r="AG198" i="6"/>
  <c r="AH196" i="6"/>
  <c r="AI194" i="6"/>
  <c r="AI193" i="6"/>
  <c r="AH190" i="6"/>
  <c r="AG187" i="6"/>
  <c r="AK183" i="6"/>
  <c r="AJ180" i="6"/>
  <c r="AI177" i="6"/>
  <c r="AH174" i="6"/>
  <c r="AG171" i="6"/>
  <c r="AK167" i="6"/>
  <c r="AJ165" i="6"/>
  <c r="AH164" i="6"/>
  <c r="AG163" i="6"/>
  <c r="AH159" i="6"/>
  <c r="AK157" i="6"/>
  <c r="AH156" i="6"/>
  <c r="AJ154" i="6"/>
  <c r="AG153" i="6"/>
  <c r="AI151" i="6"/>
  <c r="AI147" i="6"/>
  <c r="AK144" i="6"/>
  <c r="AI137" i="6"/>
  <c r="AI135" i="6"/>
  <c r="AK132" i="6"/>
  <c r="AI125" i="6"/>
  <c r="AK122" i="6"/>
  <c r="AK120" i="6"/>
  <c r="AI113" i="6"/>
  <c r="AI107" i="6"/>
  <c r="AI104" i="6"/>
  <c r="AK100" i="6"/>
  <c r="AG89" i="6"/>
  <c r="AI74" i="6"/>
  <c r="AG69" i="6"/>
  <c r="AH59" i="6"/>
  <c r="AJ52" i="6"/>
  <c r="AJ31" i="6"/>
  <c r="AI150" i="6"/>
  <c r="AJ149" i="6"/>
  <c r="AK148" i="6"/>
  <c r="AG148" i="6"/>
  <c r="AH147" i="6"/>
  <c r="AH146" i="6"/>
  <c r="AI144" i="6"/>
  <c r="AJ142" i="6"/>
  <c r="AK140" i="6"/>
  <c r="AK139" i="6"/>
  <c r="AG138" i="6"/>
  <c r="AH136" i="6"/>
  <c r="AI134" i="6"/>
  <c r="AI133" i="6"/>
  <c r="AJ131" i="6"/>
  <c r="AK129" i="6"/>
  <c r="AG128" i="6"/>
  <c r="AG127" i="6"/>
  <c r="AH125" i="6"/>
  <c r="AI123" i="6"/>
  <c r="AJ121" i="6"/>
  <c r="AJ120" i="6"/>
  <c r="AK118" i="6"/>
  <c r="AG117" i="6"/>
  <c r="AH115" i="6"/>
  <c r="AH114" i="6"/>
  <c r="AI112" i="6"/>
  <c r="AI110" i="6"/>
  <c r="AH108" i="6"/>
  <c r="AK106" i="6"/>
  <c r="AJ105" i="6"/>
  <c r="AK101" i="6"/>
  <c r="AI100" i="6"/>
  <c r="AH99" i="6"/>
  <c r="AI96" i="6"/>
  <c r="AK94" i="6"/>
  <c r="AH93" i="6"/>
  <c r="AJ91" i="6"/>
  <c r="AG90" i="6"/>
  <c r="AI88" i="6"/>
  <c r="AG81" i="6"/>
  <c r="AH79" i="6"/>
  <c r="AI77" i="6"/>
  <c r="AJ75" i="6"/>
  <c r="AH68" i="6"/>
  <c r="AI66" i="6"/>
  <c r="AJ64" i="6"/>
  <c r="AK62" i="6"/>
  <c r="AG59" i="6"/>
  <c r="AI56" i="6"/>
  <c r="AG49" i="6"/>
  <c r="AI46" i="6"/>
  <c r="AI44" i="6"/>
  <c r="AG37" i="6"/>
  <c r="AG34" i="6"/>
  <c r="AK23" i="6"/>
  <c r="AG147" i="6"/>
  <c r="AH145" i="6"/>
  <c r="AI143" i="6"/>
  <c r="AJ141" i="6"/>
  <c r="AJ140" i="6"/>
  <c r="AK138" i="6"/>
  <c r="AG137" i="6"/>
  <c r="AH135" i="6"/>
  <c r="AH134" i="6"/>
  <c r="AI132" i="6"/>
  <c r="AJ130" i="6"/>
  <c r="AK128" i="6"/>
  <c r="AK127" i="6"/>
  <c r="AG126" i="6"/>
  <c r="AH124" i="6"/>
  <c r="AI122" i="6"/>
  <c r="AI121" i="6"/>
  <c r="AJ119" i="6"/>
  <c r="AK117" i="6"/>
  <c r="AG116" i="6"/>
  <c r="AG115" i="6"/>
  <c r="AH113" i="6"/>
  <c r="AI111" i="6"/>
  <c r="AH110" i="6"/>
  <c r="AH109" i="6"/>
  <c r="AG108" i="6"/>
  <c r="AH104" i="6"/>
  <c r="AK102" i="6"/>
  <c r="AJ101" i="6"/>
  <c r="AK97" i="6"/>
  <c r="AH88" i="6"/>
  <c r="AI86" i="6"/>
  <c r="AJ84" i="6"/>
  <c r="AK82" i="6"/>
  <c r="AI75" i="6"/>
  <c r="AJ73" i="6"/>
  <c r="AK71" i="6"/>
  <c r="AG70" i="6"/>
  <c r="AJ62" i="6"/>
  <c r="AK60" i="6"/>
  <c r="AH56" i="6"/>
  <c r="AJ53" i="6"/>
  <c r="AG51" i="6"/>
  <c r="AJ41" i="6"/>
  <c r="AG39" i="6"/>
  <c r="AI36" i="6"/>
  <c r="AH30" i="6"/>
  <c r="AI26" i="6"/>
  <c r="AJ23" i="6"/>
  <c r="AI157" i="6"/>
  <c r="AJ156" i="6"/>
  <c r="AK155" i="6"/>
  <c r="AG155" i="6"/>
  <c r="AH154" i="6"/>
  <c r="AI153" i="6"/>
  <c r="AJ152" i="6"/>
  <c r="AK151" i="6"/>
  <c r="AG151" i="6"/>
  <c r="AH150" i="6"/>
  <c r="AI149" i="6"/>
  <c r="AJ148" i="6"/>
  <c r="AK147" i="6"/>
  <c r="AG146" i="6"/>
  <c r="AH144" i="6"/>
  <c r="AI142" i="6"/>
  <c r="AI141" i="6"/>
  <c r="AJ139" i="6"/>
  <c r="AK137" i="6"/>
  <c r="AG136" i="6"/>
  <c r="AG135" i="6"/>
  <c r="AH133" i="6"/>
  <c r="AI131" i="6"/>
  <c r="AJ129" i="6"/>
  <c r="AJ128" i="6"/>
  <c r="AK126" i="6"/>
  <c r="AG125" i="6"/>
  <c r="AH123" i="6"/>
  <c r="AH122" i="6"/>
  <c r="AI120" i="6"/>
  <c r="AJ118" i="6"/>
  <c r="AK116" i="6"/>
  <c r="AK115" i="6"/>
  <c r="AG114" i="6"/>
  <c r="AH112" i="6"/>
  <c r="AH111" i="6"/>
  <c r="AJ106" i="6"/>
  <c r="AH105" i="6"/>
  <c r="AG104" i="6"/>
  <c r="AH100" i="6"/>
  <c r="AK98" i="6"/>
  <c r="AJ97" i="6"/>
  <c r="AH96" i="6"/>
  <c r="AJ94" i="6"/>
  <c r="AG93" i="6"/>
  <c r="AI91" i="6"/>
  <c r="AK89" i="6"/>
  <c r="AJ82" i="6"/>
  <c r="AK80" i="6"/>
  <c r="AG79" i="6"/>
  <c r="AH77" i="6"/>
  <c r="AK69" i="6"/>
  <c r="AG68" i="6"/>
  <c r="AH66" i="6"/>
  <c r="AI64" i="6"/>
  <c r="AH58" i="6"/>
  <c r="AJ55" i="6"/>
  <c r="AH48" i="6"/>
  <c r="AH46" i="6"/>
  <c r="AJ43" i="6"/>
  <c r="AK32" i="6"/>
  <c r="AG30" i="6"/>
  <c r="AK146" i="6"/>
  <c r="AG145" i="6"/>
  <c r="AH143" i="6"/>
  <c r="AH142" i="6"/>
  <c r="AI140" i="6"/>
  <c r="AJ138" i="6"/>
  <c r="AK136" i="6"/>
  <c r="AK135" i="6"/>
  <c r="AG134" i="6"/>
  <c r="AH132" i="6"/>
  <c r="AI130" i="6"/>
  <c r="AI129" i="6"/>
  <c r="AJ127" i="6"/>
  <c r="AK125" i="6"/>
  <c r="AG124" i="6"/>
  <c r="AG123" i="6"/>
  <c r="AH121" i="6"/>
  <c r="AI119" i="6"/>
  <c r="AJ117" i="6"/>
  <c r="AJ116" i="6"/>
  <c r="AK114" i="6"/>
  <c r="AG113" i="6"/>
  <c r="AG111" i="6"/>
  <c r="AG110" i="6"/>
  <c r="AG109" i="6"/>
  <c r="AJ107" i="6"/>
  <c r="AI106" i="6"/>
  <c r="AJ102" i="6"/>
  <c r="AH101" i="6"/>
  <c r="AG100" i="6"/>
  <c r="AJ87" i="6"/>
  <c r="AH80" i="6"/>
  <c r="AI78" i="6"/>
  <c r="AJ76" i="6"/>
  <c r="AK74" i="6"/>
  <c r="AI67" i="6"/>
  <c r="AJ65" i="6"/>
  <c r="AK63" i="6"/>
  <c r="AG62" i="6"/>
  <c r="AI55" i="6"/>
  <c r="AK52" i="6"/>
  <c r="AK50" i="6"/>
  <c r="AI43" i="6"/>
  <c r="AK40" i="6"/>
  <c r="AH38" i="6"/>
  <c r="AG36" i="6"/>
  <c r="AH26" i="6"/>
  <c r="AI22" i="6"/>
  <c r="AG166" i="6"/>
  <c r="AH165" i="6"/>
  <c r="AI164" i="6"/>
  <c r="AJ163" i="6"/>
  <c r="AK162" i="6"/>
  <c r="AG162" i="6"/>
  <c r="AH161" i="6"/>
  <c r="AI160" i="6"/>
  <c r="AJ159" i="6"/>
  <c r="AK158" i="6"/>
  <c r="AG158" i="6"/>
  <c r="AH157" i="6"/>
  <c r="AI156" i="6"/>
  <c r="AJ155" i="6"/>
  <c r="AK154" i="6"/>
  <c r="AG154" i="6"/>
  <c r="AH153" i="6"/>
  <c r="AI152" i="6"/>
  <c r="AJ151" i="6"/>
  <c r="AK150" i="6"/>
  <c r="AG150" i="6"/>
  <c r="AH149" i="6"/>
  <c r="AI148" i="6"/>
  <c r="AJ147" i="6"/>
  <c r="AK145" i="6"/>
  <c r="AG144" i="6"/>
  <c r="AG143" i="6"/>
  <c r="AH141" i="6"/>
  <c r="AI139" i="6"/>
  <c r="AJ137" i="6"/>
  <c r="AJ136" i="6"/>
  <c r="AK134" i="6"/>
  <c r="AG133" i="6"/>
  <c r="AH131" i="6"/>
  <c r="AH130" i="6"/>
  <c r="AI128" i="6"/>
  <c r="AJ126" i="6"/>
  <c r="AK124" i="6"/>
  <c r="AK123" i="6"/>
  <c r="AG122" i="6"/>
  <c r="AH120" i="6"/>
  <c r="AI118" i="6"/>
  <c r="AI117" i="6"/>
  <c r="AJ115" i="6"/>
  <c r="AK113" i="6"/>
  <c r="AG112" i="6"/>
  <c r="AK108" i="6"/>
  <c r="AG105" i="6"/>
  <c r="AJ103" i="6"/>
  <c r="AI102" i="6"/>
  <c r="AJ98" i="6"/>
  <c r="AH97" i="6"/>
  <c r="AJ95" i="6"/>
  <c r="AG94" i="6"/>
  <c r="AI92" i="6"/>
  <c r="AK90" i="6"/>
  <c r="AH89" i="6"/>
  <c r="AI87" i="6"/>
  <c r="AJ85" i="6"/>
  <c r="AK83" i="6"/>
  <c r="AG82" i="6"/>
  <c r="AJ74" i="6"/>
  <c r="AK72" i="6"/>
  <c r="AG71" i="6"/>
  <c r="AH69" i="6"/>
  <c r="AK61" i="6"/>
  <c r="AG60" i="6"/>
  <c r="AI57" i="6"/>
  <c r="AG48" i="6"/>
  <c r="AI45" i="6"/>
  <c r="AK42" i="6"/>
  <c r="AH35" i="6"/>
  <c r="AJ32" i="6"/>
  <c r="AK28" i="6"/>
  <c r="AH25" i="6"/>
  <c r="AK59" i="6"/>
  <c r="AG58" i="6"/>
  <c r="AG57" i="6"/>
  <c r="AH55" i="6"/>
  <c r="AI53" i="6"/>
  <c r="AJ51" i="6"/>
  <c r="AJ50" i="6"/>
  <c r="AK48" i="6"/>
  <c r="AG47" i="6"/>
  <c r="AH45" i="6"/>
  <c r="AH44" i="6"/>
  <c r="AI42" i="6"/>
  <c r="AJ40" i="6"/>
  <c r="AK38" i="6"/>
  <c r="AK37" i="6"/>
  <c r="AJ33" i="6"/>
  <c r="AI32" i="6"/>
  <c r="AJ28" i="6"/>
  <c r="AH27" i="6"/>
  <c r="AG26" i="6"/>
  <c r="AH22" i="6"/>
  <c r="AG88" i="6"/>
  <c r="AH86" i="6"/>
  <c r="AI84" i="6"/>
  <c r="AI83" i="6"/>
  <c r="AJ81" i="6"/>
  <c r="AK79" i="6"/>
  <c r="AG78" i="6"/>
  <c r="AG77" i="6"/>
  <c r="AH75" i="6"/>
  <c r="AI73" i="6"/>
  <c r="AJ71" i="6"/>
  <c r="AJ70" i="6"/>
  <c r="AK68" i="6"/>
  <c r="AG67" i="6"/>
  <c r="AH65" i="6"/>
  <c r="AH64" i="6"/>
  <c r="AI62" i="6"/>
  <c r="AJ60" i="6"/>
  <c r="AK58" i="6"/>
  <c r="AK57" i="6"/>
  <c r="AG56" i="6"/>
  <c r="AH54" i="6"/>
  <c r="AI52" i="6"/>
  <c r="AI51" i="6"/>
  <c r="AJ49" i="6"/>
  <c r="AK47" i="6"/>
  <c r="AG46" i="6"/>
  <c r="AG45" i="6"/>
  <c r="AH43" i="6"/>
  <c r="AI41" i="6"/>
  <c r="AJ39" i="6"/>
  <c r="AJ38" i="6"/>
  <c r="AK36" i="6"/>
  <c r="AK35" i="6"/>
  <c r="AK34" i="6"/>
  <c r="AG31" i="6"/>
  <c r="AJ29" i="6"/>
  <c r="AI28" i="6"/>
  <c r="AJ24" i="6"/>
  <c r="AH23" i="6"/>
  <c r="AK96" i="6"/>
  <c r="AG96" i="6"/>
  <c r="AH95" i="6"/>
  <c r="AI94" i="6"/>
  <c r="AJ93" i="6"/>
  <c r="AK92" i="6"/>
  <c r="AG92" i="6"/>
  <c r="AH91" i="6"/>
  <c r="AI90" i="6"/>
  <c r="AJ89" i="6"/>
  <c r="AK88" i="6"/>
  <c r="AG87" i="6"/>
  <c r="AH85" i="6"/>
  <c r="AH84" i="6"/>
  <c r="AI82" i="6"/>
  <c r="AJ80" i="6"/>
  <c r="AK78" i="6"/>
  <c r="AK77" i="6"/>
  <c r="AG76" i="6"/>
  <c r="AH74" i="6"/>
  <c r="AI72" i="6"/>
  <c r="AI71" i="6"/>
  <c r="AJ69" i="6"/>
  <c r="AK67" i="6"/>
  <c r="AG66" i="6"/>
  <c r="AG65" i="6"/>
  <c r="AH63" i="6"/>
  <c r="AI61" i="6"/>
  <c r="AJ59" i="6"/>
  <c r="AJ58" i="6"/>
  <c r="AK56" i="6"/>
  <c r="AG55" i="6"/>
  <c r="AH53" i="6"/>
  <c r="AH52" i="6"/>
  <c r="AI50" i="6"/>
  <c r="AJ48" i="6"/>
  <c r="AK46" i="6"/>
  <c r="AK45" i="6"/>
  <c r="AG44" i="6"/>
  <c r="AH42" i="6"/>
  <c r="AI40" i="6"/>
  <c r="AI39" i="6"/>
  <c r="AJ37" i="6"/>
  <c r="AI33" i="6"/>
  <c r="AG32" i="6"/>
  <c r="AK30" i="6"/>
  <c r="AG27" i="6"/>
  <c r="AJ25" i="6"/>
  <c r="AI24" i="6"/>
  <c r="AJ21" i="6"/>
  <c r="AK87" i="6"/>
  <c r="AG86" i="6"/>
  <c r="AG85" i="6"/>
  <c r="AH83" i="6"/>
  <c r="AI81" i="6"/>
  <c r="AJ79" i="6"/>
  <c r="AJ78" i="6"/>
  <c r="AK76" i="6"/>
  <c r="AG75" i="6"/>
  <c r="AH73" i="6"/>
  <c r="AH72" i="6"/>
  <c r="AI70" i="6"/>
  <c r="AJ68" i="6"/>
  <c r="AK66" i="6"/>
  <c r="AK65" i="6"/>
  <c r="AG64" i="6"/>
  <c r="AH62" i="6"/>
  <c r="AI60" i="6"/>
  <c r="AI59" i="6"/>
  <c r="AJ57" i="6"/>
  <c r="AK55" i="6"/>
  <c r="AG54" i="6"/>
  <c r="AG53" i="6"/>
  <c r="AH51" i="6"/>
  <c r="AI49" i="6"/>
  <c r="AJ47" i="6"/>
  <c r="AJ46" i="6"/>
  <c r="AK44" i="6"/>
  <c r="AG43" i="6"/>
  <c r="AH41" i="6"/>
  <c r="AH40" i="6"/>
  <c r="AI38" i="6"/>
  <c r="AJ36" i="6"/>
  <c r="AJ35" i="6"/>
  <c r="AI34" i="6"/>
  <c r="AH33" i="6"/>
  <c r="AI29" i="6"/>
  <c r="AG28" i="6"/>
  <c r="AK26" i="6"/>
  <c r="AG23" i="6"/>
  <c r="AJ108" i="6"/>
  <c r="AK107" i="6"/>
  <c r="AG107" i="6"/>
  <c r="AH106" i="6"/>
  <c r="AI105" i="6"/>
  <c r="AJ104" i="6"/>
  <c r="AK103" i="6"/>
  <c r="AG103" i="6"/>
  <c r="AH102" i="6"/>
  <c r="AI101" i="6"/>
  <c r="AJ100" i="6"/>
  <c r="AK99" i="6"/>
  <c r="AG99" i="6"/>
  <c r="AH98" i="6"/>
  <c r="AI97" i="6"/>
  <c r="AJ96" i="6"/>
  <c r="AK95" i="6"/>
  <c r="AG95" i="6"/>
  <c r="AH94" i="6"/>
  <c r="AI93" i="6"/>
  <c r="AJ92" i="6"/>
  <c r="AK91" i="6"/>
  <c r="AG91" i="6"/>
  <c r="AH90" i="6"/>
  <c r="AI89" i="6"/>
  <c r="AJ88" i="6"/>
  <c r="AK86" i="6"/>
  <c r="AK85" i="6"/>
  <c r="AG84" i="6"/>
  <c r="AH82" i="6"/>
  <c r="AI80" i="6"/>
  <c r="AI79" i="6"/>
  <c r="AJ77" i="6"/>
  <c r="AK75" i="6"/>
  <c r="AG74" i="6"/>
  <c r="AG73" i="6"/>
  <c r="AH71" i="6"/>
  <c r="AI69" i="6"/>
  <c r="AJ67" i="6"/>
  <c r="AJ66" i="6"/>
  <c r="AK64" i="6"/>
  <c r="AG63" i="6"/>
  <c r="AH61" i="6"/>
  <c r="AH60" i="6"/>
  <c r="AI58" i="6"/>
  <c r="AJ56" i="6"/>
  <c r="AK54" i="6"/>
  <c r="AK53" i="6"/>
  <c r="AG52" i="6"/>
  <c r="AH50" i="6"/>
  <c r="AI48" i="6"/>
  <c r="AI47" i="6"/>
  <c r="AJ45" i="6"/>
  <c r="AK43" i="6"/>
  <c r="AG42" i="6"/>
  <c r="AG41" i="6"/>
  <c r="AH39" i="6"/>
  <c r="AI37" i="6"/>
  <c r="AK31" i="6"/>
  <c r="AI30" i="6"/>
  <c r="AH29" i="6"/>
  <c r="AI25" i="6"/>
  <c r="AG24" i="6"/>
  <c r="AK22" i="6"/>
  <c r="AI21" i="6"/>
  <c r="AG22" i="6"/>
  <c r="AH21" i="6"/>
  <c r="AH36" i="6"/>
  <c r="AI35" i="6"/>
  <c r="AJ34" i="6"/>
  <c r="AK33" i="6"/>
  <c r="AG33" i="6"/>
  <c r="AH32" i="6"/>
  <c r="AI31" i="6"/>
  <c r="AJ30" i="6"/>
  <c r="AK29" i="6"/>
  <c r="AG29" i="6"/>
  <c r="AH28" i="6"/>
  <c r="AI27" i="6"/>
  <c r="AJ26" i="6"/>
  <c r="AK25" i="6"/>
  <c r="AG25" i="6"/>
  <c r="AH24" i="6"/>
  <c r="AI23" i="6"/>
  <c r="AJ22" i="6"/>
  <c r="AK21" i="6"/>
  <c r="AG21" i="6"/>
  <c r="AK20" i="6"/>
  <c r="AJ20" i="6"/>
  <c r="AI20" i="6"/>
  <c r="AH20" i="6"/>
  <c r="AG20" i="6"/>
  <c r="AF204" i="6"/>
  <c r="AF164" i="6"/>
  <c r="AF116" i="6"/>
  <c r="AF84" i="6"/>
  <c r="AF212" i="6"/>
  <c r="AF200" i="6"/>
  <c r="AF144" i="6"/>
  <c r="AF112" i="6"/>
  <c r="AF96" i="6"/>
  <c r="AF80" i="6"/>
  <c r="AF64" i="6"/>
  <c r="AF48" i="6"/>
  <c r="AF32" i="6"/>
  <c r="AF148" i="6"/>
  <c r="AF36" i="6"/>
  <c r="AF28" i="6"/>
  <c r="AF192" i="6"/>
  <c r="AF132" i="6"/>
  <c r="AF52" i="6"/>
  <c r="AF172" i="6"/>
  <c r="AF128" i="6"/>
  <c r="AF184" i="6"/>
  <c r="AF140" i="6"/>
  <c r="AF92" i="6"/>
  <c r="AF60" i="6"/>
  <c r="AF196" i="6"/>
  <c r="AF168" i="6"/>
  <c r="AF176" i="6"/>
  <c r="AF100" i="6"/>
  <c r="AF68" i="6"/>
  <c r="AF188" i="6"/>
  <c r="AF160" i="6"/>
  <c r="AF208" i="6"/>
  <c r="AF156" i="6"/>
  <c r="AF124" i="6"/>
  <c r="AF108" i="6"/>
  <c r="AF76" i="6"/>
  <c r="AF44" i="6"/>
  <c r="AF216" i="6"/>
  <c r="AF180" i="6"/>
  <c r="AF152" i="6"/>
  <c r="AF136" i="6"/>
  <c r="AF120" i="6"/>
  <c r="AF104" i="6"/>
  <c r="AF88" i="6"/>
  <c r="AF72" i="6"/>
  <c r="AF56" i="6"/>
  <c r="AF40" i="6"/>
  <c r="AF24" i="6"/>
  <c r="AF215" i="6"/>
  <c r="AF207" i="6"/>
  <c r="AF199" i="6"/>
  <c r="AF191" i="6"/>
  <c r="AF183" i="6"/>
  <c r="AF179" i="6"/>
  <c r="AF171" i="6"/>
  <c r="AF163" i="6"/>
  <c r="AF155" i="6"/>
  <c r="AF151" i="6"/>
  <c r="AF143" i="6"/>
  <c r="AF139" i="6"/>
  <c r="AF135" i="6"/>
  <c r="AF131" i="6"/>
  <c r="AF127" i="6"/>
  <c r="AF123" i="6"/>
  <c r="AF119" i="6"/>
  <c r="AF115" i="6"/>
  <c r="AF111" i="6"/>
  <c r="AF107" i="6"/>
  <c r="AF103" i="6"/>
  <c r="AF99" i="6"/>
  <c r="AF95" i="6"/>
  <c r="AF91" i="6"/>
  <c r="AF87" i="6"/>
  <c r="AF83" i="6"/>
  <c r="AF79" i="6"/>
  <c r="AF75" i="6"/>
  <c r="AF71" i="6"/>
  <c r="AF67" i="6"/>
  <c r="AF63" i="6"/>
  <c r="AF59" i="6"/>
  <c r="AF55" i="6"/>
  <c r="AF51" i="6"/>
  <c r="AF47" i="6"/>
  <c r="AF43" i="6"/>
  <c r="AF39" i="6"/>
  <c r="AF35" i="6"/>
  <c r="AF31" i="6"/>
  <c r="AF27" i="6"/>
  <c r="AF23" i="6"/>
  <c r="AF219" i="6"/>
  <c r="AF211" i="6"/>
  <c r="AF203" i="6"/>
  <c r="AF195" i="6"/>
  <c r="AF187" i="6"/>
  <c r="AF175" i="6"/>
  <c r="AF167" i="6"/>
  <c r="AF159" i="6"/>
  <c r="AF147" i="6"/>
  <c r="AF218" i="6"/>
  <c r="AF214" i="6"/>
  <c r="AF210" i="6"/>
  <c r="AF206" i="6"/>
  <c r="AF202" i="6"/>
  <c r="AF198" i="6"/>
  <c r="AF194" i="6"/>
  <c r="AF190" i="6"/>
  <c r="AF186" i="6"/>
  <c r="AF182" i="6"/>
  <c r="AF178" i="6"/>
  <c r="AF174" i="6"/>
  <c r="AF170" i="6"/>
  <c r="AF166" i="6"/>
  <c r="AF162" i="6"/>
  <c r="AF158" i="6"/>
  <c r="AF154" i="6"/>
  <c r="AF150" i="6"/>
  <c r="AF146" i="6"/>
  <c r="AF142" i="6"/>
  <c r="AF138" i="6"/>
  <c r="AF134" i="6"/>
  <c r="AF130" i="6"/>
  <c r="AF126" i="6"/>
  <c r="AF122" i="6"/>
  <c r="AF118" i="6"/>
  <c r="AF114" i="6"/>
  <c r="AF110" i="6"/>
  <c r="AF106" i="6"/>
  <c r="AF102" i="6"/>
  <c r="AF98" i="6"/>
  <c r="AF94" i="6"/>
  <c r="AF90" i="6"/>
  <c r="AF86" i="6"/>
  <c r="AF82" i="6"/>
  <c r="AF78" i="6"/>
  <c r="AF74" i="6"/>
  <c r="AF70" i="6"/>
  <c r="AF66" i="6"/>
  <c r="AF62" i="6"/>
  <c r="AF58" i="6"/>
  <c r="AF54" i="6"/>
  <c r="AF50" i="6"/>
  <c r="AF46" i="6"/>
  <c r="AF42" i="6"/>
  <c r="AF38" i="6"/>
  <c r="AF34" i="6"/>
  <c r="AF30" i="6"/>
  <c r="AF26" i="6"/>
  <c r="AF22" i="6"/>
  <c r="AF217" i="6"/>
  <c r="AF213" i="6"/>
  <c r="AF209" i="6"/>
  <c r="AF205" i="6"/>
  <c r="AF201" i="6"/>
  <c r="AF197" i="6"/>
  <c r="AF193" i="6"/>
  <c r="AF189" i="6"/>
  <c r="AF185" i="6"/>
  <c r="AF181" i="6"/>
  <c r="AF177" i="6"/>
  <c r="AF173" i="6"/>
  <c r="AF169" i="6"/>
  <c r="AF165" i="6"/>
  <c r="AF161" i="6"/>
  <c r="AF157" i="6"/>
  <c r="AF153" i="6"/>
  <c r="AF149" i="6"/>
  <c r="AF145" i="6"/>
  <c r="AF141" i="6"/>
  <c r="AF137" i="6"/>
  <c r="AF133" i="6"/>
  <c r="AF129" i="6"/>
  <c r="AF125" i="6"/>
  <c r="AF121" i="6"/>
  <c r="AF117" i="6"/>
  <c r="AF113" i="6"/>
  <c r="AF109" i="6"/>
  <c r="AF105" i="6"/>
  <c r="AF101" i="6"/>
  <c r="AF97" i="6"/>
  <c r="AF93" i="6"/>
  <c r="AF89" i="6"/>
  <c r="AF85" i="6"/>
  <c r="AF81" i="6"/>
  <c r="AF77" i="6"/>
  <c r="AF73" i="6"/>
  <c r="AF69" i="6"/>
  <c r="AF65" i="6"/>
  <c r="AF61" i="6"/>
  <c r="AF57" i="6"/>
  <c r="AF53" i="6"/>
  <c r="AF49" i="6"/>
  <c r="AF45" i="6"/>
  <c r="AF41" i="6"/>
  <c r="AF37" i="6"/>
  <c r="AF33" i="6"/>
  <c r="AF29" i="6"/>
  <c r="AF25" i="6"/>
  <c r="AF21" i="6"/>
  <c r="AF20" i="6"/>
  <c r="BE20" i="6" l="1"/>
  <c r="BG20" i="6"/>
  <c r="BF21" i="6"/>
  <c r="BG21" i="6"/>
  <c r="BF22" i="6"/>
  <c r="BG22" i="6"/>
  <c r="BF23" i="6"/>
  <c r="BG23" i="6"/>
  <c r="BF24" i="6"/>
  <c r="BG24" i="6"/>
  <c r="BF25" i="6"/>
  <c r="BG25" i="6"/>
  <c r="BF26" i="6"/>
  <c r="BG26" i="6"/>
  <c r="BF27" i="6"/>
  <c r="BG27" i="6"/>
  <c r="BF28" i="6"/>
  <c r="BG28" i="6"/>
  <c r="BF29" i="6"/>
  <c r="BG29" i="6"/>
  <c r="BF30" i="6"/>
  <c r="BG30" i="6"/>
  <c r="BF31" i="6"/>
  <c r="BG31" i="6"/>
  <c r="BF32" i="6"/>
  <c r="BG32" i="6"/>
  <c r="BF33" i="6"/>
  <c r="BG33" i="6"/>
  <c r="BF34" i="6"/>
  <c r="BG34" i="6"/>
  <c r="BF35" i="6"/>
  <c r="BG35" i="6"/>
  <c r="BF36" i="6"/>
  <c r="BG36" i="6"/>
  <c r="BF37" i="6"/>
  <c r="BG37" i="6"/>
  <c r="BF38" i="6"/>
  <c r="BG38" i="6"/>
  <c r="BF39" i="6"/>
  <c r="BG39" i="6"/>
  <c r="BF40" i="6"/>
  <c r="BG40" i="6"/>
  <c r="BF41" i="6"/>
  <c r="BG41" i="6"/>
  <c r="BF42" i="6"/>
  <c r="BG42" i="6"/>
  <c r="BF43" i="6"/>
  <c r="BG43" i="6"/>
  <c r="BF44" i="6"/>
  <c r="BG44" i="6"/>
  <c r="BF45" i="6"/>
  <c r="BG45" i="6"/>
  <c r="BF46" i="6"/>
  <c r="BG46" i="6"/>
  <c r="BF47" i="6"/>
  <c r="BG47" i="6"/>
  <c r="BF48" i="6"/>
  <c r="BG48" i="6"/>
  <c r="BF49" i="6"/>
  <c r="BG49" i="6"/>
  <c r="BF50" i="6"/>
  <c r="BG50" i="6"/>
  <c r="BF51" i="6"/>
  <c r="BG51" i="6"/>
  <c r="BF52" i="6"/>
  <c r="BG52" i="6"/>
  <c r="BF53" i="6"/>
  <c r="BG53" i="6"/>
  <c r="BF54" i="6"/>
  <c r="BG54" i="6"/>
  <c r="BF55" i="6"/>
  <c r="BG55" i="6"/>
  <c r="BF56" i="6"/>
  <c r="BG56" i="6"/>
  <c r="BF57" i="6"/>
  <c r="BG57" i="6"/>
  <c r="BF58" i="6"/>
  <c r="BG58" i="6"/>
  <c r="BF59" i="6"/>
  <c r="BG59" i="6"/>
  <c r="BF60" i="6"/>
  <c r="BG60" i="6"/>
  <c r="BF61" i="6"/>
  <c r="BG61" i="6"/>
  <c r="BF62" i="6"/>
  <c r="BG62" i="6"/>
  <c r="BF63" i="6"/>
  <c r="BG63" i="6"/>
  <c r="BF64" i="6"/>
  <c r="BG64" i="6"/>
  <c r="BF65" i="6"/>
  <c r="BG65" i="6"/>
  <c r="BF66" i="6"/>
  <c r="BG66" i="6"/>
  <c r="BF67" i="6"/>
  <c r="BG67" i="6"/>
  <c r="BF68" i="6"/>
  <c r="BG68" i="6"/>
  <c r="BF69" i="6"/>
  <c r="BG69" i="6"/>
  <c r="BF70" i="6"/>
  <c r="BG70" i="6"/>
  <c r="BF71" i="6"/>
  <c r="BG71" i="6"/>
  <c r="BF72" i="6"/>
  <c r="BG72" i="6"/>
  <c r="BF73" i="6"/>
  <c r="BG73" i="6"/>
  <c r="BF74" i="6"/>
  <c r="BG74" i="6"/>
  <c r="BF75" i="6"/>
  <c r="BG75" i="6"/>
  <c r="BF76" i="6"/>
  <c r="BG76" i="6"/>
  <c r="BF77" i="6"/>
  <c r="BG77" i="6"/>
  <c r="BF78" i="6"/>
  <c r="BG78" i="6"/>
  <c r="BF79" i="6"/>
  <c r="BG79" i="6"/>
  <c r="BF80" i="6"/>
  <c r="BG80" i="6"/>
  <c r="BF81" i="6"/>
  <c r="BG81" i="6"/>
  <c r="BF82" i="6"/>
  <c r="BG82" i="6"/>
  <c r="BF83" i="6"/>
  <c r="BG83" i="6"/>
  <c r="BF84" i="6"/>
  <c r="BG84" i="6"/>
  <c r="BF85" i="6"/>
  <c r="BG85" i="6"/>
  <c r="BF86" i="6"/>
  <c r="BG86" i="6"/>
  <c r="BF87" i="6"/>
  <c r="BG87" i="6"/>
  <c r="BF88" i="6"/>
  <c r="BG88" i="6"/>
  <c r="BF89" i="6"/>
  <c r="BG89" i="6"/>
  <c r="BF90" i="6"/>
  <c r="BG90" i="6"/>
  <c r="BF91" i="6"/>
  <c r="BG91" i="6"/>
  <c r="BF92" i="6"/>
  <c r="BG92" i="6"/>
  <c r="BF93" i="6"/>
  <c r="BG93" i="6"/>
  <c r="BF94" i="6"/>
  <c r="BG94" i="6"/>
  <c r="BF95" i="6"/>
  <c r="BG95" i="6"/>
  <c r="BF96" i="6"/>
  <c r="BG96" i="6"/>
  <c r="BF97" i="6"/>
  <c r="BG97" i="6"/>
  <c r="BF98" i="6"/>
  <c r="BG98" i="6"/>
  <c r="BF99" i="6"/>
  <c r="BG99" i="6"/>
  <c r="BF100" i="6"/>
  <c r="BG100" i="6"/>
  <c r="BF101" i="6"/>
  <c r="BG101" i="6"/>
  <c r="BF102" i="6"/>
  <c r="BG102" i="6"/>
  <c r="BF103" i="6"/>
  <c r="BG103" i="6"/>
  <c r="BF104" i="6"/>
  <c r="BG104" i="6"/>
  <c r="BF105" i="6"/>
  <c r="BG105" i="6"/>
  <c r="BF106" i="6"/>
  <c r="BG106" i="6"/>
  <c r="BF107" i="6"/>
  <c r="BG107" i="6"/>
  <c r="BF108" i="6"/>
  <c r="BG108" i="6"/>
  <c r="BF109" i="6"/>
  <c r="BG109" i="6"/>
  <c r="BF110" i="6"/>
  <c r="BG110" i="6"/>
  <c r="BF111" i="6"/>
  <c r="BG111" i="6"/>
  <c r="BF112" i="6"/>
  <c r="BG112" i="6"/>
  <c r="BF113" i="6"/>
  <c r="BG113" i="6"/>
  <c r="BF114" i="6"/>
  <c r="BG114" i="6"/>
  <c r="BF115" i="6"/>
  <c r="BG115" i="6"/>
  <c r="BF116" i="6"/>
  <c r="BG116" i="6"/>
  <c r="BF117" i="6"/>
  <c r="BG117" i="6"/>
  <c r="BF118" i="6"/>
  <c r="BG118" i="6"/>
  <c r="BF119" i="6"/>
  <c r="BG119" i="6"/>
  <c r="BF120" i="6"/>
  <c r="BG120" i="6"/>
  <c r="BF121" i="6"/>
  <c r="BG121" i="6"/>
  <c r="BF122" i="6"/>
  <c r="BG122" i="6"/>
  <c r="BF123" i="6"/>
  <c r="BG123" i="6"/>
  <c r="BF124" i="6"/>
  <c r="BG124" i="6"/>
  <c r="BF125" i="6"/>
  <c r="BG125" i="6"/>
  <c r="BF126" i="6"/>
  <c r="BG126" i="6"/>
  <c r="BF127" i="6"/>
  <c r="BG127" i="6"/>
  <c r="BF128" i="6"/>
  <c r="BG128" i="6"/>
  <c r="BF129" i="6"/>
  <c r="BG129" i="6"/>
  <c r="BF130" i="6"/>
  <c r="BG130" i="6"/>
  <c r="BF131" i="6"/>
  <c r="BG131" i="6"/>
  <c r="BF132" i="6"/>
  <c r="BG132" i="6"/>
  <c r="BF133" i="6"/>
  <c r="BG133" i="6"/>
  <c r="BF134" i="6"/>
  <c r="BG134" i="6"/>
  <c r="BF135" i="6"/>
  <c r="BG135" i="6"/>
  <c r="BF136" i="6"/>
  <c r="BG136" i="6"/>
  <c r="BF137" i="6"/>
  <c r="BG137" i="6"/>
  <c r="BF138" i="6"/>
  <c r="BG138" i="6"/>
  <c r="BF139" i="6"/>
  <c r="BG139" i="6"/>
  <c r="BF140" i="6"/>
  <c r="BG140" i="6"/>
  <c r="BF141" i="6"/>
  <c r="BG141" i="6"/>
  <c r="BF142" i="6"/>
  <c r="BG142" i="6"/>
  <c r="BF143" i="6"/>
  <c r="BG143" i="6"/>
  <c r="BF144" i="6"/>
  <c r="BG144" i="6"/>
  <c r="BF145" i="6"/>
  <c r="BG145" i="6"/>
  <c r="BF146" i="6"/>
  <c r="BG146" i="6"/>
  <c r="BF147" i="6"/>
  <c r="BG147" i="6"/>
  <c r="BF148" i="6"/>
  <c r="BG148" i="6"/>
  <c r="BF149" i="6"/>
  <c r="BG149" i="6"/>
  <c r="BF150" i="6"/>
  <c r="BG150" i="6"/>
  <c r="BF151" i="6"/>
  <c r="BG151" i="6"/>
  <c r="BF152" i="6"/>
  <c r="BG152" i="6"/>
  <c r="BF153" i="6"/>
  <c r="BG153" i="6"/>
  <c r="BF154" i="6"/>
  <c r="BG154" i="6"/>
  <c r="BF155" i="6"/>
  <c r="BG155" i="6"/>
  <c r="BF156" i="6"/>
  <c r="BG156" i="6"/>
  <c r="BF157" i="6"/>
  <c r="BG157" i="6"/>
  <c r="BF158" i="6"/>
  <c r="BG158" i="6"/>
  <c r="BF159" i="6"/>
  <c r="BG159" i="6"/>
  <c r="BF160" i="6"/>
  <c r="BG160" i="6"/>
  <c r="BF161" i="6"/>
  <c r="BG161" i="6"/>
  <c r="BF162" i="6"/>
  <c r="BG162" i="6"/>
  <c r="BF163" i="6"/>
  <c r="BG163" i="6"/>
  <c r="BF164" i="6"/>
  <c r="BG164" i="6"/>
  <c r="BF165" i="6"/>
  <c r="BG165" i="6"/>
  <c r="BF166" i="6"/>
  <c r="BG166" i="6"/>
  <c r="BF167" i="6"/>
  <c r="BG167" i="6"/>
  <c r="BF168" i="6"/>
  <c r="BG168" i="6"/>
  <c r="BF169" i="6"/>
  <c r="BG169" i="6"/>
  <c r="BF170" i="6"/>
  <c r="BG170" i="6"/>
  <c r="BF171" i="6"/>
  <c r="BG171" i="6"/>
  <c r="BF172" i="6"/>
  <c r="BG172" i="6"/>
  <c r="BF173" i="6"/>
  <c r="BG173" i="6"/>
  <c r="BF174" i="6"/>
  <c r="BG174" i="6"/>
  <c r="BF175" i="6"/>
  <c r="BG175" i="6"/>
  <c r="BF176" i="6"/>
  <c r="BG176" i="6"/>
  <c r="BF177" i="6"/>
  <c r="BG177" i="6"/>
  <c r="BF178" i="6"/>
  <c r="BG178" i="6"/>
  <c r="BF179" i="6"/>
  <c r="BG179" i="6"/>
  <c r="BF180" i="6"/>
  <c r="BG180" i="6"/>
  <c r="BF181" i="6"/>
  <c r="BG181" i="6"/>
  <c r="BF182" i="6"/>
  <c r="BG182" i="6"/>
  <c r="BF183" i="6"/>
  <c r="BG183" i="6"/>
  <c r="BF184" i="6"/>
  <c r="BG184" i="6"/>
  <c r="BF185" i="6"/>
  <c r="BG185" i="6"/>
  <c r="BF186" i="6"/>
  <c r="BG186" i="6"/>
  <c r="BF187" i="6"/>
  <c r="BG187" i="6"/>
  <c r="BF188" i="6"/>
  <c r="BG188" i="6"/>
  <c r="BF189" i="6"/>
  <c r="BG189" i="6"/>
  <c r="BF190" i="6"/>
  <c r="BG190" i="6"/>
  <c r="BF191" i="6"/>
  <c r="BG191" i="6"/>
  <c r="BF192" i="6"/>
  <c r="BG192" i="6"/>
  <c r="BF193" i="6"/>
  <c r="BG193" i="6"/>
  <c r="BF194" i="6"/>
  <c r="BG194" i="6"/>
  <c r="BF195" i="6"/>
  <c r="BG195" i="6"/>
  <c r="BF196" i="6"/>
  <c r="BG196" i="6"/>
  <c r="BF197" i="6"/>
  <c r="BG197" i="6"/>
  <c r="BF198" i="6"/>
  <c r="BG198" i="6"/>
  <c r="BF199" i="6"/>
  <c r="BG199" i="6"/>
  <c r="BF200" i="6"/>
  <c r="BG200" i="6"/>
  <c r="BF201" i="6"/>
  <c r="BG201" i="6"/>
  <c r="BF202" i="6"/>
  <c r="BG202" i="6"/>
  <c r="BF203" i="6"/>
  <c r="BG203" i="6"/>
  <c r="BF204" i="6"/>
  <c r="BG204" i="6"/>
  <c r="BF205" i="6"/>
  <c r="BG205" i="6"/>
  <c r="BF206" i="6"/>
  <c r="BG206" i="6"/>
  <c r="BF207" i="6"/>
  <c r="BG207" i="6"/>
  <c r="BF208" i="6"/>
  <c r="BG208" i="6"/>
  <c r="BF209" i="6"/>
  <c r="BG209" i="6"/>
  <c r="BF210" i="6"/>
  <c r="BG210" i="6"/>
  <c r="BF211" i="6"/>
  <c r="BG211" i="6"/>
  <c r="BF212" i="6"/>
  <c r="BG212" i="6"/>
  <c r="BF213" i="6"/>
  <c r="BG213" i="6"/>
  <c r="BF214" i="6"/>
  <c r="BG214" i="6"/>
  <c r="BF215" i="6"/>
  <c r="BG215" i="6"/>
  <c r="BF216" i="6"/>
  <c r="BG216" i="6"/>
  <c r="BF217" i="6"/>
  <c r="BG217" i="6"/>
  <c r="BF218" i="6"/>
  <c r="BG218" i="6"/>
  <c r="BF219" i="6"/>
  <c r="BG219" i="6"/>
  <c r="BF20" i="6"/>
  <c r="BE21" i="6"/>
  <c r="BE22" i="6"/>
  <c r="BE23" i="6"/>
  <c r="BE24" i="6"/>
  <c r="BE25" i="6"/>
  <c r="BE26" i="6"/>
  <c r="BE27" i="6"/>
  <c r="BE28" i="6"/>
  <c r="BE29" i="6"/>
  <c r="BE30" i="6"/>
  <c r="BE31" i="6"/>
  <c r="BE32" i="6"/>
  <c r="BE33" i="6"/>
  <c r="BE34" i="6"/>
  <c r="BE35" i="6"/>
  <c r="BE36" i="6"/>
  <c r="BE37" i="6"/>
  <c r="BE38" i="6"/>
  <c r="BE39" i="6"/>
  <c r="BE40" i="6"/>
  <c r="BE41" i="6"/>
  <c r="BE42" i="6"/>
  <c r="BE43" i="6"/>
  <c r="BE44" i="6"/>
  <c r="BE45" i="6"/>
  <c r="BE46" i="6"/>
  <c r="BE47" i="6"/>
  <c r="BE48" i="6"/>
  <c r="BE49" i="6"/>
  <c r="BE50" i="6"/>
  <c r="BE51" i="6"/>
  <c r="BE52" i="6"/>
  <c r="BE53" i="6"/>
  <c r="BE54" i="6"/>
  <c r="BE55" i="6"/>
  <c r="BE56" i="6"/>
  <c r="BE57" i="6"/>
  <c r="BE58" i="6"/>
  <c r="BE59" i="6"/>
  <c r="BE60" i="6"/>
  <c r="BE61" i="6"/>
  <c r="BE62" i="6"/>
  <c r="BE63" i="6"/>
  <c r="BE64" i="6"/>
  <c r="BE65" i="6"/>
  <c r="BE66" i="6"/>
  <c r="BE67" i="6"/>
  <c r="BE68" i="6"/>
  <c r="BE69" i="6"/>
  <c r="BE70" i="6"/>
  <c r="BE71" i="6"/>
  <c r="BE72" i="6"/>
  <c r="BE73" i="6"/>
  <c r="BE74" i="6"/>
  <c r="BE75" i="6"/>
  <c r="BE76" i="6"/>
  <c r="BE77" i="6"/>
  <c r="BE78" i="6"/>
  <c r="BE79" i="6"/>
  <c r="BE80" i="6"/>
  <c r="BE81" i="6"/>
  <c r="BE82" i="6"/>
  <c r="BE83" i="6"/>
  <c r="BE84" i="6"/>
  <c r="BE85" i="6"/>
  <c r="BE86" i="6"/>
  <c r="BE87" i="6"/>
  <c r="BE88" i="6"/>
  <c r="BE89" i="6"/>
  <c r="BE90" i="6"/>
  <c r="BE91" i="6"/>
  <c r="BE92" i="6"/>
  <c r="BE93" i="6"/>
  <c r="BE94" i="6"/>
  <c r="BE95" i="6"/>
  <c r="BE96" i="6"/>
  <c r="BE97" i="6"/>
  <c r="BE98" i="6"/>
  <c r="BE99" i="6"/>
  <c r="BE100" i="6"/>
  <c r="BE101" i="6"/>
  <c r="BE102" i="6"/>
  <c r="BE103" i="6"/>
  <c r="BE104" i="6"/>
  <c r="BE105" i="6"/>
  <c r="BE106" i="6"/>
  <c r="BE107" i="6"/>
  <c r="BE108" i="6"/>
  <c r="BE109" i="6"/>
  <c r="BE110" i="6"/>
  <c r="BE111" i="6"/>
  <c r="BE112" i="6"/>
  <c r="BE113" i="6"/>
  <c r="BE114" i="6"/>
  <c r="BE115" i="6"/>
  <c r="BE116" i="6"/>
  <c r="BE117" i="6"/>
  <c r="BE118" i="6"/>
  <c r="BE119" i="6"/>
  <c r="BE120" i="6"/>
  <c r="BE121" i="6"/>
  <c r="BE122" i="6"/>
  <c r="BE123" i="6"/>
  <c r="BE124" i="6"/>
  <c r="BE125" i="6"/>
  <c r="BE126" i="6"/>
  <c r="BE127" i="6"/>
  <c r="BE128" i="6"/>
  <c r="BE129" i="6"/>
  <c r="BE130" i="6"/>
  <c r="BE131" i="6"/>
  <c r="BE132" i="6"/>
  <c r="BE133" i="6"/>
  <c r="BE134" i="6"/>
  <c r="BE135" i="6"/>
  <c r="BE136" i="6"/>
  <c r="BE137" i="6"/>
  <c r="BE138" i="6"/>
  <c r="BE139" i="6"/>
  <c r="BE140" i="6"/>
  <c r="BE141" i="6"/>
  <c r="BE142" i="6"/>
  <c r="BE143" i="6"/>
  <c r="BE144" i="6"/>
  <c r="BE145" i="6"/>
  <c r="BE146" i="6"/>
  <c r="BE147" i="6"/>
  <c r="BE148" i="6"/>
  <c r="BE149" i="6"/>
  <c r="BE150" i="6"/>
  <c r="BE151" i="6"/>
  <c r="BE152" i="6"/>
  <c r="BE153" i="6"/>
  <c r="BE154" i="6"/>
  <c r="BE155" i="6"/>
  <c r="BE156" i="6"/>
  <c r="BE157" i="6"/>
  <c r="BE158" i="6"/>
  <c r="BE159" i="6"/>
  <c r="BE160" i="6"/>
  <c r="BE161" i="6"/>
  <c r="BE162" i="6"/>
  <c r="BE163" i="6"/>
  <c r="BE164" i="6"/>
  <c r="BE165" i="6"/>
  <c r="BE166" i="6"/>
  <c r="BE167" i="6"/>
  <c r="BE168" i="6"/>
  <c r="BE169" i="6"/>
  <c r="BE170" i="6"/>
  <c r="BE171" i="6"/>
  <c r="BE172" i="6"/>
  <c r="BE173" i="6"/>
  <c r="BE174" i="6"/>
  <c r="BE175" i="6"/>
  <c r="BE176" i="6"/>
  <c r="BE177" i="6"/>
  <c r="BE178" i="6"/>
  <c r="BE179" i="6"/>
  <c r="BE180" i="6"/>
  <c r="BE181" i="6"/>
  <c r="BE182" i="6"/>
  <c r="BE183" i="6"/>
  <c r="BE184" i="6"/>
  <c r="BE185" i="6"/>
  <c r="BE186" i="6"/>
  <c r="BE187" i="6"/>
  <c r="BE188" i="6"/>
  <c r="BE189" i="6"/>
  <c r="BE190" i="6"/>
  <c r="BE191" i="6"/>
  <c r="BE192" i="6"/>
  <c r="BE193" i="6"/>
  <c r="BE194" i="6"/>
  <c r="BE195" i="6"/>
  <c r="BE196" i="6"/>
  <c r="BE197" i="6"/>
  <c r="BE198" i="6"/>
  <c r="BE199" i="6"/>
  <c r="BE200" i="6"/>
  <c r="BE201" i="6"/>
  <c r="BE202" i="6"/>
  <c r="BE203" i="6"/>
  <c r="BE204" i="6"/>
  <c r="BE205" i="6"/>
  <c r="BE206" i="6"/>
  <c r="BE207" i="6"/>
  <c r="BE208" i="6"/>
  <c r="BE209" i="6"/>
  <c r="BE210" i="6"/>
  <c r="BE211" i="6"/>
  <c r="BE212" i="6"/>
  <c r="BE213" i="6"/>
  <c r="BE214" i="6"/>
  <c r="BE215" i="6"/>
  <c r="BE216" i="6"/>
  <c r="BE217" i="6"/>
  <c r="BE218" i="6"/>
  <c r="BE219" i="6"/>
  <c r="AY20" i="6"/>
  <c r="AX21" i="6"/>
  <c r="AX22" i="6"/>
  <c r="AX23" i="6"/>
  <c r="AX24" i="6"/>
  <c r="AX25" i="6"/>
  <c r="AX26" i="6"/>
  <c r="AX27" i="6"/>
  <c r="AX28" i="6"/>
  <c r="AX29" i="6"/>
  <c r="AX30" i="6"/>
  <c r="AX31" i="6"/>
  <c r="AX32" i="6"/>
  <c r="AX33" i="6"/>
  <c r="AX34" i="6"/>
  <c r="AX35" i="6"/>
  <c r="AX36" i="6"/>
  <c r="AX37" i="6"/>
  <c r="AX38" i="6"/>
  <c r="AX39" i="6"/>
  <c r="AX40" i="6"/>
  <c r="AX41" i="6"/>
  <c r="AX42" i="6"/>
  <c r="AX43" i="6"/>
  <c r="AX44" i="6"/>
  <c r="AX45" i="6"/>
  <c r="AX46" i="6"/>
  <c r="AX47" i="6"/>
  <c r="AX48" i="6"/>
  <c r="AX49" i="6"/>
  <c r="AX50" i="6"/>
  <c r="AX51" i="6"/>
  <c r="AX52" i="6"/>
  <c r="AX53" i="6"/>
  <c r="AX54" i="6"/>
  <c r="AX55" i="6"/>
  <c r="AX56" i="6"/>
  <c r="AX57" i="6"/>
  <c r="AX58" i="6"/>
  <c r="AX59" i="6"/>
  <c r="AX60" i="6"/>
  <c r="AX61" i="6"/>
  <c r="AX62" i="6"/>
  <c r="AX63" i="6"/>
  <c r="AX64" i="6"/>
  <c r="AX65" i="6"/>
  <c r="AX66" i="6"/>
  <c r="AX67" i="6"/>
  <c r="AX68" i="6"/>
  <c r="AX69" i="6"/>
  <c r="AX70" i="6"/>
  <c r="AX71" i="6"/>
  <c r="AX72" i="6"/>
  <c r="AX73" i="6"/>
  <c r="AX74" i="6"/>
  <c r="AX75" i="6"/>
  <c r="AX76" i="6"/>
  <c r="AX77" i="6"/>
  <c r="AX78" i="6"/>
  <c r="AX79" i="6"/>
  <c r="AX80" i="6"/>
  <c r="AX81" i="6"/>
  <c r="AX82" i="6"/>
  <c r="AX83" i="6"/>
  <c r="AX84" i="6"/>
  <c r="AX85" i="6"/>
  <c r="AX86" i="6"/>
  <c r="AX87" i="6"/>
  <c r="AX88" i="6"/>
  <c r="AX89" i="6"/>
  <c r="AX90" i="6"/>
  <c r="AX91" i="6"/>
  <c r="AX92" i="6"/>
  <c r="AX93" i="6"/>
  <c r="AX94" i="6"/>
  <c r="AX95" i="6"/>
  <c r="AX96" i="6"/>
  <c r="AX97" i="6"/>
  <c r="AX98" i="6"/>
  <c r="AX99" i="6"/>
  <c r="AX100" i="6"/>
  <c r="AX101" i="6"/>
  <c r="AX102" i="6"/>
  <c r="AX103" i="6"/>
  <c r="AX104" i="6"/>
  <c r="AX105" i="6"/>
  <c r="AX106" i="6"/>
  <c r="AX107" i="6"/>
  <c r="AX108" i="6"/>
  <c r="AX109" i="6"/>
  <c r="AX110" i="6"/>
  <c r="AX111" i="6"/>
  <c r="AX112" i="6"/>
  <c r="AX113" i="6"/>
  <c r="AX114" i="6"/>
  <c r="AX115" i="6"/>
  <c r="AX116" i="6"/>
  <c r="AX117" i="6"/>
  <c r="AX118" i="6"/>
  <c r="AX119" i="6"/>
  <c r="AX120" i="6"/>
  <c r="AX121" i="6"/>
  <c r="AX122" i="6"/>
  <c r="AX123" i="6"/>
  <c r="AX124" i="6"/>
  <c r="AX125" i="6"/>
  <c r="AX126" i="6"/>
  <c r="AX127" i="6"/>
  <c r="AX128" i="6"/>
  <c r="AX129" i="6"/>
  <c r="AX130" i="6"/>
  <c r="AX131" i="6"/>
  <c r="AX132" i="6"/>
  <c r="AX133" i="6"/>
  <c r="AX134" i="6"/>
  <c r="AX135" i="6"/>
  <c r="AX136" i="6"/>
  <c r="AX137" i="6"/>
  <c r="AX138" i="6"/>
  <c r="AX139" i="6"/>
  <c r="AX140" i="6"/>
  <c r="AX141" i="6"/>
  <c r="AX142" i="6"/>
  <c r="AX143" i="6"/>
  <c r="AX144" i="6"/>
  <c r="AX145" i="6"/>
  <c r="AX146" i="6"/>
  <c r="AX147" i="6"/>
  <c r="AX148" i="6"/>
  <c r="AX149" i="6"/>
  <c r="AX150" i="6"/>
  <c r="AX151" i="6"/>
  <c r="AX152" i="6"/>
  <c r="AX153" i="6"/>
  <c r="AX154" i="6"/>
  <c r="AX155" i="6"/>
  <c r="AX156" i="6"/>
  <c r="AX157" i="6"/>
  <c r="AX158" i="6"/>
  <c r="AX159" i="6"/>
  <c r="AX160" i="6"/>
  <c r="AX161" i="6"/>
  <c r="AX162" i="6"/>
  <c r="AX163" i="6"/>
  <c r="AX164" i="6"/>
  <c r="AX165" i="6"/>
  <c r="AX166" i="6"/>
  <c r="AX167" i="6"/>
  <c r="AX168" i="6"/>
  <c r="AX169" i="6"/>
  <c r="AX170" i="6"/>
  <c r="AX171" i="6"/>
  <c r="AX172" i="6"/>
  <c r="AX173" i="6"/>
  <c r="AX174" i="6"/>
  <c r="AX175" i="6"/>
  <c r="AX176" i="6"/>
  <c r="AX177" i="6"/>
  <c r="AX178" i="6"/>
  <c r="AX179" i="6"/>
  <c r="AX180" i="6"/>
  <c r="AX181" i="6"/>
  <c r="AX182" i="6"/>
  <c r="AX183" i="6"/>
  <c r="AX184" i="6"/>
  <c r="AX185" i="6"/>
  <c r="AX186" i="6"/>
  <c r="AX187" i="6"/>
  <c r="AX188" i="6"/>
  <c r="AX189" i="6"/>
  <c r="AX190" i="6"/>
  <c r="AX191" i="6"/>
  <c r="AX192" i="6"/>
  <c r="AX193" i="6"/>
  <c r="AX194" i="6"/>
  <c r="AX195" i="6"/>
  <c r="AX196" i="6"/>
  <c r="AX197" i="6"/>
  <c r="AX198" i="6"/>
  <c r="AX199" i="6"/>
  <c r="AX200" i="6"/>
  <c r="AX201" i="6"/>
  <c r="AX202" i="6"/>
  <c r="AX203" i="6"/>
  <c r="AX204" i="6"/>
  <c r="AX205" i="6"/>
  <c r="AX206" i="6"/>
  <c r="AX207" i="6"/>
  <c r="AX208" i="6"/>
  <c r="AX209" i="6"/>
  <c r="AX210" i="6"/>
  <c r="AX211" i="6"/>
  <c r="AX212" i="6"/>
  <c r="AX213" i="6"/>
  <c r="AX214" i="6"/>
  <c r="AX215" i="6"/>
  <c r="AX216" i="6"/>
  <c r="AX217" i="6"/>
  <c r="AX218" i="6"/>
  <c r="AX219" i="6"/>
  <c r="AX20" i="6"/>
  <c r="BG5" i="6" l="1"/>
  <c r="BF3" i="6"/>
  <c r="BG3" i="6"/>
  <c r="BE3" i="6"/>
  <c r="BE4" i="6"/>
  <c r="BF4" i="6"/>
  <c r="BG4" i="6"/>
  <c r="BE5" i="6"/>
  <c r="BF5" i="6"/>
  <c r="BC219" i="6"/>
  <c r="BB219" i="6"/>
  <c r="BA219" i="6"/>
  <c r="AZ219" i="6"/>
  <c r="AY219" i="6"/>
  <c r="BC218" i="6"/>
  <c r="BB218" i="6"/>
  <c r="BA218" i="6"/>
  <c r="AZ218" i="6"/>
  <c r="AY218" i="6"/>
  <c r="BC217" i="6"/>
  <c r="BB217" i="6"/>
  <c r="BA217" i="6"/>
  <c r="AZ217" i="6"/>
  <c r="AY217" i="6"/>
  <c r="BC216" i="6"/>
  <c r="BB216" i="6"/>
  <c r="BA216" i="6"/>
  <c r="AZ216" i="6"/>
  <c r="AY216" i="6"/>
  <c r="BC215" i="6"/>
  <c r="BB215" i="6"/>
  <c r="BA215" i="6"/>
  <c r="AZ215" i="6"/>
  <c r="AY215" i="6"/>
  <c r="BC214" i="6"/>
  <c r="BB214" i="6"/>
  <c r="BA214" i="6"/>
  <c r="AZ214" i="6"/>
  <c r="AY214" i="6"/>
  <c r="BC213" i="6"/>
  <c r="BB213" i="6"/>
  <c r="BA213" i="6"/>
  <c r="AZ213" i="6"/>
  <c r="AY213" i="6"/>
  <c r="BC212" i="6"/>
  <c r="BB212" i="6"/>
  <c r="BA212" i="6"/>
  <c r="AZ212" i="6"/>
  <c r="AY212" i="6"/>
  <c r="BC211" i="6"/>
  <c r="BB211" i="6"/>
  <c r="BA211" i="6"/>
  <c r="AZ211" i="6"/>
  <c r="AY211" i="6"/>
  <c r="BC210" i="6"/>
  <c r="BB210" i="6"/>
  <c r="BA210" i="6"/>
  <c r="AZ210" i="6"/>
  <c r="AY210" i="6"/>
  <c r="BC209" i="6"/>
  <c r="BB209" i="6"/>
  <c r="BA209" i="6"/>
  <c r="AZ209" i="6"/>
  <c r="AY209" i="6"/>
  <c r="BC208" i="6"/>
  <c r="BB208" i="6"/>
  <c r="BA208" i="6"/>
  <c r="AZ208" i="6"/>
  <c r="AY208" i="6"/>
  <c r="BC207" i="6"/>
  <c r="BB207" i="6"/>
  <c r="BA207" i="6"/>
  <c r="AZ207" i="6"/>
  <c r="AY207" i="6"/>
  <c r="BC206" i="6"/>
  <c r="BB206" i="6"/>
  <c r="BA206" i="6"/>
  <c r="AZ206" i="6"/>
  <c r="AY206" i="6"/>
  <c r="BC205" i="6"/>
  <c r="BB205" i="6"/>
  <c r="BA205" i="6"/>
  <c r="AZ205" i="6"/>
  <c r="AY205" i="6"/>
  <c r="BC204" i="6"/>
  <c r="BB204" i="6"/>
  <c r="BA204" i="6"/>
  <c r="AZ204" i="6"/>
  <c r="AY204" i="6"/>
  <c r="BC203" i="6"/>
  <c r="BB203" i="6"/>
  <c r="BA203" i="6"/>
  <c r="AZ203" i="6"/>
  <c r="AY203" i="6"/>
  <c r="BC202" i="6"/>
  <c r="BB202" i="6"/>
  <c r="BA202" i="6"/>
  <c r="AZ202" i="6"/>
  <c r="AY202" i="6"/>
  <c r="BC201" i="6"/>
  <c r="BB201" i="6"/>
  <c r="BA201" i="6"/>
  <c r="AZ201" i="6"/>
  <c r="AY201" i="6"/>
  <c r="BC200" i="6"/>
  <c r="BB200" i="6"/>
  <c r="BA200" i="6"/>
  <c r="AZ200" i="6"/>
  <c r="AY200" i="6"/>
  <c r="BC199" i="6"/>
  <c r="BB199" i="6"/>
  <c r="BA199" i="6"/>
  <c r="AZ199" i="6"/>
  <c r="AY199" i="6"/>
  <c r="BC198" i="6"/>
  <c r="BB198" i="6"/>
  <c r="BA198" i="6"/>
  <c r="AZ198" i="6"/>
  <c r="AY198" i="6"/>
  <c r="BC197" i="6"/>
  <c r="BB197" i="6"/>
  <c r="BA197" i="6"/>
  <c r="AZ197" i="6"/>
  <c r="AY197" i="6"/>
  <c r="BC196" i="6"/>
  <c r="BB196" i="6"/>
  <c r="BA196" i="6"/>
  <c r="AZ196" i="6"/>
  <c r="AY196" i="6"/>
  <c r="BC195" i="6"/>
  <c r="BB195" i="6"/>
  <c r="BA195" i="6"/>
  <c r="AZ195" i="6"/>
  <c r="AY195" i="6"/>
  <c r="BC194" i="6"/>
  <c r="BB194" i="6"/>
  <c r="BA194" i="6"/>
  <c r="AZ194" i="6"/>
  <c r="AY194" i="6"/>
  <c r="BC193" i="6"/>
  <c r="BB193" i="6"/>
  <c r="BA193" i="6"/>
  <c r="AZ193" i="6"/>
  <c r="AY193" i="6"/>
  <c r="BC192" i="6"/>
  <c r="BB192" i="6"/>
  <c r="BA192" i="6"/>
  <c r="AZ192" i="6"/>
  <c r="AY192" i="6"/>
  <c r="BC191" i="6"/>
  <c r="BB191" i="6"/>
  <c r="BA191" i="6"/>
  <c r="AZ191" i="6"/>
  <c r="AY191" i="6"/>
  <c r="BC190" i="6"/>
  <c r="BB190" i="6"/>
  <c r="BA190" i="6"/>
  <c r="AZ190" i="6"/>
  <c r="AY190" i="6"/>
  <c r="BC189" i="6"/>
  <c r="BB189" i="6"/>
  <c r="BA189" i="6"/>
  <c r="AZ189" i="6"/>
  <c r="AY189" i="6"/>
  <c r="BC188" i="6"/>
  <c r="BB188" i="6"/>
  <c r="BA188" i="6"/>
  <c r="AZ188" i="6"/>
  <c r="AY188" i="6"/>
  <c r="BC187" i="6"/>
  <c r="BB187" i="6"/>
  <c r="BA187" i="6"/>
  <c r="AZ187" i="6"/>
  <c r="AY187" i="6"/>
  <c r="BC186" i="6"/>
  <c r="BB186" i="6"/>
  <c r="BA186" i="6"/>
  <c r="AZ186" i="6"/>
  <c r="AY186" i="6"/>
  <c r="BC185" i="6"/>
  <c r="BB185" i="6"/>
  <c r="BA185" i="6"/>
  <c r="AZ185" i="6"/>
  <c r="AY185" i="6"/>
  <c r="BC184" i="6"/>
  <c r="BB184" i="6"/>
  <c r="BA184" i="6"/>
  <c r="AZ184" i="6"/>
  <c r="AY184" i="6"/>
  <c r="BC183" i="6"/>
  <c r="BB183" i="6"/>
  <c r="BA183" i="6"/>
  <c r="AZ183" i="6"/>
  <c r="AY183" i="6"/>
  <c r="BC182" i="6"/>
  <c r="BB182" i="6"/>
  <c r="BA182" i="6"/>
  <c r="AZ182" i="6"/>
  <c r="AY182" i="6"/>
  <c r="BC181" i="6"/>
  <c r="BB181" i="6"/>
  <c r="BA181" i="6"/>
  <c r="AZ181" i="6"/>
  <c r="AY181" i="6"/>
  <c r="BC180" i="6"/>
  <c r="BB180" i="6"/>
  <c r="BA180" i="6"/>
  <c r="AZ180" i="6"/>
  <c r="AY180" i="6"/>
  <c r="BC179" i="6"/>
  <c r="BB179" i="6"/>
  <c r="BA179" i="6"/>
  <c r="AZ179" i="6"/>
  <c r="AY179" i="6"/>
  <c r="BC178" i="6"/>
  <c r="BB178" i="6"/>
  <c r="BA178" i="6"/>
  <c r="AZ178" i="6"/>
  <c r="AY178" i="6"/>
  <c r="BC177" i="6"/>
  <c r="BB177" i="6"/>
  <c r="BA177" i="6"/>
  <c r="AZ177" i="6"/>
  <c r="AY177" i="6"/>
  <c r="BC176" i="6"/>
  <c r="BB176" i="6"/>
  <c r="BA176" i="6"/>
  <c r="AZ176" i="6"/>
  <c r="AY176" i="6"/>
  <c r="BC175" i="6"/>
  <c r="BB175" i="6"/>
  <c r="BA175" i="6"/>
  <c r="AZ175" i="6"/>
  <c r="AY175" i="6"/>
  <c r="BC174" i="6"/>
  <c r="BB174" i="6"/>
  <c r="BA174" i="6"/>
  <c r="AZ174" i="6"/>
  <c r="AY174" i="6"/>
  <c r="BC173" i="6"/>
  <c r="BB173" i="6"/>
  <c r="BA173" i="6"/>
  <c r="AZ173" i="6"/>
  <c r="AY173" i="6"/>
  <c r="BC172" i="6"/>
  <c r="BB172" i="6"/>
  <c r="BA172" i="6"/>
  <c r="AZ172" i="6"/>
  <c r="AY172" i="6"/>
  <c r="BC171" i="6"/>
  <c r="BB171" i="6"/>
  <c r="BA171" i="6"/>
  <c r="AZ171" i="6"/>
  <c r="AY171" i="6"/>
  <c r="BC170" i="6"/>
  <c r="BB170" i="6"/>
  <c r="BA170" i="6"/>
  <c r="AZ170" i="6"/>
  <c r="AY170" i="6"/>
  <c r="BC169" i="6"/>
  <c r="BB169" i="6"/>
  <c r="BA169" i="6"/>
  <c r="AZ169" i="6"/>
  <c r="AY169" i="6"/>
  <c r="BC168" i="6"/>
  <c r="BB168" i="6"/>
  <c r="BA168" i="6"/>
  <c r="AZ168" i="6"/>
  <c r="AY168" i="6"/>
  <c r="BC167" i="6"/>
  <c r="BB167" i="6"/>
  <c r="BA167" i="6"/>
  <c r="AZ167" i="6"/>
  <c r="AY167" i="6"/>
  <c r="BC166" i="6"/>
  <c r="BB166" i="6"/>
  <c r="BA166" i="6"/>
  <c r="AZ166" i="6"/>
  <c r="AY166" i="6"/>
  <c r="BC165" i="6"/>
  <c r="BB165" i="6"/>
  <c r="BA165" i="6"/>
  <c r="AZ165" i="6"/>
  <c r="AY165" i="6"/>
  <c r="BC164" i="6"/>
  <c r="BB164" i="6"/>
  <c r="BA164" i="6"/>
  <c r="AZ164" i="6"/>
  <c r="AY164" i="6"/>
  <c r="BC163" i="6"/>
  <c r="BB163" i="6"/>
  <c r="BA163" i="6"/>
  <c r="AZ163" i="6"/>
  <c r="AY163" i="6"/>
  <c r="BC162" i="6"/>
  <c r="BB162" i="6"/>
  <c r="BA162" i="6"/>
  <c r="AZ162" i="6"/>
  <c r="AY162" i="6"/>
  <c r="BC161" i="6"/>
  <c r="BB161" i="6"/>
  <c r="BA161" i="6"/>
  <c r="AZ161" i="6"/>
  <c r="AY161" i="6"/>
  <c r="BC160" i="6"/>
  <c r="BB160" i="6"/>
  <c r="BA160" i="6"/>
  <c r="AZ160" i="6"/>
  <c r="AY160" i="6"/>
  <c r="BC159" i="6"/>
  <c r="BB159" i="6"/>
  <c r="BA159" i="6"/>
  <c r="AZ159" i="6"/>
  <c r="AY159" i="6"/>
  <c r="BC158" i="6"/>
  <c r="BB158" i="6"/>
  <c r="BA158" i="6"/>
  <c r="AZ158" i="6"/>
  <c r="AY158" i="6"/>
  <c r="BC157" i="6"/>
  <c r="BB157" i="6"/>
  <c r="BA157" i="6"/>
  <c r="AZ157" i="6"/>
  <c r="AY157" i="6"/>
  <c r="BC156" i="6"/>
  <c r="BB156" i="6"/>
  <c r="BA156" i="6"/>
  <c r="AZ156" i="6"/>
  <c r="AY156" i="6"/>
  <c r="BC155" i="6"/>
  <c r="BB155" i="6"/>
  <c r="BA155" i="6"/>
  <c r="AZ155" i="6"/>
  <c r="AY155" i="6"/>
  <c r="BC154" i="6"/>
  <c r="BB154" i="6"/>
  <c r="BA154" i="6"/>
  <c r="AZ154" i="6"/>
  <c r="AY154" i="6"/>
  <c r="BC153" i="6"/>
  <c r="BB153" i="6"/>
  <c r="BA153" i="6"/>
  <c r="AZ153" i="6"/>
  <c r="AY153" i="6"/>
  <c r="BC152" i="6"/>
  <c r="BB152" i="6"/>
  <c r="BA152" i="6"/>
  <c r="AZ152" i="6"/>
  <c r="AY152" i="6"/>
  <c r="BC151" i="6"/>
  <c r="BB151" i="6"/>
  <c r="BA151" i="6"/>
  <c r="AZ151" i="6"/>
  <c r="AY151" i="6"/>
  <c r="BC150" i="6"/>
  <c r="BB150" i="6"/>
  <c r="BA150" i="6"/>
  <c r="AZ150" i="6"/>
  <c r="AY150" i="6"/>
  <c r="BC149" i="6"/>
  <c r="BB149" i="6"/>
  <c r="BA149" i="6"/>
  <c r="AZ149" i="6"/>
  <c r="AY149" i="6"/>
  <c r="BC148" i="6"/>
  <c r="BB148" i="6"/>
  <c r="BA148" i="6"/>
  <c r="AZ148" i="6"/>
  <c r="AY148" i="6"/>
  <c r="BC147" i="6"/>
  <c r="BB147" i="6"/>
  <c r="BA147" i="6"/>
  <c r="AZ147" i="6"/>
  <c r="AY147" i="6"/>
  <c r="BC146" i="6"/>
  <c r="BB146" i="6"/>
  <c r="BA146" i="6"/>
  <c r="AZ146" i="6"/>
  <c r="AY146" i="6"/>
  <c r="BC145" i="6"/>
  <c r="BB145" i="6"/>
  <c r="BA145" i="6"/>
  <c r="AZ145" i="6"/>
  <c r="AY145" i="6"/>
  <c r="BC144" i="6"/>
  <c r="BB144" i="6"/>
  <c r="BA144" i="6"/>
  <c r="AZ144" i="6"/>
  <c r="AY144" i="6"/>
  <c r="BC143" i="6"/>
  <c r="BB143" i="6"/>
  <c r="BA143" i="6"/>
  <c r="AZ143" i="6"/>
  <c r="AY143" i="6"/>
  <c r="BC142" i="6"/>
  <c r="BB142" i="6"/>
  <c r="BA142" i="6"/>
  <c r="AZ142" i="6"/>
  <c r="AY142" i="6"/>
  <c r="BC141" i="6"/>
  <c r="BB141" i="6"/>
  <c r="BA141" i="6"/>
  <c r="AZ141" i="6"/>
  <c r="AY141" i="6"/>
  <c r="BC140" i="6"/>
  <c r="BB140" i="6"/>
  <c r="BA140" i="6"/>
  <c r="AZ140" i="6"/>
  <c r="AY140" i="6"/>
  <c r="BC139" i="6"/>
  <c r="BB139" i="6"/>
  <c r="BA139" i="6"/>
  <c r="AZ139" i="6"/>
  <c r="AY139" i="6"/>
  <c r="BC138" i="6"/>
  <c r="BB138" i="6"/>
  <c r="BA138" i="6"/>
  <c r="AZ138" i="6"/>
  <c r="AY138" i="6"/>
  <c r="BC137" i="6"/>
  <c r="BB137" i="6"/>
  <c r="BA137" i="6"/>
  <c r="AZ137" i="6"/>
  <c r="AY137" i="6"/>
  <c r="BC136" i="6"/>
  <c r="BB136" i="6"/>
  <c r="BA136" i="6"/>
  <c r="AZ136" i="6"/>
  <c r="AY136" i="6"/>
  <c r="BC135" i="6"/>
  <c r="BB135" i="6"/>
  <c r="BA135" i="6"/>
  <c r="AZ135" i="6"/>
  <c r="AY135" i="6"/>
  <c r="BC134" i="6"/>
  <c r="BB134" i="6"/>
  <c r="BA134" i="6"/>
  <c r="AZ134" i="6"/>
  <c r="AY134" i="6"/>
  <c r="BC133" i="6"/>
  <c r="BB133" i="6"/>
  <c r="BA133" i="6"/>
  <c r="AZ133" i="6"/>
  <c r="AY133" i="6"/>
  <c r="BC132" i="6"/>
  <c r="BB132" i="6"/>
  <c r="BA132" i="6"/>
  <c r="AZ132" i="6"/>
  <c r="AY132" i="6"/>
  <c r="BC131" i="6"/>
  <c r="BB131" i="6"/>
  <c r="BA131" i="6"/>
  <c r="AZ131" i="6"/>
  <c r="AY131" i="6"/>
  <c r="BC130" i="6"/>
  <c r="BB130" i="6"/>
  <c r="BA130" i="6"/>
  <c r="AZ130" i="6"/>
  <c r="AY130" i="6"/>
  <c r="BC129" i="6"/>
  <c r="BB129" i="6"/>
  <c r="BA129" i="6"/>
  <c r="AZ129" i="6"/>
  <c r="AY129" i="6"/>
  <c r="BC128" i="6"/>
  <c r="BB128" i="6"/>
  <c r="BA128" i="6"/>
  <c r="AZ128" i="6"/>
  <c r="AY128" i="6"/>
  <c r="BC127" i="6"/>
  <c r="BB127" i="6"/>
  <c r="BA127" i="6"/>
  <c r="AZ127" i="6"/>
  <c r="AY127" i="6"/>
  <c r="BC126" i="6"/>
  <c r="BB126" i="6"/>
  <c r="BA126" i="6"/>
  <c r="AZ126" i="6"/>
  <c r="AY126" i="6"/>
  <c r="BC125" i="6"/>
  <c r="BB125" i="6"/>
  <c r="BA125" i="6"/>
  <c r="AZ125" i="6"/>
  <c r="AY125" i="6"/>
  <c r="BC124" i="6"/>
  <c r="BB124" i="6"/>
  <c r="BA124" i="6"/>
  <c r="AZ124" i="6"/>
  <c r="AY124" i="6"/>
  <c r="BC123" i="6"/>
  <c r="BB123" i="6"/>
  <c r="BA123" i="6"/>
  <c r="AZ123" i="6"/>
  <c r="AY123" i="6"/>
  <c r="BC122" i="6"/>
  <c r="BB122" i="6"/>
  <c r="BA122" i="6"/>
  <c r="AZ122" i="6"/>
  <c r="AY122" i="6"/>
  <c r="BC121" i="6"/>
  <c r="BB121" i="6"/>
  <c r="BA121" i="6"/>
  <c r="AZ121" i="6"/>
  <c r="AY121" i="6"/>
  <c r="BC120" i="6"/>
  <c r="BB120" i="6"/>
  <c r="BA120" i="6"/>
  <c r="AZ120" i="6"/>
  <c r="AY120" i="6"/>
  <c r="BC119" i="6"/>
  <c r="BB119" i="6"/>
  <c r="BA119" i="6"/>
  <c r="AZ119" i="6"/>
  <c r="AY119" i="6"/>
  <c r="BC118" i="6"/>
  <c r="BB118" i="6"/>
  <c r="BA118" i="6"/>
  <c r="AZ118" i="6"/>
  <c r="AY118" i="6"/>
  <c r="BC117" i="6"/>
  <c r="BB117" i="6"/>
  <c r="BA117" i="6"/>
  <c r="AZ117" i="6"/>
  <c r="AY117" i="6"/>
  <c r="BC116" i="6"/>
  <c r="BB116" i="6"/>
  <c r="BA116" i="6"/>
  <c r="AZ116" i="6"/>
  <c r="AY116" i="6"/>
  <c r="BC115" i="6"/>
  <c r="BB115" i="6"/>
  <c r="BA115" i="6"/>
  <c r="AZ115" i="6"/>
  <c r="AY115" i="6"/>
  <c r="BC114" i="6"/>
  <c r="BB114" i="6"/>
  <c r="BA114" i="6"/>
  <c r="AZ114" i="6"/>
  <c r="AY114" i="6"/>
  <c r="BC113" i="6"/>
  <c r="BB113" i="6"/>
  <c r="BA113" i="6"/>
  <c r="AZ113" i="6"/>
  <c r="AY113" i="6"/>
  <c r="BC112" i="6"/>
  <c r="BB112" i="6"/>
  <c r="BA112" i="6"/>
  <c r="AZ112" i="6"/>
  <c r="AY112" i="6"/>
  <c r="BC111" i="6"/>
  <c r="BB111" i="6"/>
  <c r="BA111" i="6"/>
  <c r="AZ111" i="6"/>
  <c r="AY111" i="6"/>
  <c r="BC110" i="6"/>
  <c r="BB110" i="6"/>
  <c r="BA110" i="6"/>
  <c r="AZ110" i="6"/>
  <c r="AY110" i="6"/>
  <c r="BC109" i="6"/>
  <c r="BB109" i="6"/>
  <c r="BA109" i="6"/>
  <c r="AZ109" i="6"/>
  <c r="AY109" i="6"/>
  <c r="BC108" i="6"/>
  <c r="BB108" i="6"/>
  <c r="BA108" i="6"/>
  <c r="AZ108" i="6"/>
  <c r="AY108" i="6"/>
  <c r="BC107" i="6"/>
  <c r="BB107" i="6"/>
  <c r="BA107" i="6"/>
  <c r="AZ107" i="6"/>
  <c r="AY107" i="6"/>
  <c r="BC106" i="6"/>
  <c r="BB106" i="6"/>
  <c r="BA106" i="6"/>
  <c r="AZ106" i="6"/>
  <c r="AY106" i="6"/>
  <c r="BC105" i="6"/>
  <c r="BB105" i="6"/>
  <c r="BA105" i="6"/>
  <c r="AZ105" i="6"/>
  <c r="AY105" i="6"/>
  <c r="BC104" i="6"/>
  <c r="BB104" i="6"/>
  <c r="BA104" i="6"/>
  <c r="AZ104" i="6"/>
  <c r="AY104" i="6"/>
  <c r="BC103" i="6"/>
  <c r="BB103" i="6"/>
  <c r="BA103" i="6"/>
  <c r="AZ103" i="6"/>
  <c r="AY103" i="6"/>
  <c r="BC102" i="6"/>
  <c r="BB102" i="6"/>
  <c r="BA102" i="6"/>
  <c r="AZ102" i="6"/>
  <c r="AY102" i="6"/>
  <c r="BC101" i="6"/>
  <c r="BB101" i="6"/>
  <c r="BA101" i="6"/>
  <c r="AZ101" i="6"/>
  <c r="AY101" i="6"/>
  <c r="BC100" i="6"/>
  <c r="BB100" i="6"/>
  <c r="BA100" i="6"/>
  <c r="AZ100" i="6"/>
  <c r="AY100" i="6"/>
  <c r="BC99" i="6"/>
  <c r="BB99" i="6"/>
  <c r="BA99" i="6"/>
  <c r="AZ99" i="6"/>
  <c r="AY99" i="6"/>
  <c r="BC98" i="6"/>
  <c r="BB98" i="6"/>
  <c r="BA98" i="6"/>
  <c r="AZ98" i="6"/>
  <c r="AY98" i="6"/>
  <c r="BC97" i="6"/>
  <c r="BB97" i="6"/>
  <c r="BA97" i="6"/>
  <c r="AZ97" i="6"/>
  <c r="AY97" i="6"/>
  <c r="BC96" i="6"/>
  <c r="BB96" i="6"/>
  <c r="BA96" i="6"/>
  <c r="AZ96" i="6"/>
  <c r="AY96" i="6"/>
  <c r="BC95" i="6"/>
  <c r="BB95" i="6"/>
  <c r="BA95" i="6"/>
  <c r="AZ95" i="6"/>
  <c r="AY95" i="6"/>
  <c r="BC94" i="6"/>
  <c r="BB94" i="6"/>
  <c r="BA94" i="6"/>
  <c r="AZ94" i="6"/>
  <c r="AY94" i="6"/>
  <c r="BC93" i="6"/>
  <c r="BB93" i="6"/>
  <c r="BA93" i="6"/>
  <c r="AZ93" i="6"/>
  <c r="AY93" i="6"/>
  <c r="BC92" i="6"/>
  <c r="BB92" i="6"/>
  <c r="BA92" i="6"/>
  <c r="AZ92" i="6"/>
  <c r="AY92" i="6"/>
  <c r="BC91" i="6"/>
  <c r="BB91" i="6"/>
  <c r="BA91" i="6"/>
  <c r="AZ91" i="6"/>
  <c r="AY91" i="6"/>
  <c r="BC90" i="6"/>
  <c r="BB90" i="6"/>
  <c r="BA90" i="6"/>
  <c r="AZ90" i="6"/>
  <c r="AY90" i="6"/>
  <c r="BC89" i="6"/>
  <c r="BB89" i="6"/>
  <c r="BA89" i="6"/>
  <c r="AZ89" i="6"/>
  <c r="AY89" i="6"/>
  <c r="BC88" i="6"/>
  <c r="BB88" i="6"/>
  <c r="BA88" i="6"/>
  <c r="AZ88" i="6"/>
  <c r="AY88" i="6"/>
  <c r="BC87" i="6"/>
  <c r="BB87" i="6"/>
  <c r="BA87" i="6"/>
  <c r="AZ87" i="6"/>
  <c r="AY87" i="6"/>
  <c r="BC86" i="6"/>
  <c r="BB86" i="6"/>
  <c r="BA86" i="6"/>
  <c r="AZ86" i="6"/>
  <c r="AY86" i="6"/>
  <c r="BC85" i="6"/>
  <c r="BB85" i="6"/>
  <c r="BA85" i="6"/>
  <c r="AZ85" i="6"/>
  <c r="AY85" i="6"/>
  <c r="BC84" i="6"/>
  <c r="BB84" i="6"/>
  <c r="BA84" i="6"/>
  <c r="AZ84" i="6"/>
  <c r="AY84" i="6"/>
  <c r="BC83" i="6"/>
  <c r="BB83" i="6"/>
  <c r="BA83" i="6"/>
  <c r="AZ83" i="6"/>
  <c r="AY83" i="6"/>
  <c r="BC82" i="6"/>
  <c r="BB82" i="6"/>
  <c r="BA82" i="6"/>
  <c r="AZ82" i="6"/>
  <c r="AY82" i="6"/>
  <c r="BC81" i="6"/>
  <c r="BB81" i="6"/>
  <c r="BA81" i="6"/>
  <c r="AZ81" i="6"/>
  <c r="AY81" i="6"/>
  <c r="BC80" i="6"/>
  <c r="BB80" i="6"/>
  <c r="BA80" i="6"/>
  <c r="AZ80" i="6"/>
  <c r="AY80" i="6"/>
  <c r="BC79" i="6"/>
  <c r="BB79" i="6"/>
  <c r="BA79" i="6"/>
  <c r="AZ79" i="6"/>
  <c r="AY79" i="6"/>
  <c r="BC78" i="6"/>
  <c r="BB78" i="6"/>
  <c r="BA78" i="6"/>
  <c r="AZ78" i="6"/>
  <c r="AY78" i="6"/>
  <c r="BC77" i="6"/>
  <c r="BB77" i="6"/>
  <c r="BA77" i="6"/>
  <c r="AZ77" i="6"/>
  <c r="AY77" i="6"/>
  <c r="BC76" i="6"/>
  <c r="BB76" i="6"/>
  <c r="BA76" i="6"/>
  <c r="AZ76" i="6"/>
  <c r="AY76" i="6"/>
  <c r="BC75" i="6"/>
  <c r="BB75" i="6"/>
  <c r="BA75" i="6"/>
  <c r="AZ75" i="6"/>
  <c r="AY75" i="6"/>
  <c r="BC74" i="6"/>
  <c r="BB74" i="6"/>
  <c r="BA74" i="6"/>
  <c r="AZ74" i="6"/>
  <c r="AY74" i="6"/>
  <c r="BC73" i="6"/>
  <c r="BB73" i="6"/>
  <c r="BA73" i="6"/>
  <c r="AZ73" i="6"/>
  <c r="AY73" i="6"/>
  <c r="BC72" i="6"/>
  <c r="BB72" i="6"/>
  <c r="BA72" i="6"/>
  <c r="AZ72" i="6"/>
  <c r="AY72" i="6"/>
  <c r="BC71" i="6"/>
  <c r="BB71" i="6"/>
  <c r="BA71" i="6"/>
  <c r="AZ71" i="6"/>
  <c r="AY71" i="6"/>
  <c r="BC70" i="6"/>
  <c r="BB70" i="6"/>
  <c r="BA70" i="6"/>
  <c r="AZ70" i="6"/>
  <c r="AY70" i="6"/>
  <c r="BC69" i="6"/>
  <c r="BB69" i="6"/>
  <c r="BA69" i="6"/>
  <c r="AZ69" i="6"/>
  <c r="AY69" i="6"/>
  <c r="BC68" i="6"/>
  <c r="BB68" i="6"/>
  <c r="BA68" i="6"/>
  <c r="AZ68" i="6"/>
  <c r="AY68" i="6"/>
  <c r="BC67" i="6"/>
  <c r="BB67" i="6"/>
  <c r="BA67" i="6"/>
  <c r="AZ67" i="6"/>
  <c r="AY67" i="6"/>
  <c r="BC66" i="6"/>
  <c r="BB66" i="6"/>
  <c r="BA66" i="6"/>
  <c r="AZ66" i="6"/>
  <c r="AY66" i="6"/>
  <c r="BC65" i="6"/>
  <c r="BB65" i="6"/>
  <c r="BA65" i="6"/>
  <c r="AZ65" i="6"/>
  <c r="AY65" i="6"/>
  <c r="BC64" i="6"/>
  <c r="BB64" i="6"/>
  <c r="BA64" i="6"/>
  <c r="AZ64" i="6"/>
  <c r="AY64" i="6"/>
  <c r="BC63" i="6"/>
  <c r="BB63" i="6"/>
  <c r="BA63" i="6"/>
  <c r="AZ63" i="6"/>
  <c r="AY63" i="6"/>
  <c r="BC62" i="6"/>
  <c r="BB62" i="6"/>
  <c r="BA62" i="6"/>
  <c r="AZ62" i="6"/>
  <c r="AY62" i="6"/>
  <c r="BC61" i="6"/>
  <c r="BB61" i="6"/>
  <c r="BA61" i="6"/>
  <c r="AZ61" i="6"/>
  <c r="AY61" i="6"/>
  <c r="BC60" i="6"/>
  <c r="BB60" i="6"/>
  <c r="BA60" i="6"/>
  <c r="AZ60" i="6"/>
  <c r="AY60" i="6"/>
  <c r="BC59" i="6"/>
  <c r="BB59" i="6"/>
  <c r="BA59" i="6"/>
  <c r="AZ59" i="6"/>
  <c r="AY59" i="6"/>
  <c r="BC58" i="6"/>
  <c r="BB58" i="6"/>
  <c r="BA58" i="6"/>
  <c r="AZ58" i="6"/>
  <c r="AY58" i="6"/>
  <c r="BC57" i="6"/>
  <c r="BB57" i="6"/>
  <c r="BA57" i="6"/>
  <c r="AZ57" i="6"/>
  <c r="AY57" i="6"/>
  <c r="BC56" i="6"/>
  <c r="BB56" i="6"/>
  <c r="BA56" i="6"/>
  <c r="AZ56" i="6"/>
  <c r="AY56" i="6"/>
  <c r="BC55" i="6"/>
  <c r="BB55" i="6"/>
  <c r="BA55" i="6"/>
  <c r="AZ55" i="6"/>
  <c r="AY55" i="6"/>
  <c r="BC54" i="6"/>
  <c r="BB54" i="6"/>
  <c r="BA54" i="6"/>
  <c r="AZ54" i="6"/>
  <c r="AY54" i="6"/>
  <c r="BC53" i="6"/>
  <c r="BB53" i="6"/>
  <c r="BA53" i="6"/>
  <c r="AZ53" i="6"/>
  <c r="AY53" i="6"/>
  <c r="BC52" i="6"/>
  <c r="BB52" i="6"/>
  <c r="BA52" i="6"/>
  <c r="AZ52" i="6"/>
  <c r="AY52" i="6"/>
  <c r="BC51" i="6"/>
  <c r="BB51" i="6"/>
  <c r="BA51" i="6"/>
  <c r="AZ51" i="6"/>
  <c r="AY51" i="6"/>
  <c r="BC50" i="6"/>
  <c r="BB50" i="6"/>
  <c r="BA50" i="6"/>
  <c r="AZ50" i="6"/>
  <c r="AY50" i="6"/>
  <c r="BC49" i="6"/>
  <c r="BB49" i="6"/>
  <c r="BA49" i="6"/>
  <c r="AZ49" i="6"/>
  <c r="AY49" i="6"/>
  <c r="BC48" i="6"/>
  <c r="BB48" i="6"/>
  <c r="BA48" i="6"/>
  <c r="AZ48" i="6"/>
  <c r="AY48" i="6"/>
  <c r="BC47" i="6"/>
  <c r="BB47" i="6"/>
  <c r="BA47" i="6"/>
  <c r="AZ47" i="6"/>
  <c r="AY47" i="6"/>
  <c r="BC46" i="6"/>
  <c r="BB46" i="6"/>
  <c r="BA46" i="6"/>
  <c r="AZ46" i="6"/>
  <c r="AY46" i="6"/>
  <c r="BC45" i="6"/>
  <c r="BB45" i="6"/>
  <c r="BA45" i="6"/>
  <c r="AZ45" i="6"/>
  <c r="AY45" i="6"/>
  <c r="BC44" i="6"/>
  <c r="BB44" i="6"/>
  <c r="BA44" i="6"/>
  <c r="AZ44" i="6"/>
  <c r="AY44" i="6"/>
  <c r="BC43" i="6"/>
  <c r="BB43" i="6"/>
  <c r="BA43" i="6"/>
  <c r="AZ43" i="6"/>
  <c r="AY43" i="6"/>
  <c r="BC42" i="6"/>
  <c r="BB42" i="6"/>
  <c r="BA42" i="6"/>
  <c r="AZ42" i="6"/>
  <c r="AY42" i="6"/>
  <c r="BC41" i="6"/>
  <c r="BB41" i="6"/>
  <c r="BA41" i="6"/>
  <c r="AZ41" i="6"/>
  <c r="AY41" i="6"/>
  <c r="BC40" i="6"/>
  <c r="BB40" i="6"/>
  <c r="BA40" i="6"/>
  <c r="AZ40" i="6"/>
  <c r="AY40" i="6"/>
  <c r="BC39" i="6"/>
  <c r="BB39" i="6"/>
  <c r="BA39" i="6"/>
  <c r="AZ39" i="6"/>
  <c r="AY39" i="6"/>
  <c r="BC38" i="6"/>
  <c r="BB38" i="6"/>
  <c r="BA38" i="6"/>
  <c r="AZ38" i="6"/>
  <c r="AY38" i="6"/>
  <c r="BC37" i="6"/>
  <c r="BB37" i="6"/>
  <c r="BA37" i="6"/>
  <c r="AZ37" i="6"/>
  <c r="AY37" i="6"/>
  <c r="BC36" i="6"/>
  <c r="BB36" i="6"/>
  <c r="BA36" i="6"/>
  <c r="AZ36" i="6"/>
  <c r="AY36" i="6"/>
  <c r="BC35" i="6"/>
  <c r="BB35" i="6"/>
  <c r="BA35" i="6"/>
  <c r="AZ35" i="6"/>
  <c r="AY35" i="6"/>
  <c r="BC34" i="6"/>
  <c r="BB34" i="6"/>
  <c r="BA34" i="6"/>
  <c r="AZ34" i="6"/>
  <c r="AY34" i="6"/>
  <c r="BC33" i="6"/>
  <c r="BB33" i="6"/>
  <c r="BA33" i="6"/>
  <c r="AZ33" i="6"/>
  <c r="AY33" i="6"/>
  <c r="BC32" i="6"/>
  <c r="BB32" i="6"/>
  <c r="BA32" i="6"/>
  <c r="AZ32" i="6"/>
  <c r="AY32" i="6"/>
  <c r="BC31" i="6"/>
  <c r="BB31" i="6"/>
  <c r="BA31" i="6"/>
  <c r="AZ31" i="6"/>
  <c r="AY31" i="6"/>
  <c r="BC30" i="6"/>
  <c r="BB30" i="6"/>
  <c r="BA30" i="6"/>
  <c r="AZ30" i="6"/>
  <c r="AY30" i="6"/>
  <c r="BC29" i="6"/>
  <c r="BB29" i="6"/>
  <c r="BA29" i="6"/>
  <c r="AZ29" i="6"/>
  <c r="AY29" i="6"/>
  <c r="BC28" i="6"/>
  <c r="BB28" i="6"/>
  <c r="BA28" i="6"/>
  <c r="AZ28" i="6"/>
  <c r="AY28" i="6"/>
  <c r="BC27" i="6"/>
  <c r="BB27" i="6"/>
  <c r="BA27" i="6"/>
  <c r="AZ27" i="6"/>
  <c r="AY27" i="6"/>
  <c r="BC26" i="6"/>
  <c r="BB26" i="6"/>
  <c r="BA26" i="6"/>
  <c r="AZ26" i="6"/>
  <c r="AY26" i="6"/>
  <c r="BC25" i="6"/>
  <c r="BB25" i="6"/>
  <c r="BA25" i="6"/>
  <c r="AZ25" i="6"/>
  <c r="AY25" i="6"/>
  <c r="BC24" i="6"/>
  <c r="BB24" i="6"/>
  <c r="BA24" i="6"/>
  <c r="AZ24" i="6"/>
  <c r="AY24" i="6"/>
  <c r="BC23" i="6"/>
  <c r="BB23" i="6"/>
  <c r="BA23" i="6"/>
  <c r="AZ23" i="6"/>
  <c r="AY23" i="6"/>
  <c r="BC22" i="6"/>
  <c r="BB22" i="6"/>
  <c r="BA22" i="6"/>
  <c r="AZ22" i="6"/>
  <c r="AY22" i="6"/>
  <c r="BC21" i="6"/>
  <c r="BB21" i="6"/>
  <c r="BA21" i="6"/>
  <c r="AZ21" i="6"/>
  <c r="AY21" i="6"/>
  <c r="BC20" i="6"/>
  <c r="BB20" i="6"/>
  <c r="BA20" i="6"/>
  <c r="AZ20" i="6"/>
  <c r="AX4" i="6"/>
  <c r="AK14" i="6"/>
  <c r="AJ14" i="6"/>
  <c r="AI14" i="6"/>
  <c r="AH14" i="6"/>
  <c r="AG14" i="6"/>
  <c r="AF14" i="6"/>
  <c r="AK13" i="6"/>
  <c r="AJ13" i="6"/>
  <c r="AI13" i="6"/>
  <c r="AH13" i="6"/>
  <c r="AG13" i="6"/>
  <c r="AF13" i="6"/>
  <c r="AK12" i="6"/>
  <c r="AJ12" i="6"/>
  <c r="AI12" i="6"/>
  <c r="AH12" i="6"/>
  <c r="AG12" i="6"/>
  <c r="AF12" i="6"/>
  <c r="AK11" i="6"/>
  <c r="AJ11" i="6"/>
  <c r="AI11" i="6"/>
  <c r="AH11" i="6"/>
  <c r="AG11" i="6"/>
  <c r="AF11" i="6"/>
  <c r="AK10" i="6"/>
  <c r="AJ10" i="6"/>
  <c r="AI10" i="6"/>
  <c r="AH10" i="6"/>
  <c r="AG10" i="6"/>
  <c r="AF10" i="6"/>
  <c r="AK9" i="6"/>
  <c r="AJ9" i="6"/>
  <c r="AI9" i="6"/>
  <c r="AH9" i="6"/>
  <c r="AG9" i="6"/>
  <c r="AF9" i="6"/>
  <c r="AK8" i="6"/>
  <c r="AJ8" i="6"/>
  <c r="AI8" i="6"/>
  <c r="AH8" i="6"/>
  <c r="AG8" i="6"/>
  <c r="AF8" i="6"/>
  <c r="AK7" i="6"/>
  <c r="AJ7" i="6"/>
  <c r="AI7" i="6"/>
  <c r="AH7" i="6"/>
  <c r="AG7" i="6"/>
  <c r="AF7" i="6"/>
  <c r="AK6" i="6"/>
  <c r="AJ6" i="6"/>
  <c r="AI6" i="6"/>
  <c r="AH6" i="6"/>
  <c r="AG6" i="6"/>
  <c r="AF6" i="6"/>
  <c r="AK5" i="6"/>
  <c r="AJ5" i="6"/>
  <c r="AI5" i="6"/>
  <c r="AH5" i="6"/>
  <c r="AG5" i="6"/>
  <c r="AF5" i="6"/>
  <c r="N5" i="6"/>
  <c r="AK4" i="6"/>
  <c r="AJ4" i="6"/>
  <c r="AI4" i="6"/>
  <c r="AH4" i="6"/>
  <c r="AG4" i="6"/>
  <c r="AF4" i="6"/>
  <c r="N4" i="6"/>
  <c r="AK3" i="6"/>
  <c r="AJ3" i="6"/>
  <c r="AI3" i="6"/>
  <c r="AH3" i="6"/>
  <c r="AG3" i="6"/>
  <c r="AF3" i="6"/>
  <c r="N3" i="6"/>
  <c r="AK2" i="6"/>
  <c r="AJ2" i="6"/>
  <c r="AI2" i="6"/>
  <c r="AH2" i="6"/>
  <c r="AG2" i="6"/>
  <c r="AF2" i="6"/>
  <c r="BC5" i="6" l="1"/>
  <c r="BA2" i="6"/>
  <c r="BB5" i="6"/>
  <c r="BB2" i="6"/>
  <c r="AZ4" i="6"/>
  <c r="BC2" i="6"/>
  <c r="AY4" i="6"/>
  <c r="AY3" i="6"/>
  <c r="BA4" i="6"/>
  <c r="BB4" i="6"/>
  <c r="AZ2" i="6"/>
  <c r="BC3" i="6"/>
  <c r="BA5" i="6"/>
  <c r="BB3" i="6"/>
  <c r="AX3" i="6"/>
  <c r="AX5" i="6"/>
  <c r="BA3" i="6"/>
  <c r="AY5" i="6"/>
  <c r="AY2" i="6"/>
  <c r="AZ5" i="6"/>
  <c r="AZ3" i="6"/>
  <c r="BC4" i="6"/>
  <c r="AX2" i="6"/>
  <c r="P4" i="2"/>
  <c r="P3" i="2"/>
  <c r="G170" i="2"/>
  <c r="G182" i="2"/>
  <c r="G178" i="2"/>
  <c r="G97" i="2"/>
  <c r="G153" i="2"/>
  <c r="G129" i="2"/>
  <c r="G64" i="2"/>
  <c r="G78" i="2"/>
  <c r="G160" i="2"/>
  <c r="G171" i="2"/>
  <c r="G140" i="2"/>
  <c r="G114" i="2"/>
  <c r="G68" i="2"/>
  <c r="G44" i="2"/>
  <c r="G28" i="2"/>
  <c r="G45" i="2"/>
  <c r="G118" i="2"/>
  <c r="G93" i="2"/>
  <c r="G38" i="2"/>
  <c r="G149" i="2"/>
  <c r="G63" i="2"/>
  <c r="G174" i="2"/>
  <c r="G105" i="2"/>
  <c r="G112" i="2"/>
  <c r="G60" i="2"/>
  <c r="G53" i="2"/>
  <c r="G156" i="2"/>
  <c r="G42" i="2"/>
  <c r="G133" i="2"/>
  <c r="G130" i="2"/>
  <c r="G176" i="2"/>
  <c r="G34" i="2"/>
  <c r="G54" i="2"/>
  <c r="G98" i="2"/>
  <c r="G131" i="2"/>
  <c r="G73" i="2"/>
  <c r="G123" i="2"/>
  <c r="G110" i="2"/>
  <c r="G65" i="2"/>
  <c r="G76" i="2"/>
  <c r="G89" i="2"/>
  <c r="G138" i="2"/>
  <c r="G85" i="2"/>
  <c r="G210" i="2"/>
  <c r="G67" i="2"/>
  <c r="G23" i="2"/>
  <c r="G56" i="2"/>
  <c r="G159" i="2"/>
  <c r="G86" i="2"/>
  <c r="G119" i="2"/>
  <c r="G195" i="2"/>
  <c r="G102" i="2"/>
  <c r="G99" i="2"/>
  <c r="G168" i="2"/>
  <c r="G117" i="2"/>
  <c r="G108" i="2"/>
  <c r="G196" i="2"/>
  <c r="G115" i="2"/>
  <c r="G39" i="2"/>
  <c r="G87" i="2"/>
  <c r="G128" i="2"/>
  <c r="G134" i="2"/>
  <c r="G55" i="2"/>
  <c r="G121" i="2"/>
  <c r="G94" i="2"/>
  <c r="G135" i="2"/>
  <c r="G91" i="2"/>
  <c r="G84" i="2"/>
  <c r="G80" i="2"/>
  <c r="G203" i="2"/>
  <c r="G173" i="2"/>
  <c r="G82" i="2"/>
  <c r="G50" i="2"/>
  <c r="G141" i="2"/>
  <c r="G124" i="2"/>
  <c r="G46" i="2"/>
  <c r="G90" i="2"/>
  <c r="G143" i="2"/>
  <c r="G139" i="2"/>
  <c r="G96" i="2"/>
  <c r="G41" i="2"/>
  <c r="G192" i="2"/>
  <c r="G208" i="2"/>
  <c r="G169" i="2"/>
  <c r="G219" i="2"/>
  <c r="G43" i="2"/>
  <c r="G154" i="2"/>
  <c r="G125" i="2"/>
  <c r="G104" i="2"/>
  <c r="G92" i="2"/>
  <c r="G146" i="2"/>
  <c r="G26" i="2"/>
  <c r="G107" i="2"/>
  <c r="G35" i="2"/>
  <c r="G191" i="2"/>
  <c r="G144" i="2"/>
  <c r="G179" i="2"/>
  <c r="G132" i="2"/>
  <c r="G109" i="2"/>
  <c r="G185" i="2"/>
  <c r="G127" i="2"/>
  <c r="G120" i="2"/>
  <c r="G103" i="2"/>
  <c r="G101" i="2"/>
  <c r="G106" i="2"/>
  <c r="G167" i="2"/>
  <c r="G211" i="2"/>
  <c r="G218" i="2"/>
  <c r="G29" i="2"/>
  <c r="G162" i="2"/>
  <c r="G59" i="2"/>
  <c r="G163" i="2"/>
  <c r="G147" i="2"/>
  <c r="G145" i="2"/>
  <c r="G113" i="2"/>
  <c r="G155" i="2"/>
  <c r="G40" i="2"/>
  <c r="G116" i="2"/>
  <c r="G214" i="2"/>
  <c r="G95" i="2"/>
  <c r="G71" i="2"/>
  <c r="G69" i="2"/>
  <c r="G30" i="2"/>
  <c r="G61" i="2"/>
  <c r="G88" i="2"/>
  <c r="G137" i="2"/>
  <c r="G75" i="2"/>
  <c r="G81" i="2"/>
  <c r="G74" i="2"/>
  <c r="G194" i="2"/>
  <c r="G205" i="2"/>
  <c r="G213" i="2"/>
  <c r="G181" i="2"/>
  <c r="G204" i="2"/>
  <c r="G161" i="2"/>
  <c r="G27" i="2"/>
  <c r="G83" i="2"/>
  <c r="G188" i="2"/>
  <c r="G51" i="2"/>
  <c r="G126" i="2"/>
  <c r="G21" i="2"/>
  <c r="G32" i="2"/>
  <c r="G150" i="2"/>
  <c r="G193" i="2"/>
  <c r="G157" i="2"/>
  <c r="G206" i="2"/>
  <c r="G151" i="2"/>
  <c r="G36" i="2"/>
  <c r="G172" i="2"/>
  <c r="G77" i="2"/>
  <c r="G57" i="2"/>
  <c r="G197" i="2"/>
  <c r="G164" i="2"/>
  <c r="G215" i="2"/>
  <c r="G58" i="2"/>
  <c r="G216" i="2"/>
  <c r="G187" i="2"/>
  <c r="G183" i="2"/>
  <c r="G202" i="2"/>
  <c r="G166" i="2"/>
  <c r="G158" i="2"/>
  <c r="G52" i="2"/>
  <c r="G62" i="2"/>
  <c r="G31" i="2"/>
  <c r="G165" i="2"/>
  <c r="G209" i="2"/>
  <c r="G190" i="2"/>
  <c r="G198" i="2"/>
  <c r="G201" i="2"/>
  <c r="G152" i="2"/>
  <c r="G212" i="2"/>
  <c r="G22" i="2"/>
  <c r="G186" i="2"/>
  <c r="G37" i="2"/>
  <c r="G47" i="2"/>
  <c r="G25" i="2"/>
  <c r="G24" i="2"/>
  <c r="G70" i="2"/>
  <c r="G207" i="2"/>
  <c r="G175" i="2"/>
  <c r="G217" i="2"/>
  <c r="G142" i="2"/>
  <c r="G189" i="2"/>
  <c r="G136" i="2"/>
  <c r="G100" i="2"/>
  <c r="G180" i="2"/>
  <c r="G122" i="2"/>
  <c r="G184" i="2"/>
  <c r="G177" i="2"/>
  <c r="G199" i="2"/>
  <c r="G72" i="2"/>
  <c r="G200" i="2"/>
  <c r="G49" i="2"/>
  <c r="G66" i="2"/>
  <c r="G111" i="2"/>
  <c r="G48" i="2"/>
  <c r="G20" i="2"/>
  <c r="G33" i="2"/>
  <c r="G79" i="2"/>
  <c r="G148" i="2"/>
  <c r="C23" i="2" l="1"/>
  <c r="J23" i="2" s="1"/>
  <c r="C50" i="2"/>
  <c r="J50" i="2" s="1"/>
  <c r="C88" i="2"/>
  <c r="J88" i="2" s="1"/>
  <c r="C70" i="2"/>
  <c r="J70" i="2" s="1"/>
  <c r="C58" i="2"/>
  <c r="J58" i="2" s="1"/>
  <c r="C60" i="2"/>
  <c r="J60" i="2" s="1"/>
  <c r="C115" i="2"/>
  <c r="J115" i="2" s="1"/>
  <c r="C51" i="2"/>
  <c r="J51" i="2" s="1"/>
  <c r="C93" i="2"/>
  <c r="C81" i="2"/>
  <c r="J81" i="2" s="1"/>
  <c r="C162" i="2"/>
  <c r="J162" i="2" s="1"/>
  <c r="C72" i="2"/>
  <c r="J72" i="2" s="1"/>
  <c r="C38" i="2"/>
  <c r="J38" i="2" s="1"/>
  <c r="C123" i="2"/>
  <c r="J123" i="2" s="1"/>
  <c r="C83" i="2"/>
  <c r="J83" i="2" s="1"/>
  <c r="C53" i="2"/>
  <c r="J53" i="2" s="1"/>
  <c r="C167" i="2"/>
  <c r="J167" i="2" s="1"/>
  <c r="C95" i="2"/>
  <c r="J95" i="2" s="1"/>
  <c r="C189" i="2"/>
  <c r="J189" i="2" s="1"/>
  <c r="C180" i="2"/>
  <c r="J180" i="2" s="1"/>
  <c r="C194" i="2"/>
  <c r="J194" i="2" s="1"/>
  <c r="C65" i="2"/>
  <c r="J65" i="2" s="1"/>
  <c r="C96" i="2"/>
  <c r="J96" i="2" s="1"/>
  <c r="C114" i="2"/>
  <c r="J114" i="2" s="1"/>
  <c r="C69" i="2"/>
  <c r="J69" i="2" s="1"/>
  <c r="C164" i="2"/>
  <c r="J164" i="2" s="1"/>
  <c r="C139" i="2"/>
  <c r="J139" i="2" s="1"/>
  <c r="C169" i="2"/>
  <c r="J169" i="2" s="1"/>
  <c r="C87" i="2"/>
  <c r="J87" i="2" s="1"/>
  <c r="C144" i="2"/>
  <c r="J144" i="2" s="1"/>
  <c r="C54" i="2"/>
  <c r="J54" i="2" s="1"/>
  <c r="C102" i="2"/>
  <c r="J102" i="2" s="1"/>
  <c r="C183" i="2"/>
  <c r="J183" i="2" s="1"/>
  <c r="C80" i="2"/>
  <c r="J80" i="2" s="1"/>
  <c r="C158" i="2"/>
  <c r="J158" i="2" s="1"/>
  <c r="C163" i="2"/>
  <c r="J163" i="2" s="1"/>
  <c r="C140" i="2"/>
  <c r="J140" i="2" s="1"/>
  <c r="C186" i="2"/>
  <c r="J186" i="2" s="1"/>
  <c r="C192" i="2"/>
  <c r="J192" i="2" s="1"/>
  <c r="C184" i="2"/>
  <c r="J184" i="2" s="1"/>
  <c r="C150" i="2"/>
  <c r="J150" i="2" s="1"/>
  <c r="C110" i="2"/>
  <c r="J110" i="2" s="1"/>
  <c r="C132" i="2"/>
  <c r="J132" i="2" s="1"/>
  <c r="C175" i="2"/>
  <c r="J175" i="2" s="1"/>
  <c r="C168" i="2"/>
  <c r="J168" i="2" s="1"/>
  <c r="C147" i="2"/>
  <c r="J147" i="2" s="1"/>
  <c r="C179" i="2"/>
  <c r="J179" i="2" s="1"/>
  <c r="C187" i="2"/>
  <c r="J187" i="2" s="1"/>
  <c r="C122" i="2"/>
  <c r="J122" i="2" s="1"/>
  <c r="C204" i="2"/>
  <c r="J204" i="2" s="1"/>
  <c r="C155" i="2"/>
  <c r="J155" i="2" s="1"/>
  <c r="C113" i="2"/>
  <c r="J113" i="2" s="1"/>
  <c r="C212" i="2"/>
  <c r="J212" i="2" s="1"/>
  <c r="C193" i="2"/>
  <c r="J193" i="2" s="1"/>
  <c r="C101" i="2"/>
  <c r="J101" i="2" s="1"/>
  <c r="C181" i="2"/>
  <c r="J181" i="2" s="1"/>
  <c r="C177" i="2"/>
  <c r="J177" i="2" s="1"/>
  <c r="C138" i="2"/>
  <c r="J138" i="2" s="1"/>
  <c r="C56" i="2"/>
  <c r="J56" i="2" s="1"/>
  <c r="C191" i="2"/>
  <c r="J191" i="2" s="1"/>
  <c r="C196" i="2"/>
  <c r="J196" i="2" s="1"/>
  <c r="C201" i="2"/>
  <c r="J201" i="2" s="1"/>
  <c r="C63" i="2"/>
  <c r="J63" i="2" s="1"/>
  <c r="C190" i="2"/>
  <c r="J190" i="2" s="1"/>
  <c r="C205" i="2"/>
  <c r="J205" i="2" s="1"/>
  <c r="C76" i="2"/>
  <c r="J76" i="2" s="1"/>
  <c r="C176" i="2"/>
  <c r="J176" i="2" s="1"/>
  <c r="C94" i="2"/>
  <c r="J94" i="2" s="1"/>
  <c r="C77" i="2"/>
  <c r="J77" i="2" s="1"/>
  <c r="C199" i="2"/>
  <c r="J199" i="2" s="1"/>
  <c r="C210" i="2"/>
  <c r="J210" i="2" s="1"/>
  <c r="C99" i="2"/>
  <c r="J99" i="2" s="1"/>
  <c r="C35" i="2"/>
  <c r="J35" i="2" s="1"/>
  <c r="C118" i="2"/>
  <c r="J118" i="2" s="1"/>
  <c r="C135" i="2"/>
  <c r="J135" i="2" s="1"/>
  <c r="C130" i="2"/>
  <c r="J130" i="2" s="1"/>
  <c r="C198" i="2"/>
  <c r="J198" i="2" s="1"/>
  <c r="C206" i="2"/>
  <c r="J206" i="2" s="1"/>
  <c r="C215" i="2"/>
  <c r="J215" i="2" s="1"/>
  <c r="C154" i="2"/>
  <c r="J154" i="2" s="1"/>
  <c r="C202" i="2"/>
  <c r="J202" i="2" s="1"/>
  <c r="C46" i="2"/>
  <c r="J46" i="2" s="1"/>
  <c r="C214" i="2"/>
  <c r="J214" i="2" s="1"/>
  <c r="C152" i="2"/>
  <c r="J152" i="2" s="1"/>
  <c r="C156" i="2"/>
  <c r="J156" i="2" s="1"/>
  <c r="C211" i="2"/>
  <c r="J211" i="2" s="1"/>
  <c r="C213" i="2"/>
  <c r="J213" i="2" s="1"/>
  <c r="C209" i="2"/>
  <c r="J209" i="2" s="1"/>
  <c r="C200" i="2"/>
  <c r="J200" i="2" s="1"/>
  <c r="C55" i="2"/>
  <c r="J55" i="2" s="1"/>
  <c r="C208" i="2"/>
  <c r="J208" i="2" s="1"/>
  <c r="C216" i="2"/>
  <c r="J216" i="2" s="1"/>
  <c r="C119" i="2"/>
  <c r="J119" i="2" s="1"/>
  <c r="C174" i="2"/>
  <c r="J174" i="2" s="1"/>
  <c r="C117" i="2"/>
  <c r="J117" i="2" s="1"/>
  <c r="C105" i="2"/>
  <c r="J105" i="2" s="1"/>
  <c r="C207" i="2"/>
  <c r="J207" i="2" s="1"/>
  <c r="C218" i="2"/>
  <c r="J218" i="2" s="1"/>
  <c r="C107" i="2"/>
  <c r="J107" i="2" s="1"/>
  <c r="C203" i="2"/>
  <c r="J203" i="2" s="1"/>
  <c r="C170" i="2"/>
  <c r="J170" i="2" s="1"/>
  <c r="C89" i="2"/>
  <c r="J89" i="2" s="1"/>
  <c r="C171" i="2"/>
  <c r="J171" i="2" s="1"/>
  <c r="C121" i="2"/>
  <c r="J121" i="2" s="1"/>
  <c r="C106" i="2"/>
  <c r="J106" i="2" s="1"/>
  <c r="C217" i="2"/>
  <c r="J217" i="2" s="1"/>
  <c r="C148" i="2"/>
  <c r="C73" i="2"/>
  <c r="J73" i="2" s="1"/>
  <c r="C185" i="2"/>
  <c r="J185" i="2" s="1"/>
  <c r="C143" i="2"/>
  <c r="J143" i="2" s="1"/>
  <c r="C141" i="2"/>
  <c r="J141" i="2" s="1"/>
  <c r="C127" i="2"/>
  <c r="J127" i="2" s="1"/>
  <c r="C126" i="2"/>
  <c r="J126" i="2" s="1"/>
  <c r="C133" i="2"/>
  <c r="J133" i="2" s="1"/>
  <c r="C103" i="2"/>
  <c r="J103" i="2" s="1"/>
  <c r="C90" i="2"/>
  <c r="J90" i="2" s="1"/>
  <c r="C166" i="2"/>
  <c r="J166" i="2" s="1"/>
  <c r="C86" i="2"/>
  <c r="J86" i="2" s="1"/>
  <c r="C40" i="2"/>
  <c r="J40" i="2" s="1"/>
  <c r="C195" i="2"/>
  <c r="J195" i="2" s="1"/>
  <c r="C219" i="2"/>
  <c r="J219" i="2" s="1"/>
  <c r="C98" i="2"/>
  <c r="J98" i="2" s="1"/>
  <c r="C182" i="2"/>
  <c r="J182" i="2" s="1"/>
  <c r="C78" i="2"/>
  <c r="J78" i="2" s="1"/>
  <c r="C85" i="2"/>
  <c r="J85" i="2" s="1"/>
  <c r="C125" i="2"/>
  <c r="J125" i="2" s="1"/>
  <c r="C92" i="2"/>
  <c r="J92" i="2" s="1"/>
  <c r="C128" i="2"/>
  <c r="J128" i="2" s="1"/>
  <c r="C108" i="2"/>
  <c r="J108" i="2" s="1"/>
  <c r="C146" i="2"/>
  <c r="J146" i="2" s="1"/>
  <c r="C104" i="2"/>
  <c r="J104" i="2" s="1"/>
  <c r="C84" i="2"/>
  <c r="J84" i="2" s="1"/>
  <c r="C41" i="2"/>
  <c r="J41" i="2" s="1"/>
  <c r="C160" i="2"/>
  <c r="J160" i="2" s="1"/>
  <c r="C124" i="2"/>
  <c r="J124" i="2" s="1"/>
  <c r="C120" i="2"/>
  <c r="J120" i="2" s="1"/>
  <c r="C145" i="2"/>
  <c r="J145" i="2" s="1"/>
  <c r="C178" i="2"/>
  <c r="J178" i="2" s="1"/>
  <c r="C112" i="2"/>
  <c r="J112" i="2" s="1"/>
  <c r="C97" i="2"/>
  <c r="J97" i="2" s="1"/>
  <c r="C129" i="2"/>
  <c r="J129" i="2" s="1"/>
  <c r="C74" i="2"/>
  <c r="J74" i="2" s="1"/>
  <c r="C134" i="2"/>
  <c r="J134" i="2" s="1"/>
  <c r="C153" i="2"/>
  <c r="J153" i="2" s="1"/>
  <c r="C131" i="2"/>
  <c r="J131" i="2" s="1"/>
  <c r="C159" i="2"/>
  <c r="J159" i="2" s="1"/>
  <c r="C151" i="2"/>
  <c r="J151" i="2" s="1"/>
  <c r="C109" i="2"/>
  <c r="J109" i="2" s="1"/>
  <c r="C157" i="2"/>
  <c r="J157" i="2" s="1"/>
  <c r="C26" i="2"/>
  <c r="J26" i="2" s="1"/>
  <c r="C48" i="2"/>
  <c r="J48" i="2" s="1"/>
  <c r="C21" i="2"/>
  <c r="J21" i="2" s="1"/>
  <c r="C136" i="2"/>
  <c r="J136" i="2" s="1"/>
  <c r="C111" i="2"/>
  <c r="J111" i="2" s="1"/>
  <c r="C79" i="2"/>
  <c r="J79" i="2" s="1"/>
  <c r="C161" i="2"/>
  <c r="J161" i="2" s="1"/>
  <c r="C39" i="2"/>
  <c r="J39" i="2" s="1"/>
  <c r="C45" i="2"/>
  <c r="J45" i="2" s="1"/>
  <c r="C82" i="2"/>
  <c r="J82" i="2" s="1"/>
  <c r="C44" i="2"/>
  <c r="J44" i="2" s="1"/>
  <c r="C91" i="2"/>
  <c r="J91" i="2" s="1"/>
  <c r="C34" i="2"/>
  <c r="J34" i="2" s="1"/>
  <c r="C71" i="2"/>
  <c r="J71" i="2" s="1"/>
  <c r="C142" i="2"/>
  <c r="J142" i="2" s="1"/>
  <c r="C165" i="2"/>
  <c r="J165" i="2" s="1"/>
  <c r="C57" i="2"/>
  <c r="J57" i="2" s="1"/>
  <c r="C68" i="2"/>
  <c r="J68" i="2" s="1"/>
  <c r="C188" i="2"/>
  <c r="J188" i="2" s="1"/>
  <c r="C173" i="2"/>
  <c r="J173" i="2" s="1"/>
  <c r="C67" i="2"/>
  <c r="J67" i="2" s="1"/>
  <c r="C172" i="2"/>
  <c r="J172" i="2" s="1"/>
  <c r="C197" i="2"/>
  <c r="J197" i="2" s="1"/>
  <c r="C116" i="2"/>
  <c r="J116" i="2" s="1"/>
  <c r="C24" i="2"/>
  <c r="J24" i="2" s="1"/>
  <c r="C42" i="2"/>
  <c r="J42" i="2" s="1"/>
  <c r="C75" i="2"/>
  <c r="J75" i="2" s="1"/>
  <c r="C37" i="2"/>
  <c r="J37" i="2" s="1"/>
  <c r="C25" i="2"/>
  <c r="J25" i="2" s="1"/>
  <c r="C52" i="2"/>
  <c r="J52" i="2" s="1"/>
  <c r="C49" i="2"/>
  <c r="J49" i="2" s="1"/>
  <c r="C20" i="2"/>
  <c r="J20" i="2" s="1"/>
  <c r="C27" i="2"/>
  <c r="J27" i="2" s="1"/>
  <c r="C29" i="2"/>
  <c r="J29" i="2" s="1"/>
  <c r="C30" i="2"/>
  <c r="J30" i="2" s="1"/>
  <c r="C66" i="2"/>
  <c r="J66" i="2" s="1"/>
  <c r="C62" i="2"/>
  <c r="J62" i="2" s="1"/>
  <c r="C61" i="2"/>
  <c r="J61" i="2" s="1"/>
  <c r="C36" i="2"/>
  <c r="J36" i="2" s="1"/>
  <c r="C100" i="2"/>
  <c r="J100" i="2" s="1"/>
  <c r="C33" i="2"/>
  <c r="J33" i="2" s="1"/>
  <c r="C59" i="2"/>
  <c r="J59" i="2" s="1"/>
  <c r="C31" i="2"/>
  <c r="J31" i="2" s="1"/>
  <c r="C43" i="2"/>
  <c r="J43" i="2" s="1"/>
  <c r="C28" i="2"/>
  <c r="J28" i="2" s="1"/>
  <c r="C32" i="2"/>
  <c r="J32" i="2" s="1"/>
  <c r="C47" i="2"/>
  <c r="J47" i="2" s="1"/>
  <c r="C149" i="2"/>
  <c r="J149" i="2" s="1"/>
  <c r="C64" i="2"/>
  <c r="J64" i="2" s="1"/>
  <c r="C137" i="2"/>
  <c r="J137" i="2" s="1"/>
  <c r="C22" i="2"/>
  <c r="J22" i="2" s="1"/>
  <c r="J93" i="2"/>
  <c r="J148" i="2" l="1"/>
  <c r="Q23" i="2" l="1"/>
  <c r="Q50" i="2"/>
  <c r="Q88" i="2"/>
  <c r="Q70" i="2"/>
  <c r="Q58" i="2"/>
  <c r="Q60" i="2"/>
  <c r="Q115" i="2"/>
  <c r="Q51" i="2"/>
  <c r="Q93" i="2"/>
  <c r="Q81" i="2"/>
  <c r="Q162" i="2"/>
  <c r="Q72" i="2"/>
  <c r="Q38" i="2"/>
  <c r="Q123" i="2"/>
  <c r="Q83" i="2"/>
  <c r="Q53" i="2"/>
  <c r="Q167" i="2"/>
  <c r="Q95" i="2"/>
  <c r="Q189" i="2"/>
  <c r="Q180" i="2"/>
  <c r="Q194" i="2"/>
  <c r="Q65" i="2"/>
  <c r="Q96" i="2"/>
  <c r="Q114" i="2"/>
  <c r="Q69" i="2"/>
  <c r="Q164" i="2"/>
  <c r="Q139" i="2"/>
  <c r="Q169" i="2"/>
  <c r="Q87" i="2"/>
  <c r="Q144" i="2"/>
  <c r="Q54" i="2"/>
  <c r="Q102" i="2"/>
  <c r="Q183" i="2"/>
  <c r="Q80" i="2"/>
  <c r="Q158" i="2"/>
  <c r="Q163" i="2"/>
  <c r="Q140" i="2"/>
  <c r="Q186" i="2"/>
  <c r="Q192" i="2"/>
  <c r="Q184" i="2"/>
  <c r="Q150" i="2"/>
  <c r="Q110" i="2"/>
  <c r="Q132" i="2"/>
  <c r="Q175" i="2"/>
  <c r="Q168" i="2"/>
  <c r="Q147" i="2"/>
  <c r="Q179" i="2"/>
  <c r="Q187" i="2"/>
  <c r="Q122" i="2"/>
  <c r="Q204" i="2"/>
  <c r="Q155" i="2"/>
  <c r="Q113" i="2"/>
  <c r="Q212" i="2"/>
  <c r="Q193" i="2"/>
  <c r="Q101" i="2"/>
  <c r="Q181" i="2"/>
  <c r="Q177" i="2"/>
  <c r="Q138" i="2"/>
  <c r="Q56" i="2"/>
  <c r="Q191" i="2"/>
  <c r="Q196" i="2"/>
  <c r="Q201" i="2"/>
  <c r="Q63" i="2"/>
  <c r="Q190" i="2"/>
  <c r="Q205" i="2"/>
  <c r="Q76" i="2"/>
  <c r="Q176" i="2"/>
  <c r="Q94" i="2"/>
  <c r="Q77" i="2"/>
  <c r="Q199" i="2"/>
  <c r="Q210" i="2"/>
  <c r="Q99" i="2"/>
  <c r="Q35" i="2"/>
  <c r="Q118" i="2"/>
  <c r="Q135" i="2"/>
  <c r="Q130" i="2"/>
  <c r="Q198" i="2"/>
  <c r="Q206" i="2"/>
  <c r="Q215" i="2"/>
  <c r="Q154" i="2"/>
  <c r="Q202" i="2"/>
  <c r="Q46" i="2"/>
  <c r="Q214" i="2"/>
  <c r="Q152" i="2"/>
  <c r="Q156" i="2"/>
  <c r="Q211" i="2"/>
  <c r="Q213" i="2"/>
  <c r="Q209" i="2"/>
  <c r="Q200" i="2"/>
  <c r="Q55" i="2"/>
  <c r="Q208" i="2"/>
  <c r="Q216" i="2"/>
  <c r="Q119" i="2"/>
  <c r="Q174" i="2"/>
  <c r="Q117" i="2"/>
  <c r="Q105" i="2"/>
  <c r="Q207" i="2"/>
  <c r="Q218" i="2"/>
  <c r="Q107" i="2"/>
  <c r="Q203" i="2"/>
  <c r="Q170" i="2"/>
  <c r="Q89" i="2"/>
  <c r="Q171" i="2"/>
  <c r="Q121" i="2"/>
  <c r="Q106" i="2"/>
  <c r="Q217" i="2"/>
  <c r="Q148" i="2"/>
  <c r="Q73" i="2"/>
  <c r="Q185" i="2"/>
  <c r="Q143" i="2"/>
  <c r="Q141" i="2"/>
  <c r="Q127" i="2"/>
  <c r="Q126" i="2"/>
  <c r="Q133" i="2"/>
  <c r="Q103" i="2"/>
  <c r="Q90" i="2"/>
  <c r="Q166" i="2"/>
  <c r="Q86" i="2"/>
  <c r="Q40" i="2"/>
  <c r="Q195" i="2"/>
  <c r="Q219" i="2"/>
  <c r="Q98" i="2"/>
  <c r="Q182" i="2"/>
  <c r="Q78" i="2"/>
  <c r="Q85" i="2"/>
  <c r="Q125" i="2"/>
  <c r="Q92" i="2"/>
  <c r="Q128" i="2"/>
  <c r="Q108" i="2"/>
  <c r="Q146" i="2"/>
  <c r="Q104" i="2"/>
  <c r="Q84" i="2"/>
  <c r="Q41" i="2"/>
  <c r="Q160" i="2"/>
  <c r="Q124" i="2"/>
  <c r="Q120" i="2"/>
  <c r="Q145" i="2"/>
  <c r="Q178" i="2"/>
  <c r="Q112" i="2"/>
  <c r="Q97" i="2"/>
  <c r="Q129" i="2"/>
  <c r="Q74" i="2"/>
  <c r="Q134" i="2"/>
  <c r="Q153" i="2"/>
  <c r="Q131" i="2"/>
  <c r="Q159" i="2"/>
  <c r="Q151" i="2"/>
  <c r="Q109" i="2"/>
  <c r="Q157" i="2"/>
  <c r="Q26" i="2"/>
  <c r="Q48" i="2"/>
  <c r="Q21" i="2"/>
  <c r="Q136" i="2"/>
  <c r="Q111" i="2"/>
  <c r="Q79" i="2"/>
  <c r="Q161" i="2"/>
  <c r="Q39" i="2"/>
  <c r="Q45" i="2"/>
  <c r="Q82" i="2"/>
  <c r="Q44" i="2"/>
  <c r="Q91" i="2"/>
  <c r="Q34" i="2"/>
  <c r="Q71" i="2"/>
  <c r="Q142" i="2"/>
  <c r="Q165" i="2"/>
  <c r="Q57" i="2"/>
  <c r="Q68" i="2"/>
  <c r="Q188" i="2"/>
  <c r="Q173" i="2"/>
  <c r="Q67" i="2"/>
  <c r="Q172" i="2"/>
  <c r="Q197" i="2"/>
  <c r="Q116" i="2"/>
  <c r="Q24" i="2"/>
  <c r="Q42" i="2"/>
  <c r="Q75" i="2"/>
  <c r="Q37" i="2"/>
  <c r="Q25" i="2"/>
  <c r="Q52" i="2"/>
  <c r="Q49" i="2"/>
  <c r="Q27" i="2"/>
  <c r="Q29" i="2"/>
  <c r="Q30" i="2"/>
  <c r="Q66" i="2"/>
  <c r="Q62" i="2"/>
  <c r="Q61" i="2"/>
  <c r="Q36" i="2"/>
  <c r="Q100" i="2"/>
  <c r="Q33" i="2"/>
  <c r="Q59" i="2"/>
  <c r="Q31" i="2"/>
  <c r="Q43" i="2"/>
  <c r="Q28" i="2"/>
  <c r="Q32" i="2"/>
  <c r="Q47" i="2"/>
  <c r="Q149" i="2"/>
  <c r="Q64" i="2"/>
  <c r="Q137" i="2"/>
  <c r="Q22" i="2"/>
  <c r="D23" i="2"/>
  <c r="D50" i="2"/>
  <c r="D88" i="2"/>
  <c r="D70" i="2"/>
  <c r="D58" i="2"/>
  <c r="D60" i="2"/>
  <c r="D115" i="2"/>
  <c r="D51" i="2"/>
  <c r="D93" i="2"/>
  <c r="D81" i="2"/>
  <c r="D162" i="2"/>
  <c r="D72" i="2"/>
  <c r="D38" i="2"/>
  <c r="D123" i="2"/>
  <c r="D83" i="2"/>
  <c r="D53" i="2"/>
  <c r="D167" i="2"/>
  <c r="D95" i="2"/>
  <c r="D189" i="2"/>
  <c r="D180" i="2"/>
  <c r="D194" i="2"/>
  <c r="D65" i="2"/>
  <c r="D96" i="2"/>
  <c r="D114" i="2"/>
  <c r="D69" i="2"/>
  <c r="D164" i="2"/>
  <c r="D139" i="2"/>
  <c r="D169" i="2"/>
  <c r="D87" i="2"/>
  <c r="D144" i="2"/>
  <c r="D54" i="2"/>
  <c r="D102" i="2"/>
  <c r="D183" i="2"/>
  <c r="D80" i="2"/>
  <c r="D158" i="2"/>
  <c r="D163" i="2"/>
  <c r="D140" i="2"/>
  <c r="D186" i="2"/>
  <c r="D192" i="2"/>
  <c r="D184" i="2"/>
  <c r="D150" i="2"/>
  <c r="D110" i="2"/>
  <c r="D132" i="2"/>
  <c r="D175" i="2"/>
  <c r="D168" i="2"/>
  <c r="D147" i="2"/>
  <c r="D179" i="2"/>
  <c r="D187" i="2"/>
  <c r="D122" i="2"/>
  <c r="D204" i="2"/>
  <c r="D155" i="2"/>
  <c r="D113" i="2"/>
  <c r="D212" i="2"/>
  <c r="D193" i="2"/>
  <c r="D101" i="2"/>
  <c r="D181" i="2"/>
  <c r="D177" i="2"/>
  <c r="D138" i="2"/>
  <c r="D56" i="2"/>
  <c r="D191" i="2"/>
  <c r="D196" i="2"/>
  <c r="D201" i="2"/>
  <c r="D63" i="2"/>
  <c r="D190" i="2"/>
  <c r="D205" i="2"/>
  <c r="D76" i="2"/>
  <c r="D176" i="2"/>
  <c r="D94" i="2"/>
  <c r="D77" i="2"/>
  <c r="D199" i="2"/>
  <c r="D210" i="2"/>
  <c r="D99" i="2"/>
  <c r="D35" i="2"/>
  <c r="D118" i="2"/>
  <c r="D135" i="2"/>
  <c r="D130" i="2"/>
  <c r="D198" i="2"/>
  <c r="D206" i="2"/>
  <c r="D215" i="2"/>
  <c r="D154" i="2"/>
  <c r="D202" i="2"/>
  <c r="D46" i="2"/>
  <c r="D214" i="2"/>
  <c r="D152" i="2"/>
  <c r="D156" i="2"/>
  <c r="D211" i="2"/>
  <c r="D213" i="2"/>
  <c r="D209" i="2"/>
  <c r="D200" i="2"/>
  <c r="D55" i="2"/>
  <c r="D208" i="2"/>
  <c r="D216" i="2"/>
  <c r="D119" i="2"/>
  <c r="D174" i="2"/>
  <c r="D117" i="2"/>
  <c r="D105" i="2"/>
  <c r="D207" i="2"/>
  <c r="D218" i="2"/>
  <c r="D107" i="2"/>
  <c r="D203" i="2"/>
  <c r="D170" i="2"/>
  <c r="D89" i="2"/>
  <c r="D171" i="2"/>
  <c r="D121" i="2"/>
  <c r="D106" i="2"/>
  <c r="D217" i="2"/>
  <c r="D148" i="2"/>
  <c r="K148" i="2" s="1"/>
  <c r="D73" i="2"/>
  <c r="D185" i="2"/>
  <c r="D143" i="2"/>
  <c r="D141" i="2"/>
  <c r="D127" i="2"/>
  <c r="D126" i="2"/>
  <c r="D133" i="2"/>
  <c r="D103" i="2"/>
  <c r="D90" i="2"/>
  <c r="D166" i="2"/>
  <c r="D86" i="2"/>
  <c r="D40" i="2"/>
  <c r="D195" i="2"/>
  <c r="D219" i="2"/>
  <c r="D98" i="2"/>
  <c r="D182" i="2"/>
  <c r="D78" i="2"/>
  <c r="D85" i="2"/>
  <c r="D125" i="2"/>
  <c r="D92" i="2"/>
  <c r="D128" i="2"/>
  <c r="D108" i="2"/>
  <c r="D146" i="2"/>
  <c r="D104" i="2"/>
  <c r="D84" i="2"/>
  <c r="D41" i="2"/>
  <c r="D160" i="2"/>
  <c r="D124" i="2"/>
  <c r="D120" i="2"/>
  <c r="D145" i="2"/>
  <c r="D178" i="2"/>
  <c r="D112" i="2"/>
  <c r="D97" i="2"/>
  <c r="D129" i="2"/>
  <c r="D74" i="2"/>
  <c r="D134" i="2"/>
  <c r="D153" i="2"/>
  <c r="D131" i="2"/>
  <c r="D159" i="2"/>
  <c r="D151" i="2"/>
  <c r="D109" i="2"/>
  <c r="D157" i="2"/>
  <c r="D26" i="2"/>
  <c r="D48" i="2"/>
  <c r="D21" i="2"/>
  <c r="D136" i="2"/>
  <c r="D111" i="2"/>
  <c r="D79" i="2"/>
  <c r="D161" i="2"/>
  <c r="D39" i="2"/>
  <c r="D45" i="2"/>
  <c r="D82" i="2"/>
  <c r="D44" i="2"/>
  <c r="D91" i="2"/>
  <c r="D34" i="2"/>
  <c r="D71" i="2"/>
  <c r="D142" i="2"/>
  <c r="D165" i="2"/>
  <c r="D57" i="2"/>
  <c r="D68" i="2"/>
  <c r="D188" i="2"/>
  <c r="D173" i="2"/>
  <c r="D67" i="2"/>
  <c r="D172" i="2"/>
  <c r="D197" i="2"/>
  <c r="D116" i="2"/>
  <c r="D24" i="2"/>
  <c r="D42" i="2"/>
  <c r="D75" i="2"/>
  <c r="D37" i="2"/>
  <c r="D25" i="2"/>
  <c r="D52" i="2"/>
  <c r="D49" i="2"/>
  <c r="D20" i="2"/>
  <c r="D27" i="2"/>
  <c r="D29" i="2"/>
  <c r="D30" i="2"/>
  <c r="D66" i="2"/>
  <c r="D62" i="2"/>
  <c r="D61" i="2"/>
  <c r="D36" i="2"/>
  <c r="D100" i="2"/>
  <c r="D33" i="2"/>
  <c r="D59" i="2"/>
  <c r="D31" i="2"/>
  <c r="D43" i="2"/>
  <c r="D28" i="2"/>
  <c r="D32" i="2"/>
  <c r="D47" i="2"/>
  <c r="D149" i="2"/>
  <c r="D64" i="2"/>
  <c r="D137" i="2"/>
  <c r="D22" i="2"/>
  <c r="Q20" i="2" l="1"/>
  <c r="N20" i="2"/>
  <c r="L42" i="2"/>
  <c r="O42" i="2" s="1"/>
  <c r="K42" i="2"/>
  <c r="L141" i="2"/>
  <c r="O141" i="2" s="1"/>
  <c r="K141" i="2"/>
  <c r="L179" i="2"/>
  <c r="O179" i="2" s="1"/>
  <c r="K179" i="2"/>
  <c r="L30" i="2"/>
  <c r="O30" i="2" s="1"/>
  <c r="K30" i="2"/>
  <c r="L44" i="2"/>
  <c r="O44" i="2" s="1"/>
  <c r="K44" i="2"/>
  <c r="L195" i="2"/>
  <c r="R195" i="2" s="1"/>
  <c r="S195" i="2" s="1"/>
  <c r="K195" i="2"/>
  <c r="L127" i="2"/>
  <c r="R127" i="2" s="1"/>
  <c r="S127" i="2" s="1"/>
  <c r="K127" i="2"/>
  <c r="L121" i="2"/>
  <c r="R121" i="2" s="1"/>
  <c r="S121" i="2" s="1"/>
  <c r="K121" i="2"/>
  <c r="L105" i="2"/>
  <c r="O105" i="2" s="1"/>
  <c r="K105" i="2"/>
  <c r="L209" i="2"/>
  <c r="R209" i="2" s="1"/>
  <c r="S209" i="2" s="1"/>
  <c r="K209" i="2"/>
  <c r="L154" i="2"/>
  <c r="O154" i="2" s="1"/>
  <c r="K154" i="2"/>
  <c r="L99" i="2"/>
  <c r="O99" i="2" s="1"/>
  <c r="K99" i="2"/>
  <c r="L190" i="2"/>
  <c r="O190" i="2" s="1"/>
  <c r="K190" i="2"/>
  <c r="L181" i="2"/>
  <c r="R181" i="2" s="1"/>
  <c r="S181" i="2" s="1"/>
  <c r="K181" i="2"/>
  <c r="L187" i="2"/>
  <c r="O187" i="2" s="1"/>
  <c r="K187" i="2"/>
  <c r="L184" i="2"/>
  <c r="O184" i="2" s="1"/>
  <c r="K184" i="2"/>
  <c r="L102" i="2"/>
  <c r="O102" i="2" s="1"/>
  <c r="K102" i="2"/>
  <c r="L114" i="2"/>
  <c r="R114" i="2" s="1"/>
  <c r="S114" i="2" s="1"/>
  <c r="K114" i="2"/>
  <c r="L53" i="2"/>
  <c r="O53" i="2" s="1"/>
  <c r="K53" i="2"/>
  <c r="L51" i="2"/>
  <c r="R51" i="2" s="1"/>
  <c r="S51" i="2" s="1"/>
  <c r="K51" i="2"/>
  <c r="L29" i="2"/>
  <c r="O29" i="2" s="1"/>
  <c r="K29" i="2"/>
  <c r="L68" i="2"/>
  <c r="O68" i="2" s="1"/>
  <c r="K68" i="2"/>
  <c r="L134" i="2"/>
  <c r="O134" i="2" s="1"/>
  <c r="K134" i="2"/>
  <c r="L40" i="2"/>
  <c r="O40" i="2" s="1"/>
  <c r="K40" i="2"/>
  <c r="L171" i="2"/>
  <c r="O171" i="2" s="1"/>
  <c r="K171" i="2"/>
  <c r="L117" i="2"/>
  <c r="O117" i="2" s="1"/>
  <c r="K117" i="2"/>
  <c r="L210" i="2"/>
  <c r="O210" i="2" s="1"/>
  <c r="K210" i="2"/>
  <c r="L63" i="2"/>
  <c r="O63" i="2" s="1"/>
  <c r="K63" i="2"/>
  <c r="L192" i="2"/>
  <c r="O192" i="2" s="1"/>
  <c r="K192" i="2"/>
  <c r="L54" i="2"/>
  <c r="O54" i="2" s="1"/>
  <c r="K54" i="2"/>
  <c r="L83" i="2"/>
  <c r="O83" i="2" s="1"/>
  <c r="K83" i="2"/>
  <c r="L64" i="2"/>
  <c r="O64" i="2" s="1"/>
  <c r="K64" i="2"/>
  <c r="L33" i="2"/>
  <c r="O33" i="2" s="1"/>
  <c r="K33" i="2"/>
  <c r="L27" i="2"/>
  <c r="O27" i="2" s="1"/>
  <c r="K27" i="2"/>
  <c r="L24" i="2"/>
  <c r="O24" i="2" s="1"/>
  <c r="K24" i="2"/>
  <c r="L57" i="2"/>
  <c r="O57" i="2" s="1"/>
  <c r="K57" i="2"/>
  <c r="L45" i="2"/>
  <c r="O45" i="2" s="1"/>
  <c r="K45" i="2"/>
  <c r="L26" i="2"/>
  <c r="O26" i="2" s="1"/>
  <c r="K26" i="2"/>
  <c r="L74" i="2"/>
  <c r="O74" i="2" s="1"/>
  <c r="K74" i="2"/>
  <c r="L160" i="2"/>
  <c r="O160" i="2" s="1"/>
  <c r="K160" i="2"/>
  <c r="L125" i="2"/>
  <c r="O125" i="2" s="1"/>
  <c r="K125" i="2"/>
  <c r="L86" i="2"/>
  <c r="O86" i="2" s="1"/>
  <c r="K86" i="2"/>
  <c r="L143" i="2"/>
  <c r="O143" i="2" s="1"/>
  <c r="K143" i="2"/>
  <c r="L89" i="2"/>
  <c r="O89" i="2" s="1"/>
  <c r="K89" i="2"/>
  <c r="L174" i="2"/>
  <c r="O174" i="2" s="1"/>
  <c r="K174" i="2"/>
  <c r="L211" i="2"/>
  <c r="O211" i="2" s="1"/>
  <c r="K211" i="2"/>
  <c r="L206" i="2"/>
  <c r="O206" i="2" s="1"/>
  <c r="K206" i="2"/>
  <c r="L199" i="2"/>
  <c r="O199" i="2" s="1"/>
  <c r="K199" i="2"/>
  <c r="L201" i="2"/>
  <c r="O201" i="2" s="1"/>
  <c r="K201" i="2"/>
  <c r="L193" i="2"/>
  <c r="O193" i="2" s="1"/>
  <c r="K193" i="2"/>
  <c r="L147" i="2"/>
  <c r="O147" i="2" s="1"/>
  <c r="K147" i="2"/>
  <c r="L186" i="2"/>
  <c r="O186" i="2" s="1"/>
  <c r="K186" i="2"/>
  <c r="L144" i="2"/>
  <c r="O144" i="2" s="1"/>
  <c r="K144" i="2"/>
  <c r="L65" i="2"/>
  <c r="O65" i="2" s="1"/>
  <c r="K65" i="2"/>
  <c r="L123" i="2"/>
  <c r="O123" i="2" s="1"/>
  <c r="K123" i="2"/>
  <c r="L60" i="2"/>
  <c r="O60" i="2" s="1"/>
  <c r="K60" i="2"/>
  <c r="L137" i="2"/>
  <c r="O137" i="2" s="1"/>
  <c r="K137" i="2"/>
  <c r="L129" i="2"/>
  <c r="O129" i="2" s="1"/>
  <c r="K129" i="2"/>
  <c r="L31" i="2"/>
  <c r="R31" i="2" s="1"/>
  <c r="S31" i="2" s="1"/>
  <c r="K31" i="2"/>
  <c r="L188" i="2"/>
  <c r="R188" i="2" s="1"/>
  <c r="S188" i="2" s="1"/>
  <c r="K188" i="2"/>
  <c r="L21" i="2"/>
  <c r="O21" i="2" s="1"/>
  <c r="K21" i="2"/>
  <c r="L153" i="2"/>
  <c r="O153" i="2" s="1"/>
  <c r="K153" i="2"/>
  <c r="L128" i="2"/>
  <c r="O128" i="2" s="1"/>
  <c r="K128" i="2"/>
  <c r="L59" i="2"/>
  <c r="O59" i="2" s="1"/>
  <c r="K59" i="2"/>
  <c r="L82" i="2"/>
  <c r="O82" i="2" s="1"/>
  <c r="K82" i="2"/>
  <c r="L92" i="2"/>
  <c r="O92" i="2" s="1"/>
  <c r="K92" i="2"/>
  <c r="L215" i="2"/>
  <c r="O215" i="2" s="1"/>
  <c r="K215" i="2"/>
  <c r="L149" i="2"/>
  <c r="O149" i="2" s="1"/>
  <c r="K149" i="2"/>
  <c r="L100" i="2"/>
  <c r="O100" i="2" s="1"/>
  <c r="K100" i="2"/>
  <c r="L20" i="2"/>
  <c r="O20" i="2" s="1"/>
  <c r="K20" i="2"/>
  <c r="L116" i="2"/>
  <c r="O116" i="2" s="1"/>
  <c r="K116" i="2"/>
  <c r="L165" i="2"/>
  <c r="O165" i="2" s="1"/>
  <c r="K165" i="2"/>
  <c r="L39" i="2"/>
  <c r="O39" i="2" s="1"/>
  <c r="K39" i="2"/>
  <c r="L157" i="2"/>
  <c r="O157" i="2" s="1"/>
  <c r="K157" i="2"/>
  <c r="L41" i="2"/>
  <c r="O41" i="2" s="1"/>
  <c r="K41" i="2"/>
  <c r="L85" i="2"/>
  <c r="O85" i="2" s="1"/>
  <c r="K85" i="2"/>
  <c r="L166" i="2"/>
  <c r="O166" i="2" s="1"/>
  <c r="K166" i="2"/>
  <c r="L185" i="2"/>
  <c r="O185" i="2" s="1"/>
  <c r="K185" i="2"/>
  <c r="L170" i="2"/>
  <c r="O170" i="2" s="1"/>
  <c r="K170" i="2"/>
  <c r="L119" i="2"/>
  <c r="O119" i="2" s="1"/>
  <c r="K119" i="2"/>
  <c r="L156" i="2"/>
  <c r="O156" i="2" s="1"/>
  <c r="K156" i="2"/>
  <c r="L198" i="2"/>
  <c r="O198" i="2" s="1"/>
  <c r="K198" i="2"/>
  <c r="L77" i="2"/>
  <c r="O77" i="2" s="1"/>
  <c r="K77" i="2"/>
  <c r="L196" i="2"/>
  <c r="O196" i="2" s="1"/>
  <c r="K196" i="2"/>
  <c r="L212" i="2"/>
  <c r="O212" i="2" s="1"/>
  <c r="K212" i="2"/>
  <c r="L168" i="2"/>
  <c r="O168" i="2" s="1"/>
  <c r="K168" i="2"/>
  <c r="L140" i="2"/>
  <c r="O140" i="2" s="1"/>
  <c r="K140" i="2"/>
  <c r="L87" i="2"/>
  <c r="O87" i="2" s="1"/>
  <c r="K87" i="2"/>
  <c r="L194" i="2"/>
  <c r="O194" i="2" s="1"/>
  <c r="K194" i="2"/>
  <c r="L38" i="2"/>
  <c r="O38" i="2" s="1"/>
  <c r="K38" i="2"/>
  <c r="L58" i="2"/>
  <c r="O58" i="2" s="1"/>
  <c r="K58" i="2"/>
  <c r="L47" i="2"/>
  <c r="O47" i="2" s="1"/>
  <c r="K47" i="2"/>
  <c r="L36" i="2"/>
  <c r="O36" i="2" s="1"/>
  <c r="K36" i="2"/>
  <c r="L49" i="2"/>
  <c r="R49" i="2" s="1"/>
  <c r="S49" i="2" s="1"/>
  <c r="K49" i="2"/>
  <c r="L197" i="2"/>
  <c r="O197" i="2" s="1"/>
  <c r="K197" i="2"/>
  <c r="L142" i="2"/>
  <c r="R142" i="2" s="1"/>
  <c r="S142" i="2" s="1"/>
  <c r="K142" i="2"/>
  <c r="L161" i="2"/>
  <c r="R161" i="2" s="1"/>
  <c r="S161" i="2" s="1"/>
  <c r="K161" i="2"/>
  <c r="L109" i="2"/>
  <c r="R109" i="2" s="1"/>
  <c r="S109" i="2" s="1"/>
  <c r="K109" i="2"/>
  <c r="L97" i="2"/>
  <c r="R97" i="2" s="1"/>
  <c r="S97" i="2" s="1"/>
  <c r="K97" i="2"/>
  <c r="L84" i="2"/>
  <c r="O84" i="2" s="1"/>
  <c r="K84" i="2"/>
  <c r="L78" i="2"/>
  <c r="R78" i="2" s="1"/>
  <c r="S78" i="2" s="1"/>
  <c r="K78" i="2"/>
  <c r="L90" i="2"/>
  <c r="R90" i="2" s="1"/>
  <c r="S90" i="2" s="1"/>
  <c r="K90" i="2"/>
  <c r="L73" i="2"/>
  <c r="R73" i="2" s="1"/>
  <c r="S73" i="2" s="1"/>
  <c r="K73" i="2"/>
  <c r="L203" i="2"/>
  <c r="R203" i="2" s="1"/>
  <c r="S203" i="2" s="1"/>
  <c r="K203" i="2"/>
  <c r="L216" i="2"/>
  <c r="R216" i="2" s="1"/>
  <c r="S216" i="2" s="1"/>
  <c r="K216" i="2"/>
  <c r="L152" i="2"/>
  <c r="O152" i="2" s="1"/>
  <c r="K152" i="2"/>
  <c r="L130" i="2"/>
  <c r="R130" i="2" s="1"/>
  <c r="S130" i="2" s="1"/>
  <c r="K130" i="2"/>
  <c r="L94" i="2"/>
  <c r="O94" i="2" s="1"/>
  <c r="K94" i="2"/>
  <c r="L191" i="2"/>
  <c r="R191" i="2" s="1"/>
  <c r="S191" i="2" s="1"/>
  <c r="K191" i="2"/>
  <c r="L113" i="2"/>
  <c r="R113" i="2" s="1"/>
  <c r="S113" i="2" s="1"/>
  <c r="K113" i="2"/>
  <c r="L175" i="2"/>
  <c r="O175" i="2" s="1"/>
  <c r="K175" i="2"/>
  <c r="L163" i="2"/>
  <c r="R163" i="2" s="1"/>
  <c r="S163" i="2" s="1"/>
  <c r="K163" i="2"/>
  <c r="L169" i="2"/>
  <c r="O169" i="2" s="1"/>
  <c r="K169" i="2"/>
  <c r="L180" i="2"/>
  <c r="R180" i="2" s="1"/>
  <c r="S180" i="2" s="1"/>
  <c r="K180" i="2"/>
  <c r="L72" i="2"/>
  <c r="O72" i="2" s="1"/>
  <c r="K72" i="2"/>
  <c r="L70" i="2"/>
  <c r="O70" i="2" s="1"/>
  <c r="K70" i="2"/>
  <c r="L75" i="2"/>
  <c r="R75" i="2" s="1"/>
  <c r="S75" i="2" s="1"/>
  <c r="K75" i="2"/>
  <c r="L124" i="2"/>
  <c r="O124" i="2" s="1"/>
  <c r="K124" i="2"/>
  <c r="L213" i="2"/>
  <c r="O213" i="2" s="1"/>
  <c r="K213" i="2"/>
  <c r="L101" i="2"/>
  <c r="O101" i="2" s="1"/>
  <c r="K101" i="2"/>
  <c r="L96" i="2"/>
  <c r="O96" i="2" s="1"/>
  <c r="K96" i="2"/>
  <c r="L115" i="2"/>
  <c r="O115" i="2" s="1"/>
  <c r="K115" i="2"/>
  <c r="R197" i="2"/>
  <c r="S197" i="2" s="1"/>
  <c r="L32" i="2"/>
  <c r="R32" i="2" s="1"/>
  <c r="S32" i="2" s="1"/>
  <c r="K32" i="2"/>
  <c r="L61" i="2"/>
  <c r="O61" i="2" s="1"/>
  <c r="K61" i="2"/>
  <c r="L52" i="2"/>
  <c r="O52" i="2" s="1"/>
  <c r="K52" i="2"/>
  <c r="L172" i="2"/>
  <c r="R172" i="2" s="1"/>
  <c r="S172" i="2" s="1"/>
  <c r="K172" i="2"/>
  <c r="L71" i="2"/>
  <c r="R71" i="2" s="1"/>
  <c r="S71" i="2" s="1"/>
  <c r="K71" i="2"/>
  <c r="L79" i="2"/>
  <c r="O79" i="2" s="1"/>
  <c r="K79" i="2"/>
  <c r="L151" i="2"/>
  <c r="R151" i="2" s="1"/>
  <c r="S151" i="2" s="1"/>
  <c r="K151" i="2"/>
  <c r="L112" i="2"/>
  <c r="O112" i="2" s="1"/>
  <c r="K112" i="2"/>
  <c r="L104" i="2"/>
  <c r="R104" i="2" s="1"/>
  <c r="S104" i="2" s="1"/>
  <c r="K104" i="2"/>
  <c r="L182" i="2"/>
  <c r="R182" i="2" s="1"/>
  <c r="S182" i="2" s="1"/>
  <c r="K182" i="2"/>
  <c r="L103" i="2"/>
  <c r="R103" i="2" s="1"/>
  <c r="S103" i="2" s="1"/>
  <c r="K103" i="2"/>
  <c r="L107" i="2"/>
  <c r="R107" i="2" s="1"/>
  <c r="S107" i="2" s="1"/>
  <c r="K107" i="2"/>
  <c r="L208" i="2"/>
  <c r="R208" i="2" s="1"/>
  <c r="S208" i="2" s="1"/>
  <c r="K208" i="2"/>
  <c r="L214" i="2"/>
  <c r="R214" i="2" s="1"/>
  <c r="S214" i="2" s="1"/>
  <c r="K214" i="2"/>
  <c r="L135" i="2"/>
  <c r="O135" i="2" s="1"/>
  <c r="K135" i="2"/>
  <c r="L176" i="2"/>
  <c r="O176" i="2" s="1"/>
  <c r="K176" i="2"/>
  <c r="L56" i="2"/>
  <c r="R56" i="2" s="1"/>
  <c r="S56" i="2" s="1"/>
  <c r="K56" i="2"/>
  <c r="L155" i="2"/>
  <c r="R155" i="2" s="1"/>
  <c r="S155" i="2" s="1"/>
  <c r="K155" i="2"/>
  <c r="L132" i="2"/>
  <c r="O132" i="2" s="1"/>
  <c r="K132" i="2"/>
  <c r="L158" i="2"/>
  <c r="R158" i="2" s="1"/>
  <c r="S158" i="2" s="1"/>
  <c r="K158" i="2"/>
  <c r="L139" i="2"/>
  <c r="R139" i="2" s="1"/>
  <c r="S139" i="2" s="1"/>
  <c r="K139" i="2"/>
  <c r="L189" i="2"/>
  <c r="R189" i="2" s="1"/>
  <c r="S189" i="2" s="1"/>
  <c r="K189" i="2"/>
  <c r="L162" i="2"/>
  <c r="R162" i="2" s="1"/>
  <c r="S162" i="2" s="1"/>
  <c r="K162" i="2"/>
  <c r="L88" i="2"/>
  <c r="O88" i="2" s="1"/>
  <c r="K88" i="2"/>
  <c r="L22" i="2"/>
  <c r="O22" i="2" s="1"/>
  <c r="K22" i="2"/>
  <c r="L120" i="2"/>
  <c r="R120" i="2" s="1"/>
  <c r="S120" i="2" s="1"/>
  <c r="K120" i="2"/>
  <c r="R36" i="2"/>
  <c r="S36" i="2" s="1"/>
  <c r="L28" i="2"/>
  <c r="O28" i="2" s="1"/>
  <c r="K28" i="2"/>
  <c r="L62" i="2"/>
  <c r="O62" i="2" s="1"/>
  <c r="K62" i="2"/>
  <c r="L25" i="2"/>
  <c r="O25" i="2" s="1"/>
  <c r="K25" i="2"/>
  <c r="L67" i="2"/>
  <c r="O67" i="2" s="1"/>
  <c r="K67" i="2"/>
  <c r="L34" i="2"/>
  <c r="O34" i="2" s="1"/>
  <c r="K34" i="2"/>
  <c r="L111" i="2"/>
  <c r="O111" i="2" s="1"/>
  <c r="K111" i="2"/>
  <c r="L159" i="2"/>
  <c r="O159" i="2" s="1"/>
  <c r="K159" i="2"/>
  <c r="L178" i="2"/>
  <c r="O178" i="2" s="1"/>
  <c r="K178" i="2"/>
  <c r="L146" i="2"/>
  <c r="O146" i="2" s="1"/>
  <c r="K146" i="2"/>
  <c r="L98" i="2"/>
  <c r="O98" i="2" s="1"/>
  <c r="K98" i="2"/>
  <c r="L133" i="2"/>
  <c r="O133" i="2" s="1"/>
  <c r="K133" i="2"/>
  <c r="L217" i="2"/>
  <c r="O217" i="2" s="1"/>
  <c r="K217" i="2"/>
  <c r="L218" i="2"/>
  <c r="O218" i="2" s="1"/>
  <c r="K218" i="2"/>
  <c r="L55" i="2"/>
  <c r="O55" i="2" s="1"/>
  <c r="K55" i="2"/>
  <c r="L46" i="2"/>
  <c r="O46" i="2" s="1"/>
  <c r="K46" i="2"/>
  <c r="L118" i="2"/>
  <c r="O118" i="2" s="1"/>
  <c r="K118" i="2"/>
  <c r="L76" i="2"/>
  <c r="O76" i="2" s="1"/>
  <c r="K76" i="2"/>
  <c r="L138" i="2"/>
  <c r="O138" i="2" s="1"/>
  <c r="K138" i="2"/>
  <c r="L204" i="2"/>
  <c r="O204" i="2" s="1"/>
  <c r="K204" i="2"/>
  <c r="L110" i="2"/>
  <c r="O110" i="2" s="1"/>
  <c r="K110" i="2"/>
  <c r="L80" i="2"/>
  <c r="O80" i="2" s="1"/>
  <c r="K80" i="2"/>
  <c r="L164" i="2"/>
  <c r="O164" i="2" s="1"/>
  <c r="K164" i="2"/>
  <c r="L95" i="2"/>
  <c r="O95" i="2" s="1"/>
  <c r="K95" i="2"/>
  <c r="L81" i="2"/>
  <c r="O81" i="2" s="1"/>
  <c r="K81" i="2"/>
  <c r="L50" i="2"/>
  <c r="O50" i="2" s="1"/>
  <c r="K50" i="2"/>
  <c r="L48" i="2"/>
  <c r="O48" i="2" s="1"/>
  <c r="K48" i="2"/>
  <c r="L43" i="2"/>
  <c r="O43" i="2" s="1"/>
  <c r="K43" i="2"/>
  <c r="L66" i="2"/>
  <c r="O66" i="2" s="1"/>
  <c r="K66" i="2"/>
  <c r="L37" i="2"/>
  <c r="O37" i="2" s="1"/>
  <c r="K37" i="2"/>
  <c r="L173" i="2"/>
  <c r="O173" i="2" s="1"/>
  <c r="K173" i="2"/>
  <c r="L91" i="2"/>
  <c r="O91" i="2" s="1"/>
  <c r="K91" i="2"/>
  <c r="L136" i="2"/>
  <c r="O136" i="2" s="1"/>
  <c r="K136" i="2"/>
  <c r="L131" i="2"/>
  <c r="O131" i="2" s="1"/>
  <c r="K131" i="2"/>
  <c r="L145" i="2"/>
  <c r="O145" i="2" s="1"/>
  <c r="K145" i="2"/>
  <c r="L108" i="2"/>
  <c r="O108" i="2" s="1"/>
  <c r="K108" i="2"/>
  <c r="L219" i="2"/>
  <c r="O219" i="2" s="1"/>
  <c r="K219" i="2"/>
  <c r="L126" i="2"/>
  <c r="O126" i="2" s="1"/>
  <c r="K126" i="2"/>
  <c r="L106" i="2"/>
  <c r="O106" i="2" s="1"/>
  <c r="K106" i="2"/>
  <c r="L207" i="2"/>
  <c r="O207" i="2" s="1"/>
  <c r="K207" i="2"/>
  <c r="L200" i="2"/>
  <c r="O200" i="2" s="1"/>
  <c r="K200" i="2"/>
  <c r="L202" i="2"/>
  <c r="O202" i="2" s="1"/>
  <c r="K202" i="2"/>
  <c r="L35" i="2"/>
  <c r="O35" i="2" s="1"/>
  <c r="K35" i="2"/>
  <c r="L205" i="2"/>
  <c r="O205" i="2" s="1"/>
  <c r="K205" i="2"/>
  <c r="L177" i="2"/>
  <c r="O177" i="2" s="1"/>
  <c r="K177" i="2"/>
  <c r="L122" i="2"/>
  <c r="O122" i="2" s="1"/>
  <c r="K122" i="2"/>
  <c r="L150" i="2"/>
  <c r="O150" i="2" s="1"/>
  <c r="K150" i="2"/>
  <c r="L183" i="2"/>
  <c r="O183" i="2" s="1"/>
  <c r="K183" i="2"/>
  <c r="L69" i="2"/>
  <c r="O69" i="2" s="1"/>
  <c r="K69" i="2"/>
  <c r="L167" i="2"/>
  <c r="O167" i="2" s="1"/>
  <c r="K167" i="2"/>
  <c r="L93" i="2"/>
  <c r="O93" i="2" s="1"/>
  <c r="K93" i="2"/>
  <c r="L23" i="2"/>
  <c r="O23" i="2" s="1"/>
  <c r="K23" i="2"/>
  <c r="R52" i="2"/>
  <c r="S52" i="2" s="1"/>
  <c r="R135" i="2"/>
  <c r="S135" i="2" s="1"/>
  <c r="R132" i="2"/>
  <c r="S132" i="2" s="1"/>
  <c r="R153" i="2"/>
  <c r="S153" i="2" s="1"/>
  <c r="R141" i="2"/>
  <c r="S141" i="2" s="1"/>
  <c r="R68" i="2"/>
  <c r="S68" i="2" s="1"/>
  <c r="R67" i="2"/>
  <c r="S67" i="2" s="1"/>
  <c r="R45" i="2"/>
  <c r="S45" i="2" s="1"/>
  <c r="R178" i="2"/>
  <c r="S178" i="2" s="1"/>
  <c r="R217" i="2"/>
  <c r="S217" i="2" s="1"/>
  <c r="R211" i="2"/>
  <c r="S211" i="2" s="1"/>
  <c r="R65" i="2"/>
  <c r="S65" i="2" s="1"/>
  <c r="R81" i="2"/>
  <c r="S81" i="2" s="1"/>
  <c r="R100" i="2"/>
  <c r="S100" i="2" s="1"/>
  <c r="R39" i="2"/>
  <c r="S39" i="2" s="1"/>
  <c r="R136" i="2"/>
  <c r="S136" i="2" s="1"/>
  <c r="R157" i="2"/>
  <c r="S157" i="2" s="1"/>
  <c r="R166" i="2"/>
  <c r="S166" i="2" s="1"/>
  <c r="R156" i="2"/>
  <c r="S156" i="2" s="1"/>
  <c r="R212" i="2"/>
  <c r="S212" i="2" s="1"/>
  <c r="R194" i="2"/>
  <c r="S194" i="2" s="1"/>
  <c r="R38" i="2"/>
  <c r="S38" i="2" s="1"/>
  <c r="N75" i="2"/>
  <c r="N109" i="2"/>
  <c r="N195" i="2"/>
  <c r="N203" i="2"/>
  <c r="N181" i="2"/>
  <c r="N163" i="2"/>
  <c r="N53" i="2"/>
  <c r="N36" i="2"/>
  <c r="N142" i="2"/>
  <c r="N84" i="2"/>
  <c r="N127" i="2"/>
  <c r="N73" i="2"/>
  <c r="N105" i="2"/>
  <c r="N190" i="2"/>
  <c r="N113" i="2"/>
  <c r="N169" i="2"/>
  <c r="N51" i="2"/>
  <c r="N137" i="2"/>
  <c r="N32" i="2"/>
  <c r="N59" i="2"/>
  <c r="N61" i="2"/>
  <c r="N29" i="2"/>
  <c r="N52" i="2"/>
  <c r="N42" i="2"/>
  <c r="N172" i="2"/>
  <c r="N68" i="2"/>
  <c r="N71" i="2"/>
  <c r="N82" i="2"/>
  <c r="N79" i="2"/>
  <c r="N48" i="2"/>
  <c r="N151" i="2"/>
  <c r="N134" i="2"/>
  <c r="N112" i="2"/>
  <c r="N124" i="2"/>
  <c r="N104" i="2"/>
  <c r="N92" i="2"/>
  <c r="N182" i="2"/>
  <c r="N40" i="2"/>
  <c r="N103" i="2"/>
  <c r="N141" i="2"/>
  <c r="N148" i="2"/>
  <c r="N171" i="2"/>
  <c r="N107" i="2"/>
  <c r="N117" i="2"/>
  <c r="N208" i="2"/>
  <c r="N213" i="2"/>
  <c r="N214" i="2"/>
  <c r="N215" i="2"/>
  <c r="N135" i="2"/>
  <c r="N210" i="2"/>
  <c r="N176" i="2"/>
  <c r="N63" i="2"/>
  <c r="N56" i="2"/>
  <c r="N101" i="2"/>
  <c r="N155" i="2"/>
  <c r="N179" i="2"/>
  <c r="N132" i="2"/>
  <c r="N192" i="2"/>
  <c r="N158" i="2"/>
  <c r="N54" i="2"/>
  <c r="N139" i="2"/>
  <c r="N96" i="2"/>
  <c r="N189" i="2"/>
  <c r="N83" i="2"/>
  <c r="N162" i="2"/>
  <c r="N115" i="2"/>
  <c r="N88" i="2"/>
  <c r="N22" i="2"/>
  <c r="N30" i="2"/>
  <c r="N161" i="2"/>
  <c r="N97" i="2"/>
  <c r="N209" i="2"/>
  <c r="N191" i="2"/>
  <c r="N180" i="2"/>
  <c r="N31" i="2"/>
  <c r="N197" i="2"/>
  <c r="N120" i="2"/>
  <c r="N90" i="2"/>
  <c r="N121" i="2"/>
  <c r="N154" i="2"/>
  <c r="N94" i="2"/>
  <c r="N175" i="2"/>
  <c r="N72" i="2"/>
  <c r="N64" i="2"/>
  <c r="N28" i="2"/>
  <c r="N33" i="2"/>
  <c r="N62" i="2"/>
  <c r="N27" i="2"/>
  <c r="N25" i="2"/>
  <c r="N24" i="2"/>
  <c r="N67" i="2"/>
  <c r="N57" i="2"/>
  <c r="N34" i="2"/>
  <c r="N45" i="2"/>
  <c r="N111" i="2"/>
  <c r="N26" i="2"/>
  <c r="N159" i="2"/>
  <c r="N74" i="2"/>
  <c r="N178" i="2"/>
  <c r="N160" i="2"/>
  <c r="N146" i="2"/>
  <c r="N125" i="2"/>
  <c r="N98" i="2"/>
  <c r="N86" i="2"/>
  <c r="N133" i="2"/>
  <c r="N143" i="2"/>
  <c r="N217" i="2"/>
  <c r="N89" i="2"/>
  <c r="N218" i="2"/>
  <c r="N174" i="2"/>
  <c r="N55" i="2"/>
  <c r="N211" i="2"/>
  <c r="N46" i="2"/>
  <c r="N206" i="2"/>
  <c r="N118" i="2"/>
  <c r="N199" i="2"/>
  <c r="N76" i="2"/>
  <c r="N201" i="2"/>
  <c r="N138" i="2"/>
  <c r="N193" i="2"/>
  <c r="N204" i="2"/>
  <c r="N147" i="2"/>
  <c r="N110" i="2"/>
  <c r="N186" i="2"/>
  <c r="N80" i="2"/>
  <c r="N144" i="2"/>
  <c r="N164" i="2"/>
  <c r="N65" i="2"/>
  <c r="N95" i="2"/>
  <c r="N123" i="2"/>
  <c r="N81" i="2"/>
  <c r="N60" i="2"/>
  <c r="N50" i="2"/>
  <c r="N47" i="2"/>
  <c r="N188" i="2"/>
  <c r="N44" i="2"/>
  <c r="N153" i="2"/>
  <c r="N216" i="2"/>
  <c r="N130" i="2"/>
  <c r="N187" i="2"/>
  <c r="N102" i="2"/>
  <c r="N114" i="2"/>
  <c r="N49" i="2"/>
  <c r="N21" i="2"/>
  <c r="N128" i="2"/>
  <c r="N78" i="2"/>
  <c r="N152" i="2"/>
  <c r="N99" i="2"/>
  <c r="N184" i="2"/>
  <c r="N70" i="2"/>
  <c r="N149" i="2"/>
  <c r="N43" i="2"/>
  <c r="N100" i="2"/>
  <c r="N66" i="2"/>
  <c r="N37" i="2"/>
  <c r="N116" i="2"/>
  <c r="N173" i="2"/>
  <c r="N165" i="2"/>
  <c r="N91" i="2"/>
  <c r="N39" i="2"/>
  <c r="N136" i="2"/>
  <c r="N157" i="2"/>
  <c r="N131" i="2"/>
  <c r="N129" i="2"/>
  <c r="N145" i="2"/>
  <c r="N41" i="2"/>
  <c r="N108" i="2"/>
  <c r="N85" i="2"/>
  <c r="N219" i="2"/>
  <c r="N166" i="2"/>
  <c r="N126" i="2"/>
  <c r="N185" i="2"/>
  <c r="N106" i="2"/>
  <c r="N170" i="2"/>
  <c r="N207" i="2"/>
  <c r="N119" i="2"/>
  <c r="N200" i="2"/>
  <c r="N156" i="2"/>
  <c r="N202" i="2"/>
  <c r="N198" i="2"/>
  <c r="N35" i="2"/>
  <c r="N77" i="2"/>
  <c r="N205" i="2"/>
  <c r="N196" i="2"/>
  <c r="N177" i="2"/>
  <c r="N212" i="2"/>
  <c r="N122" i="2"/>
  <c r="N168" i="2"/>
  <c r="N150" i="2"/>
  <c r="N140" i="2"/>
  <c r="N183" i="2"/>
  <c r="N87" i="2"/>
  <c r="N69" i="2"/>
  <c r="N194" i="2"/>
  <c r="N167" i="2"/>
  <c r="N38" i="2"/>
  <c r="N93" i="2"/>
  <c r="N58" i="2"/>
  <c r="N23" i="2"/>
  <c r="O75" i="2"/>
  <c r="L148" i="2"/>
  <c r="O148" i="2" s="1"/>
  <c r="O195" i="2" l="1"/>
  <c r="O189" i="2"/>
  <c r="O103" i="2"/>
  <c r="O182" i="2"/>
  <c r="O161" i="2"/>
  <c r="O151" i="2"/>
  <c r="O191" i="2"/>
  <c r="O180" i="2"/>
  <c r="O109" i="2"/>
  <c r="O181" i="2"/>
  <c r="R154" i="2"/>
  <c r="S154" i="2" s="1"/>
  <c r="O127" i="2"/>
  <c r="R83" i="2"/>
  <c r="S83" i="2" s="1"/>
  <c r="R179" i="2"/>
  <c r="S179" i="2" s="1"/>
  <c r="R118" i="2"/>
  <c r="S118" i="2" s="1"/>
  <c r="O114" i="2"/>
  <c r="R77" i="2"/>
  <c r="S77" i="2" s="1"/>
  <c r="R117" i="2"/>
  <c r="S117" i="2" s="1"/>
  <c r="R198" i="2"/>
  <c r="S198" i="2" s="1"/>
  <c r="R53" i="2"/>
  <c r="S53" i="2" s="1"/>
  <c r="R26" i="2"/>
  <c r="S26" i="2" s="1"/>
  <c r="R54" i="2"/>
  <c r="S54" i="2" s="1"/>
  <c r="R72" i="2"/>
  <c r="S72" i="2" s="1"/>
  <c r="R187" i="2"/>
  <c r="S187" i="2" s="1"/>
  <c r="R210" i="2"/>
  <c r="S210" i="2" s="1"/>
  <c r="O90" i="2"/>
  <c r="O113" i="2"/>
  <c r="R86" i="2"/>
  <c r="S86" i="2" s="1"/>
  <c r="R92" i="2"/>
  <c r="S92" i="2" s="1"/>
  <c r="O162" i="2"/>
  <c r="R129" i="2"/>
  <c r="S129" i="2" s="1"/>
  <c r="R40" i="2"/>
  <c r="S40" i="2" s="1"/>
  <c r="O158" i="2"/>
  <c r="O209" i="2"/>
  <c r="R193" i="2"/>
  <c r="S193" i="2" s="1"/>
  <c r="O49" i="2"/>
  <c r="R27" i="2"/>
  <c r="S27" i="2" s="1"/>
  <c r="R30" i="2"/>
  <c r="S30" i="2" s="1"/>
  <c r="O97" i="2"/>
  <c r="O172" i="2"/>
  <c r="R177" i="2"/>
  <c r="S177" i="2" s="1"/>
  <c r="R219" i="2"/>
  <c r="S219" i="2" s="1"/>
  <c r="R24" i="2"/>
  <c r="S24" i="2" s="1"/>
  <c r="O107" i="2"/>
  <c r="R202" i="2"/>
  <c r="S202" i="2" s="1"/>
  <c r="R152" i="2"/>
  <c r="S152" i="2" s="1"/>
  <c r="O130" i="2"/>
  <c r="R69" i="2"/>
  <c r="S69" i="2" s="1"/>
  <c r="R200" i="2"/>
  <c r="S200" i="2" s="1"/>
  <c r="R116" i="2"/>
  <c r="S116" i="2" s="1"/>
  <c r="R124" i="2"/>
  <c r="S124" i="2" s="1"/>
  <c r="R134" i="2"/>
  <c r="S134" i="2" s="1"/>
  <c r="R168" i="2"/>
  <c r="S168" i="2" s="1"/>
  <c r="R185" i="2"/>
  <c r="S185" i="2" s="1"/>
  <c r="R66" i="2"/>
  <c r="S66" i="2" s="1"/>
  <c r="R110" i="2"/>
  <c r="S110" i="2" s="1"/>
  <c r="R20" i="2"/>
  <c r="S20" i="2" s="1"/>
  <c r="R88" i="2"/>
  <c r="S88" i="2" s="1"/>
  <c r="R138" i="2"/>
  <c r="S138" i="2" s="1"/>
  <c r="R218" i="2"/>
  <c r="S218" i="2" s="1"/>
  <c r="R28" i="2"/>
  <c r="S28" i="2" s="1"/>
  <c r="R122" i="2"/>
  <c r="S122" i="2" s="1"/>
  <c r="R112" i="2"/>
  <c r="S112" i="2" s="1"/>
  <c r="R126" i="2"/>
  <c r="S126" i="2" s="1"/>
  <c r="R115" i="2"/>
  <c r="S115" i="2" s="1"/>
  <c r="R169" i="2"/>
  <c r="S169" i="2" s="1"/>
  <c r="R37" i="2"/>
  <c r="S37" i="2" s="1"/>
  <c r="O216" i="2"/>
  <c r="O120" i="2"/>
  <c r="R96" i="2"/>
  <c r="S96" i="2" s="1"/>
  <c r="O78" i="2"/>
  <c r="R167" i="2"/>
  <c r="S167" i="2" s="1"/>
  <c r="R82" i="2"/>
  <c r="S82" i="2" s="1"/>
  <c r="R133" i="2"/>
  <c r="S133" i="2" s="1"/>
  <c r="O155" i="2"/>
  <c r="R95" i="2"/>
  <c r="S95" i="2" s="1"/>
  <c r="R76" i="2"/>
  <c r="S76" i="2" s="1"/>
  <c r="R79" i="2"/>
  <c r="S79" i="2" s="1"/>
  <c r="R137" i="2"/>
  <c r="S137" i="2" s="1"/>
  <c r="R125" i="2"/>
  <c r="S125" i="2" s="1"/>
  <c r="R62" i="2"/>
  <c r="S62" i="2" s="1"/>
  <c r="R44" i="2"/>
  <c r="S44" i="2" s="1"/>
  <c r="O214" i="2"/>
  <c r="R144" i="2"/>
  <c r="S144" i="2" s="1"/>
  <c r="R46" i="2"/>
  <c r="S46" i="2" s="1"/>
  <c r="R33" i="2"/>
  <c r="S33" i="2" s="1"/>
  <c r="R105" i="2"/>
  <c r="S105" i="2" s="1"/>
  <c r="R61" i="2"/>
  <c r="S61" i="2" s="1"/>
  <c r="R102" i="2"/>
  <c r="S102" i="2" s="1"/>
  <c r="R159" i="2"/>
  <c r="S159" i="2" s="1"/>
  <c r="R190" i="2"/>
  <c r="S190" i="2" s="1"/>
  <c r="R21" i="2"/>
  <c r="S21" i="2" s="1"/>
  <c r="R70" i="2"/>
  <c r="S70" i="2" s="1"/>
  <c r="R201" i="2"/>
  <c r="S201" i="2" s="1"/>
  <c r="R25" i="2"/>
  <c r="S25" i="2" s="1"/>
  <c r="O51" i="2"/>
  <c r="R204" i="2"/>
  <c r="S204" i="2" s="1"/>
  <c r="R174" i="2"/>
  <c r="S174" i="2" s="1"/>
  <c r="R184" i="2"/>
  <c r="S184" i="2" s="1"/>
  <c r="O121" i="2"/>
  <c r="R164" i="2"/>
  <c r="S164" i="2" s="1"/>
  <c r="R111" i="2"/>
  <c r="S111" i="2" s="1"/>
  <c r="R84" i="2"/>
  <c r="S84" i="2" s="1"/>
  <c r="O142" i="2"/>
  <c r="R140" i="2"/>
  <c r="S140" i="2" s="1"/>
  <c r="R99" i="2"/>
  <c r="S99" i="2" s="1"/>
  <c r="R64" i="2"/>
  <c r="S64" i="2" s="1"/>
  <c r="R63" i="2"/>
  <c r="S63" i="2" s="1"/>
  <c r="R175" i="2"/>
  <c r="S175" i="2" s="1"/>
  <c r="O203" i="2"/>
  <c r="O73" i="2"/>
  <c r="R131" i="2"/>
  <c r="S131" i="2" s="1"/>
  <c r="R80" i="2"/>
  <c r="S80" i="2" s="1"/>
  <c r="R98" i="2"/>
  <c r="S98" i="2" s="1"/>
  <c r="R34" i="2"/>
  <c r="S34" i="2" s="1"/>
  <c r="R41" i="2"/>
  <c r="S41" i="2" s="1"/>
  <c r="R170" i="2"/>
  <c r="S170" i="2" s="1"/>
  <c r="R176" i="2"/>
  <c r="S176" i="2" s="1"/>
  <c r="R94" i="2"/>
  <c r="S94" i="2" s="1"/>
  <c r="O163" i="2"/>
  <c r="R58" i="2"/>
  <c r="S58" i="2" s="1"/>
  <c r="R50" i="2"/>
  <c r="S50" i="2" s="1"/>
  <c r="R55" i="2"/>
  <c r="S55" i="2" s="1"/>
  <c r="R146" i="2"/>
  <c r="S146" i="2" s="1"/>
  <c r="O139" i="2"/>
  <c r="R59" i="2"/>
  <c r="S59" i="2" s="1"/>
  <c r="O71" i="2"/>
  <c r="R196" i="2"/>
  <c r="S196" i="2" s="1"/>
  <c r="R85" i="2"/>
  <c r="S85" i="2" s="1"/>
  <c r="R60" i="2"/>
  <c r="S60" i="2" s="1"/>
  <c r="R199" i="2"/>
  <c r="S199" i="2" s="1"/>
  <c r="R57" i="2"/>
  <c r="S57" i="2" s="1"/>
  <c r="O188" i="2"/>
  <c r="R23" i="2"/>
  <c r="S23" i="2" s="1"/>
  <c r="R183" i="2"/>
  <c r="S183" i="2" s="1"/>
  <c r="R205" i="2"/>
  <c r="S205" i="2" s="1"/>
  <c r="R207" i="2"/>
  <c r="S207" i="2" s="1"/>
  <c r="R108" i="2"/>
  <c r="S108" i="2" s="1"/>
  <c r="R91" i="2"/>
  <c r="S91" i="2" s="1"/>
  <c r="R43" i="2"/>
  <c r="S43" i="2" s="1"/>
  <c r="R47" i="2"/>
  <c r="S47" i="2" s="1"/>
  <c r="O208" i="2"/>
  <c r="R87" i="2"/>
  <c r="S87" i="2" s="1"/>
  <c r="R186" i="2"/>
  <c r="S186" i="2" s="1"/>
  <c r="R89" i="2"/>
  <c r="S89" i="2" s="1"/>
  <c r="R160" i="2"/>
  <c r="S160" i="2" s="1"/>
  <c r="R48" i="2"/>
  <c r="S48" i="2" s="1"/>
  <c r="R101" i="2"/>
  <c r="S101" i="2" s="1"/>
  <c r="R165" i="2"/>
  <c r="S165" i="2" s="1"/>
  <c r="R149" i="2"/>
  <c r="S149" i="2" s="1"/>
  <c r="R123" i="2"/>
  <c r="S123" i="2" s="1"/>
  <c r="R147" i="2"/>
  <c r="S147" i="2" s="1"/>
  <c r="R206" i="2"/>
  <c r="S206" i="2" s="1"/>
  <c r="R143" i="2"/>
  <c r="S143" i="2" s="1"/>
  <c r="R74" i="2"/>
  <c r="S74" i="2" s="1"/>
  <c r="R42" i="2"/>
  <c r="S42" i="2" s="1"/>
  <c r="R213" i="2"/>
  <c r="S213" i="2" s="1"/>
  <c r="R145" i="2"/>
  <c r="S145" i="2" s="1"/>
  <c r="R119" i="2"/>
  <c r="S119" i="2" s="1"/>
  <c r="O56" i="2"/>
  <c r="O104" i="2"/>
  <c r="O32" i="2"/>
  <c r="R93" i="2"/>
  <c r="S93" i="2" s="1"/>
  <c r="R150" i="2"/>
  <c r="S150" i="2" s="1"/>
  <c r="R35" i="2"/>
  <c r="S35" i="2" s="1"/>
  <c r="R106" i="2"/>
  <c r="S106" i="2" s="1"/>
  <c r="R173" i="2"/>
  <c r="S173" i="2" s="1"/>
  <c r="R192" i="2"/>
  <c r="S192" i="2" s="1"/>
  <c r="R29" i="2"/>
  <c r="S29" i="2" s="1"/>
  <c r="R171" i="2"/>
  <c r="S171" i="2" s="1"/>
  <c r="R128" i="2"/>
  <c r="S128" i="2" s="1"/>
  <c r="O31" i="2"/>
  <c r="R215" i="2"/>
  <c r="S215" i="2" s="1"/>
  <c r="R22" i="2"/>
  <c r="S22" i="2" s="1"/>
  <c r="R148" i="2"/>
  <c r="S148" i="2" s="1"/>
  <c r="N4" i="2"/>
  <c r="N3" i="2"/>
  <c r="O4" i="2" l="1"/>
  <c r="O3" i="2"/>
  <c r="R3" i="2"/>
  <c r="R2" i="2"/>
  <c r="R4" i="2"/>
  <c r="S3" i="2"/>
  <c r="S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tc={05E16165-52DD-4A06-8B46-17DDA6230A3A}</author>
    <author>tc={309373E4-44CD-4DB3-AF7B-1A75149AC408}</author>
    <author>tc={FC810D36-480F-4BD8-9BF0-56E7CBB5C86B}</author>
    <author>tc={F922F78C-CF13-42EF-9424-CB63CCB6A1A7}</author>
  </authors>
  <commentList>
    <comment ref="E11" authorId="0" shapeId="0" xr:uid="{05E16165-52DD-4A06-8B46-17DDA6230A3A}">
      <text>
        <t>[Threaded comment]
Your version of Excel allows you to read this threaded comment; however, any edits to it will get removed if the file is opened in a newer version of Excel. Learn more: https://go.microsoft.com/fwlink/?linkid=870924
Comment:
    5 degree cone angle. OK</t>
      </text>
    </comment>
    <comment ref="E15" authorId="1" shapeId="0" xr:uid="{309373E4-44CD-4DB3-AF7B-1A75149AC408}">
      <text>
        <t>[Threaded comment]
Your version of Excel allows you to read this threaded comment; however, any edits to it will get removed if the file is opened in a newer version of Excel. Learn more: https://go.microsoft.com/fwlink/?linkid=870924
Comment:
    5 degree cone angle. OK</t>
      </text>
    </comment>
    <comment ref="E16" authorId="2" shapeId="0" xr:uid="{FC810D36-480F-4BD8-9BF0-56E7CBB5C86B}">
      <text>
        <t>[Threaded comment]
Your version of Excel allows you to read this threaded comment; however, any edits to it will get removed if the file is opened in a newer version of Excel. Learn more: https://go.microsoft.com/fwlink/?linkid=870924
Comment:
    5 degree cone angle. OK</t>
      </text>
    </comment>
    <comment ref="E17" authorId="3" shapeId="0" xr:uid="{F922F78C-CF13-42EF-9424-CB63CCB6A1A7}">
      <text>
        <t>[Threaded comment]
Your version of Excel allows you to read this threaded comment; however, any edits to it will get removed if the file is opened in a newer version of Excel. Learn more: https://go.microsoft.com/fwlink/?linkid=870924
Comment:
    5 degree cone angle. OK</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<sst xmlns="http://schemas.openxmlformats.org/spreadsheetml/2006/main" count="5772" uniqueCount="483">
  <si>
    <t>P20, D05, F07, K13, Q09, N09, B17, E03, L19, A22, K19, J07, S13, A23, C13, L15, B19, H22, K03, Q18, R09, L01, C17, F21, A14, K07, N05, F19, G03, E07, H03, C05, D17, N15, E23, P01, J11, A13, Q01, F23, R13, M05, C15, H07, Q13, D21, J13, H05, N13, R11, L09, J19, J17, P19, M07, H19, L07, R15, C22, D07, H01, E01, P15, B01, P11, L03, C19, C01, E17, M19, S11, C24, D19, G22, A21, E19, B24, P13, M11, N07, G09, N17, F13, K01, P17, B21, J01, L05, P09, S15, E13, G01, N11, D13, B03, D22, B05, Q11, J03, G21, F01, A02, C21, A12, E15, H21, Q15, A01, C11, H11, F17, F09, H13, L21, B23, H17, F15, N19, D11, J21, D15, G05, C07, A03, A10, C23, G11, G15, E09, D23, G17, G13, E22, F22, A11, F11, H15, J15, A04, B07, A06, A08, K21, E11, A07, C09, D09, M13, H09, M09</t>
  </si>
  <si>
    <t xml:space="preserve">top </t>
  </si>
  <si>
    <t>bottom</t>
  </si>
  <si>
    <t>A</t>
  </si>
  <si>
    <t>B</t>
  </si>
  <si>
    <t>G19, T13, M01, R01, T12, T16, L11, E05, A19, F05, A16, E21, C03, K05, Q17, P07, N01, A15, L17, F03, D01, M17, N03</t>
  </si>
  <si>
    <t>J22, Q08, B22, K17, Q05, Q07, P03, T10, T14, L13, J05, K09, T11, P04, K11, M15, R02, T15, J09, P05, G07, A17, M03</t>
  </si>
  <si>
    <t>C</t>
  </si>
  <si>
    <t>D</t>
  </si>
  <si>
    <t>Q06</t>
  </si>
  <si>
    <t>E</t>
  </si>
  <si>
    <t>A24</t>
  </si>
  <si>
    <t>F</t>
  </si>
  <si>
    <t>A09</t>
  </si>
  <si>
    <t>G</t>
  </si>
  <si>
    <t>K15</t>
  </si>
  <si>
    <t>P20</t>
  </si>
  <si>
    <t>D05</t>
  </si>
  <si>
    <t>F07</t>
  </si>
  <si>
    <t>K13</t>
  </si>
  <si>
    <t>Q09</t>
  </si>
  <si>
    <t>N09</t>
  </si>
  <si>
    <t>B17</t>
  </si>
  <si>
    <t>E03</t>
  </si>
  <si>
    <t>L19</t>
  </si>
  <si>
    <t>A22</t>
  </si>
  <si>
    <t>K19</t>
  </si>
  <si>
    <t>J07</t>
  </si>
  <si>
    <t>S13</t>
  </si>
  <si>
    <t>A23</t>
  </si>
  <si>
    <t>C13</t>
  </si>
  <si>
    <t>L15</t>
  </si>
  <si>
    <t>B19</t>
  </si>
  <si>
    <t>H22</t>
  </si>
  <si>
    <t>K03</t>
  </si>
  <si>
    <t>Q18</t>
  </si>
  <si>
    <t>R09</t>
  </si>
  <si>
    <t>L01</t>
  </si>
  <si>
    <t>C17</t>
  </si>
  <si>
    <t>F21</t>
  </si>
  <si>
    <t>A14</t>
  </si>
  <si>
    <t>K07</t>
  </si>
  <si>
    <t>N05</t>
  </si>
  <si>
    <t>F19</t>
  </si>
  <si>
    <t>G03</t>
  </si>
  <si>
    <t>E07</t>
  </si>
  <si>
    <t>H03</t>
  </si>
  <si>
    <t>C05</t>
  </si>
  <si>
    <t>D17</t>
  </si>
  <si>
    <t>N15</t>
  </si>
  <si>
    <t>E23</t>
  </si>
  <si>
    <t>P01</t>
  </si>
  <si>
    <t>J11</t>
  </si>
  <si>
    <t>A13</t>
  </si>
  <si>
    <t>Q01</t>
  </si>
  <si>
    <t>F23</t>
  </si>
  <si>
    <t>R13</t>
  </si>
  <si>
    <t>M05</t>
  </si>
  <si>
    <t>C15</t>
  </si>
  <si>
    <t>H07</t>
  </si>
  <si>
    <t>Q13</t>
  </si>
  <si>
    <t>D21</t>
  </si>
  <si>
    <t>J13</t>
  </si>
  <si>
    <t>H05</t>
  </si>
  <si>
    <t>N13</t>
  </si>
  <si>
    <t>R11</t>
  </si>
  <si>
    <t>L09</t>
  </si>
  <si>
    <t>J19</t>
  </si>
  <si>
    <t>J17</t>
  </si>
  <si>
    <t>P19</t>
  </si>
  <si>
    <t>M07</t>
  </si>
  <si>
    <t>H19</t>
  </si>
  <si>
    <t>L07</t>
  </si>
  <si>
    <t>R15</t>
  </si>
  <si>
    <t>C22</t>
  </si>
  <si>
    <t>D07</t>
  </si>
  <si>
    <t>H01</t>
  </si>
  <si>
    <t>E01</t>
  </si>
  <si>
    <t>P15</t>
  </si>
  <si>
    <t>B01</t>
  </si>
  <si>
    <t>P11</t>
  </si>
  <si>
    <t>L03</t>
  </si>
  <si>
    <t>C19</t>
  </si>
  <si>
    <t>C01</t>
  </si>
  <si>
    <t>E17</t>
  </si>
  <si>
    <t>M19</t>
  </si>
  <si>
    <t>S11</t>
  </si>
  <si>
    <t>C24</t>
  </si>
  <si>
    <t>D19</t>
  </si>
  <si>
    <t>G22</t>
  </si>
  <si>
    <t>A21</t>
  </si>
  <si>
    <t>E19</t>
  </si>
  <si>
    <t>B24</t>
  </si>
  <si>
    <t>P13</t>
  </si>
  <si>
    <t>M11</t>
  </si>
  <si>
    <t>N07</t>
  </si>
  <si>
    <t>G09</t>
  </si>
  <si>
    <t>N17</t>
  </si>
  <si>
    <t>F13</t>
  </si>
  <si>
    <t>K01</t>
  </si>
  <si>
    <t>P17</t>
  </si>
  <si>
    <t>B21</t>
  </si>
  <si>
    <t>J01</t>
  </si>
  <si>
    <t>L05</t>
  </si>
  <si>
    <t>P09</t>
  </si>
  <si>
    <t>S15</t>
  </si>
  <si>
    <t>E13</t>
  </si>
  <si>
    <t>G01</t>
  </si>
  <si>
    <t>N11</t>
  </si>
  <si>
    <t>D13</t>
  </si>
  <si>
    <t>B03</t>
  </si>
  <si>
    <t>D22</t>
  </si>
  <si>
    <t>B05</t>
  </si>
  <si>
    <t>Q11</t>
  </si>
  <si>
    <t>J03</t>
  </si>
  <si>
    <t>G21</t>
  </si>
  <si>
    <t>F01</t>
  </si>
  <si>
    <t>A02</t>
  </si>
  <si>
    <t>C21</t>
  </si>
  <si>
    <t>A12</t>
  </si>
  <si>
    <t>E15</t>
  </si>
  <si>
    <t>H21</t>
  </si>
  <si>
    <t>Q15</t>
  </si>
  <si>
    <t>A01</t>
  </si>
  <si>
    <t>C11</t>
  </si>
  <si>
    <t>H11</t>
  </si>
  <si>
    <t>F17</t>
  </si>
  <si>
    <t>F09</t>
  </si>
  <si>
    <t>H13</t>
  </si>
  <si>
    <t>L21</t>
  </si>
  <si>
    <t>B23</t>
  </si>
  <si>
    <t>H17</t>
  </si>
  <si>
    <t>F15</t>
  </si>
  <si>
    <t>N19</t>
  </si>
  <si>
    <t>D11</t>
  </si>
  <si>
    <t>J21</t>
  </si>
  <si>
    <t>D15</t>
  </si>
  <si>
    <t>G05</t>
  </si>
  <si>
    <t>C07</t>
  </si>
  <si>
    <t>A03</t>
  </si>
  <si>
    <t>A10</t>
  </si>
  <si>
    <t>C23</t>
  </si>
  <si>
    <t>G11</t>
  </si>
  <si>
    <t>G15</t>
  </si>
  <si>
    <t>E09</t>
  </si>
  <si>
    <t>D23</t>
  </si>
  <si>
    <t>G17</t>
  </si>
  <si>
    <t>G13</t>
  </si>
  <si>
    <t>E22</t>
  </si>
  <si>
    <t>F22</t>
  </si>
  <si>
    <t>A11</t>
  </si>
  <si>
    <t>F11</t>
  </si>
  <si>
    <t>H15</t>
  </si>
  <si>
    <t>J15</t>
  </si>
  <si>
    <t>A04</t>
  </si>
  <si>
    <t>B07</t>
  </si>
  <si>
    <t>A06</t>
  </si>
  <si>
    <t>A08</t>
  </si>
  <si>
    <t>K21</t>
  </si>
  <si>
    <t>E11</t>
  </si>
  <si>
    <t>A07</t>
  </si>
  <si>
    <t>C09</t>
  </si>
  <si>
    <t>D09</t>
  </si>
  <si>
    <t>M13</t>
  </si>
  <si>
    <t>H09</t>
  </si>
  <si>
    <t>M09</t>
  </si>
  <si>
    <t>G19</t>
  </si>
  <si>
    <t>T13</t>
  </si>
  <si>
    <t>M01</t>
  </si>
  <si>
    <t>R01</t>
  </si>
  <si>
    <t>T12</t>
  </si>
  <si>
    <t>T16</t>
  </si>
  <si>
    <t>L11</t>
  </si>
  <si>
    <t>E05</t>
  </si>
  <si>
    <t>A19</t>
  </si>
  <si>
    <t>F05</t>
  </si>
  <si>
    <t>A16</t>
  </si>
  <si>
    <t>E21</t>
  </si>
  <si>
    <t>C03</t>
  </si>
  <si>
    <t>K05</t>
  </si>
  <si>
    <t>Q17</t>
  </si>
  <si>
    <t>P07</t>
  </si>
  <si>
    <t>N01</t>
  </si>
  <si>
    <t>A15</t>
  </si>
  <si>
    <t>L17</t>
  </si>
  <si>
    <t>F03</t>
  </si>
  <si>
    <t>D01</t>
  </si>
  <si>
    <t>M17</t>
  </si>
  <si>
    <t>N03</t>
  </si>
  <si>
    <t>M03</t>
  </si>
  <si>
    <t>J22</t>
  </si>
  <si>
    <t>Q08</t>
  </si>
  <si>
    <t>B22</t>
  </si>
  <si>
    <t>K17</t>
  </si>
  <si>
    <t>Q05</t>
  </si>
  <si>
    <t>Q07</t>
  </si>
  <si>
    <t>P03</t>
  </si>
  <si>
    <t>T10</t>
  </si>
  <si>
    <t>T14</t>
  </si>
  <si>
    <t>L13</t>
  </si>
  <si>
    <t>J05</t>
  </si>
  <si>
    <t>K09</t>
  </si>
  <si>
    <t>T11</t>
  </si>
  <si>
    <t>P04</t>
  </si>
  <si>
    <t>K11</t>
  </si>
  <si>
    <t>M15</t>
  </si>
  <si>
    <t>R02</t>
  </si>
  <si>
    <t>T15</t>
  </si>
  <si>
    <t>J09</t>
  </si>
  <si>
    <t>P05</t>
  </si>
  <si>
    <t>G07</t>
  </si>
  <si>
    <t>A17</t>
  </si>
  <si>
    <t>Summary of windfarm at</t>
  </si>
  <si>
    <t>Created</t>
  </si>
  <si>
    <t>Pos</t>
  </si>
  <si>
    <t>Grout</t>
  </si>
  <si>
    <t>MP</t>
  </si>
  <si>
    <t>Tower</t>
  </si>
  <si>
    <t>Coating</t>
  </si>
  <si>
    <t>loadScalePar</t>
  </si>
  <si>
    <t>loads</t>
  </si>
  <si>
    <t>source</t>
  </si>
  <si>
    <t>Position</t>
  </si>
  <si>
    <t>revision</t>
  </si>
  <si>
    <t>zSeabed</t>
  </si>
  <si>
    <t>E_WGS84</t>
  </si>
  <si>
    <t>N_WGS84</t>
  </si>
  <si>
    <t>dzLocalScour</t>
  </si>
  <si>
    <t>dzGlobalScour</t>
  </si>
  <si>
    <t>dzLocalScourAtDeposit</t>
  </si>
  <si>
    <t>dzGlobalDeposit</t>
  </si>
  <si>
    <t>volume</t>
  </si>
  <si>
    <t>z_bottom</t>
  </si>
  <si>
    <t>penetration_zSeabed</t>
  </si>
  <si>
    <t>mass</t>
  </si>
  <si>
    <t>L_tot</t>
  </si>
  <si>
    <t>OD_min</t>
  </si>
  <si>
    <t>OD_max</t>
  </si>
  <si>
    <t>L_over_D</t>
  </si>
  <si>
    <t>thi_min</t>
  </si>
  <si>
    <t>thi_max</t>
  </si>
  <si>
    <t>D_t_max</t>
  </si>
  <si>
    <t>weld_circ_total</t>
  </si>
  <si>
    <t>weld_circ_grind</t>
  </si>
  <si>
    <t>L</t>
  </si>
  <si>
    <t>nocoating</t>
  </si>
  <si>
    <t>system14</t>
  </si>
  <si>
    <t>system5</t>
  </si>
  <si>
    <t>mass_above_conical</t>
  </si>
  <si>
    <t>mass_below_conical</t>
  </si>
  <si>
    <t>mass_conical</t>
  </si>
  <si>
    <t>thi_av</t>
  </si>
  <si>
    <t>diameter_msl</t>
  </si>
  <si>
    <t>modeshape_alpha</t>
  </si>
  <si>
    <t>sls_frequency</t>
  </si>
  <si>
    <t>loadgroup</t>
  </si>
  <si>
    <t>geometryMP</t>
  </si>
  <si>
    <t>zRefLevel</t>
  </si>
  <si>
    <t>[-]</t>
  </si>
  <si>
    <t>[m]</t>
  </si>
  <si>
    <t>[m3]</t>
  </si>
  <si>
    <t>[t]</t>
  </si>
  <si>
    <t>[mm]</t>
  </si>
  <si>
    <t>[m2]</t>
  </si>
  <si>
    <t>[%]</t>
  </si>
  <si>
    <t>d</t>
  </si>
  <si>
    <t>Q18_Deep_Soft</t>
  </si>
  <si>
    <t>input</t>
  </si>
  <si>
    <t>LAT</t>
  </si>
  <si>
    <t>e</t>
  </si>
  <si>
    <t>J22_Deep_Soft</t>
  </si>
  <si>
    <t>c</t>
  </si>
  <si>
    <t>f</t>
  </si>
  <si>
    <t>:source_geometryMP</t>
  </si>
  <si>
    <t>Source of geometry</t>
  </si>
  <si>
    <t>input files</t>
  </si>
  <si>
    <t>Prepared</t>
  </si>
  <si>
    <t>Accuracy_level</t>
  </si>
  <si>
    <t>Checked</t>
  </si>
  <si>
    <t>QA_level</t>
  </si>
  <si>
    <t>Accepted</t>
  </si>
  <si>
    <t>Restrictions</t>
  </si>
  <si>
    <t>Description</t>
  </si>
  <si>
    <t>Changes</t>
  </si>
  <si>
    <t>file_name</t>
  </si>
  <si>
    <t>Approved</t>
  </si>
  <si>
    <t>Date</t>
  </si>
  <si>
    <t>Document_No</t>
  </si>
  <si>
    <t>QA_report_No</t>
  </si>
  <si>
    <t>file_bytes</t>
  </si>
  <si>
    <t>file_date</t>
  </si>
  <si>
    <t>record_date</t>
  </si>
  <si>
    <t>record_identifier</t>
  </si>
  <si>
    <t>record_request</t>
  </si>
  <si>
    <t>record_state</t>
  </si>
  <si>
    <t>record_title</t>
  </si>
  <si>
    <t>text</t>
  </si>
  <si>
    <t>-</t>
  </si>
  <si>
    <t>ABLMA</t>
  </si>
  <si>
    <t>1</t>
  </si>
  <si>
    <t>OptiMon General design file for HOW03 windfarm.</t>
  </si>
  <si>
    <t>Initial Document</t>
  </si>
  <si>
    <t>2022-10-10</t>
  </si>
  <si>
    <t>20250901T073905</t>
  </si>
  <si>
    <t>IDAMO</t>
  </si>
  <si>
    <t>ASLJO</t>
  </si>
  <si>
    <t>2024-08-28</t>
  </si>
  <si>
    <t>20241022T164540</t>
  </si>
  <si>
    <t>Update cable hole orientations (08843170_B)</t>
  </si>
  <si>
    <t>2025-09-03</t>
  </si>
  <si>
    <t>20250904T084816</t>
  </si>
  <si>
    <t>CHHJL</t>
  </si>
  <si>
    <t>5</t>
  </si>
  <si>
    <t>JONWH</t>
  </si>
  <si>
    <t>3</t>
  </si>
  <si>
    <t>TINST</t>
  </si>
  <si>
    <t>Final DLs for detailed design</t>
  </si>
  <si>
    <t>H07 K07 and L03 microsited soil profiles have been updated based on final geotechnical data. Turbine naming has been updated compared to last version.</t>
  </si>
  <si>
    <t>2025-08-18</t>
  </si>
  <si>
    <t>07983233_E</t>
  </si>
  <si>
    <t>20250819T131300</t>
  </si>
  <si>
    <t>20241029T143607</t>
  </si>
  <si>
    <t>doreco:08128459_A_1.7</t>
  </si>
  <si>
    <t>doreco:08128459</t>
  </si>
  <si>
    <t>Reviewed</t>
  </si>
  <si>
    <t>input_HOW03_Flange</t>
  </si>
  <si>
    <t>KIJEO</t>
  </si>
  <si>
    <t>Loadcase name change</t>
  </si>
  <si>
    <t>2023-03-05</t>
  </si>
  <si>
    <t>20241029T143616</t>
  </si>
  <si>
    <t>doreco:08128462_A_1.25</t>
  </si>
  <si>
    <t>doreco:08128462</t>
  </si>
  <si>
    <t>input_HOW03_LoadGrouping</t>
  </si>
  <si>
    <t>20241029T143618</t>
  </si>
  <si>
    <t>doreco:08128463_A_1.5</t>
  </si>
  <si>
    <t>doreco:08128463</t>
  </si>
  <si>
    <t>input_HOW03_LoadScaling</t>
  </si>
  <si>
    <t>20241029T143622</t>
  </si>
  <si>
    <t>doreco:08128461_A_1.11</t>
  </si>
  <si>
    <t>doreco:08128461</t>
  </si>
  <si>
    <t>input_HOW03_Tower_Geometry</t>
  </si>
  <si>
    <t>CHRVS</t>
  </si>
  <si>
    <t>2024-04-10</t>
  </si>
  <si>
    <t>20241029T143626</t>
  </si>
  <si>
    <t>doreco:08128457_A_1.6</t>
  </si>
  <si>
    <t>doreco:08128457</t>
  </si>
  <si>
    <t>setup_HOW03_Documentation</t>
  </si>
  <si>
    <t>20241029T143628</t>
  </si>
  <si>
    <t>doreco:08128464_A_1.38</t>
  </si>
  <si>
    <t>doreco:08128464</t>
  </si>
  <si>
    <t>setup_HOW03_Materials</t>
  </si>
  <si>
    <t>20241029T143631</t>
  </si>
  <si>
    <t>doreco:08128467_A_1.16</t>
  </si>
  <si>
    <t>doreco:08128467</t>
  </si>
  <si>
    <t>setup_ShipImpact</t>
  </si>
  <si>
    <t>updated for certification</t>
  </si>
  <si>
    <t>2024-11-04</t>
  </si>
  <si>
    <t>20250910T090346</t>
  </si>
  <si>
    <t>19/09/2024</t>
  </si>
  <si>
    <t>20241108T125305</t>
  </si>
  <si>
    <t>2/9/2024</t>
  </si>
  <si>
    <t>20241107T143112</t>
  </si>
  <si>
    <t>JKJEN/EMALI</t>
  </si>
  <si>
    <t>Envelope of: J22Q18F22J22_1P8pQ18_1P8p</t>
  </si>
  <si>
    <t>11/5/24</t>
  </si>
  <si>
    <t>20250908T134735</t>
  </si>
  <si>
    <t>For HOW03 Detailed Design</t>
  </si>
  <si>
    <t>07955012_B</t>
  </si>
  <si>
    <t>top of conical section</t>
  </si>
  <si>
    <t>bottom of conical section</t>
  </si>
  <si>
    <t>[mLAT]</t>
  </si>
  <si>
    <t>top of MP</t>
  </si>
  <si>
    <t>mLAT</t>
  </si>
  <si>
    <t>Ltop_conical</t>
  </si>
  <si>
    <t>Lbottom_conical</t>
  </si>
  <si>
    <t>Lconical</t>
  </si>
  <si>
    <t>Penetration top of conical</t>
  </si>
  <si>
    <t>Penetration bottom of conical</t>
  </si>
  <si>
    <t>Lmin_Hs2_5</t>
  </si>
  <si>
    <t>Check where water level is with Lmin</t>
  </si>
  <si>
    <t>L1 (length from Mptop to mean sealevel for Lmin)</t>
  </si>
  <si>
    <t>dD/dz</t>
  </si>
  <si>
    <t>OD @ mean sea level with Lmin</t>
  </si>
  <si>
    <t>top</t>
  </si>
  <si>
    <t>conical</t>
  </si>
  <si>
    <t>median</t>
  </si>
  <si>
    <t>average</t>
  </si>
  <si>
    <t>maximum</t>
  </si>
  <si>
    <t>minimum</t>
  </si>
  <si>
    <t>D=10</t>
  </si>
  <si>
    <t>10&lt;D&lt;12.5</t>
  </si>
  <si>
    <t>12.5&lt;D&lt;15</t>
  </si>
  <si>
    <t>D=15</t>
  </si>
  <si>
    <t>15&lt;D&lt;17.5</t>
  </si>
  <si>
    <t>17.5&lt;D&lt;20</t>
  </si>
  <si>
    <t>20&lt;D&lt;22.5</t>
  </si>
  <si>
    <t>22.5&lt;D&lt;25</t>
  </si>
  <si>
    <t>25&lt;D&lt;27.5</t>
  </si>
  <si>
    <t>Lmin_Hs2_5_ULS</t>
  </si>
  <si>
    <t>VASAV</t>
  </si>
  <si>
    <t>XXXXX</t>
  </si>
  <si>
    <t>YYYYY</t>
  </si>
  <si>
    <t>Optimon min penetration input file for project XXX</t>
  </si>
  <si>
    <t>Initial version</t>
  </si>
  <si>
    <t>2025-10-17</t>
  </si>
  <si>
    <t>NA</t>
  </si>
  <si>
    <t>input_HOW03_DrawingReport (08128458_B).xlsx</t>
  </si>
  <si>
    <t>Update to 10 free corrosion +1MSL to LAT and 6 yr free corrosion behind ECP</t>
  </si>
  <si>
    <t>input_HOW03_GeneralDesign (08128460_B).xlsx</t>
  </si>
  <si>
    <t>2025-08-28</t>
  </si>
  <si>
    <t>20250909T140125</t>
  </si>
  <si>
    <t>input_HOW03_Secondary (08602125_B_draft)_22102024.xlsx</t>
  </si>
  <si>
    <t>input_HOW03_Site (08128465_B).xlsx</t>
  </si>
  <si>
    <t>input_SoilProfiles_20230609_HOW03_WTG_Detailed_Design (07983233_E).xls</t>
  </si>
  <si>
    <t>records\doreco-08128459-A_1.7-20240426Reviewed-input_HOW03_Flange.xlsx</t>
  </si>
  <si>
    <t>records\doreco-08128462-A_1.25-20240826Checked-input_HOW03_LoadGrouping.xlsx</t>
  </si>
  <si>
    <t>records\doreco-08128463-A_1.5-20240426Reviewed-input_HOW03_LoadScaling.xlsx</t>
  </si>
  <si>
    <t>records\doreco-08128461-A_1.11-20240731Checked-input_HOW03_Tower_Geometry.xlsx</t>
  </si>
  <si>
    <t>records\doreco-08128457-A_1.6-20240621Checked-setup_HOW03_Documentation.xlsx</t>
  </si>
  <si>
    <t>records\doreco-08128464-A_1.38-20241002Checked-setup_HOW03_Materials.xlsx</t>
  </si>
  <si>
    <t>records\doreco-08128467-A_1.16-20240627Checked-setup_ShipImpact.xlsx</t>
  </si>
  <si>
    <t>input_geometryMP (08696637_C).xlsx</t>
  </si>
  <si>
    <t>input_loads_HOW03_J22 (09098391_A).csv</t>
  </si>
  <si>
    <t>input_loads_HOW03_Q18_Envelope (09101167_A).csv</t>
  </si>
  <si>
    <t>input_loads_HOW03_Ship_Envelope (09098399_B)_draft.xlsx</t>
  </si>
  <si>
    <t>to be used for pile lateral stability analysis</t>
  </si>
  <si>
    <t>for lateral stability analysis changes only to Soil_ULS_Lateral and Soil_SLS_Lateral_SRCCyclicLOCAL COPY</t>
  </si>
  <si>
    <t>2025-10-27</t>
  </si>
  <si>
    <t>2025-10-30 09:55:42</t>
  </si>
  <si>
    <t>max</t>
  </si>
  <si>
    <t>min</t>
  </si>
  <si>
    <t>Lmin_Hs6_4</t>
  </si>
  <si>
    <t>Lmin_Hs6_4_ULS</t>
  </si>
  <si>
    <t>Lmin_Hs7_3</t>
  </si>
  <si>
    <t>Lmin_Hs7_3_ULS</t>
  </si>
  <si>
    <t>Lmin_Hs2_5 / D</t>
  </si>
  <si>
    <t>Lmin_Hs2_5_ULS / D</t>
  </si>
  <si>
    <t>Lmin_Hs6_4 / D</t>
  </si>
  <si>
    <t>Lmin_Hs6_4_ULS / D</t>
  </si>
  <si>
    <t>Lmin_Hs7_3 / D</t>
  </si>
  <si>
    <t>Lmin_Hs7_3_ULS /D</t>
  </si>
  <si>
    <t>variations\01_test\input_HOW03_Budget_local.xlsx</t>
  </si>
  <si>
    <t>20251029T190313</t>
  </si>
  <si>
    <t>variations\01_test\input_MinPenetration.xls</t>
  </si>
  <si>
    <t>20251029T193819</t>
  </si>
  <si>
    <t>setup_HOW03_Analysis.xlsx</t>
  </si>
  <si>
    <t>20251029T190637</t>
  </si>
  <si>
    <t>variations\01_test\setup_Soil_HOW03_WTG_Detailed_Design (07955012_B)_local.xls</t>
  </si>
  <si>
    <t>20251029T185148</t>
  </si>
  <si>
    <t>sheet name</t>
  </si>
  <si>
    <t>Difference ULS - SLS Lmin</t>
  </si>
  <si>
    <t>K:\dozr\HOW03\GEO\04_OptiMon Runs\20251017_Lateral_pile_stability_ Installation\variations\05_Hs2p5_loads_it1</t>
  </si>
  <si>
    <t>2025-12-01 08:56:01</t>
  </si>
  <si>
    <t>variations\05_Hs2p5_loads_it1\input_HOW03_Budget_local.xlsx</t>
  </si>
  <si>
    <t>variations\05_Hs2p5_loads_it1\input_MinPenetration_load_iter1.xls</t>
  </si>
  <si>
    <t>20251127T100512</t>
  </si>
  <si>
    <t>variations\05_Hs2p5_loads_it1\setup_HOW03_Analysis.xlsx</t>
  </si>
  <si>
    <t>variations\05_Hs2p5_loads_it1\setup_Soil_HOW03_WTG_Detailed_Design (07955012_B)_local.xls</t>
  </si>
  <si>
    <t>K:\dozr\HOW03\GEO\04_OptiMon Runs\20251017_Lateral_pile_stability_ Installation\variations\05_Hs6p4_loads_it1</t>
  </si>
  <si>
    <t>2025-12-01 09:06:22</t>
  </si>
  <si>
    <t>variations\05_Hs6p4_loads_it1\input_HOW03_Budget_local.xlsx</t>
  </si>
  <si>
    <t>variations\05_Hs6p4_loads_it1\input_MinPenetration_load_iter1.xls</t>
  </si>
  <si>
    <t>20251127T102302</t>
  </si>
  <si>
    <t>variations\05_Hs6p4_loads_it1\setup_HOW03_Analysis.xlsx</t>
  </si>
  <si>
    <t>variations\05_Hs6p4_loads_it1\setup_Soil_HOW03_WTG_Detailed_Design (07955012_B)_local.xls</t>
  </si>
  <si>
    <t>K:\dozr\HOW03\GEO\04_OptiMon Runs\20251017_Lateral_pile_stability_ Installation\variations\05_Hs7p3_loads_it1</t>
  </si>
  <si>
    <t>2025-12-01 09:08:06</t>
  </si>
  <si>
    <t>variations\05_Hs7p3_loads_it1\input_HOW03_Budget_local.xlsx</t>
  </si>
  <si>
    <t>variations\05_Hs7p3_loads_it1\input_MinPenetration_load_iter1.xls</t>
  </si>
  <si>
    <t>20251127T102402</t>
  </si>
  <si>
    <t>variations\05_Hs7p3_loads_it1\setup_HOW03_Analysis.xlsx</t>
  </si>
  <si>
    <t>variations\05_Hs7p3_loads_it1\setup_Soil_HOW03_WTG_Detailed_Design (07955012_B)_local.xls</t>
  </si>
  <si>
    <t>K:\dozr\HOW03\GEO\04_OptiMon Runs\20251017_Lateral_pile_stability_ Installation\variations\05_Combined</t>
  </si>
  <si>
    <t>Summary 05_Hs2p5_loads_it1</t>
  </si>
  <si>
    <t>Summary 05_Hs6p4_loads_it1</t>
  </si>
  <si>
    <t>Summary 05_Hs7p3_loads_it1</t>
  </si>
  <si>
    <t>XLOOKUP($A109;    INDIRECT("'" &amp; AF$16 &amp; "'!$A$20:$A$219");    XLOOKUP(AF$18;INDIRECT("'" &amp; AF$16 &amp; "'!$B$18:$BC$18"); INDIRECT("'" &amp; AF$16 &amp; "'!$B$20:$BC$219");"XXXXX";0;1);    "XX";    0;    1)</t>
  </si>
  <si>
    <t>Hs=2.5m, Lmin 13.5, D at sealevel=9.22m</t>
  </si>
  <si>
    <t>Hs=6.4m, Lmin 17.6, D at sealevel=8.455m</t>
  </si>
  <si>
    <t>Hs=7.3m, Lmin 18.8, D at sealevel=8.226m</t>
  </si>
  <si>
    <t>Posiotion</t>
  </si>
  <si>
    <t>Minimum penetration for loads of Hs=2.5m  to be applicable</t>
  </si>
  <si>
    <t>Minimum penetration for loads of Hs=6.4m  to be applicable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</si>
</sst>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3" x14ac:knownFonts="1">
    <font>
      <sz val="10"/>
      <color theme="1"/>
      <name val="Arial"/>
      <family val="2"/>
    </font>
    <font>
      <sz val="10"/>
      <name val="Arial"/>
    </font>
    <font>
      <sz val="10"/>
      <name val="Arial"/>
      <family val="2"/>
    </font>
  </fonts>
  <fills count="4">
    <fill>
      <patternFill patternType="none"/>
    </fill>
    <fill>
      <patternFill patternType="gray125"/>
    </fill>
    <fill>
      <patternFill patternType="solid">
        <fgColor rgb="FFFFFF99"/>
        <bgColor indexed="64"/>
      </patternFill>
    </fill>
    <fill>
      <patternFill patternType="solid">
        <fgColor theme="1"/>
        <bgColor indexed="64"/>
      </patternFill>
    </fill>
  </fills>
  <borders count="7">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3">
    <xf numFmtId="0" fontId="0" fillId="0" borderId="0"/>
    <xf numFmtId="0" fontId="1" fillId="0" borderId="0"/>
    <xf numFmtId="0" fontId="2" fillId="0" borderId="0"/>
  </cellStyleXfs>
  <cellXfs count="25">
    <xf numFmtId="0" fontId="0" fillId="0" borderId="0" xfId="0"/>
    <xf numFmtId="0" fontId="1" fillId="0" borderId="0" xfId="1"/>
    <xf numFmtId="0" fontId="0" fillId="0" borderId="0" xfId="0" applyAlignment="1">
      <alignment wrapText="1"/>
    </xf>
    <xf numFmtId="0" fontId="1" fillId="2" borderId="0" xfId="1" applyFill="1"/>
    <xf numFmtId="0" fontId="0" fillId="2" borderId="0" xfId="0" applyFill="1"/>
    <xf numFmtId="164" fontId="0" fillId="2" borderId="0" xfId="0" applyNumberFormat="1" applyFill="1"/>
    <xf numFmtId="2" fontId="0" fillId="0" borderId="0" xfId="0" applyNumberFormat="1"/>
    <xf numFmtId="0" fontId="1" fillId="2" borderId="0" xfId="1" applyFill="1" applyAlignment="1">
      <alignment wrapText="1"/>
    </xf>
    <xf numFmtId="0" fontId="1" fillId="0" borderId="0" xfId="1" applyFill="1"/>
    <xf numFmtId="165" fontId="1" fillId="0" borderId="0" xfId="1" applyNumberFormat="1" applyFill="1"/>
    <xf numFmtId="0" fontId="1" fillId="0" borderId="0" xfId="1" applyFill="1" applyAlignment="1">
      <alignment horizontal="centerContinuous"/>
    </xf>
    <xf numFmtId="0" fontId="0" fillId="0" borderId="0" xfId="0" applyFill="1"/>
    <xf numFmtId="0" fontId="0" fillId="0" borderId="0" xfId="0" applyFill="1" applyAlignment="1">
      <alignment wrapText="1"/>
    </xf>
    <xf numFmtId="164" fontId="0" fillId="0" borderId="0" xfId="0" applyNumberFormat="1" applyFill="1"/>
    <xf numFmtId="0" fontId="0" fillId="0" borderId="1" xfId="0" applyFill="1" applyBorder="1" applyAlignment="1">
      <alignment horizontal="right"/>
    </xf>
    <xf numFmtId="0" fontId="0" fillId="0" borderId="2" xfId="0" applyFill="1" applyBorder="1" applyAlignment="1">
      <alignment horizontal="left"/>
    </xf>
    <xf numFmtId="2" fontId="0" fillId="0" borderId="0" xfId="0" applyNumberFormat="1" applyFill="1"/>
    <xf numFmtId="0" fontId="0" fillId="0" borderId="3" xfId="0" applyFill="1" applyBorder="1" applyAlignment="1">
      <alignment horizontal="right"/>
    </xf>
    <xf numFmtId="0" fontId="0" fillId="0" borderId="4" xfId="0" applyFill="1" applyBorder="1" applyAlignment="1">
      <alignment horizontal="left"/>
    </xf>
    <xf numFmtId="0" fontId="0" fillId="0" borderId="5" xfId="0" applyFill="1" applyBorder="1" applyAlignment="1">
      <alignment horizontal="right"/>
    </xf>
    <xf numFmtId="0" fontId="0" fillId="0" borderId="6" xfId="0" applyFill="1" applyBorder="1" applyAlignment="1">
      <alignment horizontal="left"/>
    </xf>
    <xf numFmtId="0" fontId="1" fillId="0" borderId="0" xfId="1" applyFill="1" applyAlignment="1">
      <alignment wrapText="1"/>
    </xf>
    <xf numFmtId="2" fontId="0" fillId="2" borderId="0" xfId="0" applyNumberFormat="1" applyFill="1"/>
    <xf numFmtId="0" fontId="0" fillId="3" borderId="0" xfId="0" applyFill="1"/>
    <xf numFmtId="0" fontId="0" fillId="3" borderId="0" xfId="0" applyFill="1" applyAlignment="1">
      <alignment wrapText="1"/>
    </xf>
  </cellXfs>
  <cellStyles count="3">
    <cellStyle name="Normal" xfId="0" builtinId="0"/>
    <cellStyle name="Normal 2" xfId="1" xr:uid="{9E871FE5-A3E9-4399-A5A0-C31558E59D6F}"/>
    <cellStyle name="Normal 3" xfId="2" xr:uid="{F54AFFC4-AE8E-4828-9293-C7A22598E145}"/>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18" Type="http://schemas.openxmlformats.org/officeDocument/2006/relationships/customXml" Target="../customXml/item5.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haredStrings" Target="sharedStrings.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5"/>
          <c:order val="0"/>
          <c:tx>
            <c:v>Ltot_vs_Lmin_H2_5</c:v>
          </c:tx>
          <c:spPr>
            <a:ln w="19050" cap="rnd">
              <a:no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xVal>
            <c:numRef>
              <c:f>'D at sealevel'!$I$20:$I$219</c:f>
              <c:numCache>
                <c:formatCode>General</c:formatCode>
                <c:ptCount val="200"/>
                <c:pt idx="0">
                  <c:v>104.4</c:v>
                </c:pt>
                <c:pt idx="1">
                  <c:v>97.3</c:v>
                </c:pt>
                <c:pt idx="2">
                  <c:v>96.5</c:v>
                </c:pt>
                <c:pt idx="3">
                  <c:v>96.1</c:v>
                </c:pt>
                <c:pt idx="4">
                  <c:v>107.1</c:v>
                </c:pt>
                <c:pt idx="5">
                  <c:v>104.5</c:v>
                </c:pt>
                <c:pt idx="6">
                  <c:v>101.1</c:v>
                </c:pt>
                <c:pt idx="7">
                  <c:v>104.1</c:v>
                </c:pt>
                <c:pt idx="8">
                  <c:v>98</c:v>
                </c:pt>
                <c:pt idx="9">
                  <c:v>103.1</c:v>
                </c:pt>
                <c:pt idx="10">
                  <c:v>101.9</c:v>
                </c:pt>
                <c:pt idx="11">
                  <c:v>99.2</c:v>
                </c:pt>
                <c:pt idx="12">
                  <c:v>97.9</c:v>
                </c:pt>
                <c:pt idx="13">
                  <c:v>99.7</c:v>
                </c:pt>
                <c:pt idx="14">
                  <c:v>94.6</c:v>
                </c:pt>
                <c:pt idx="15">
                  <c:v>89.1</c:v>
                </c:pt>
                <c:pt idx="16">
                  <c:v>100.1</c:v>
                </c:pt>
                <c:pt idx="17">
                  <c:v>104.2</c:v>
                </c:pt>
                <c:pt idx="18">
                  <c:v>92</c:v>
                </c:pt>
                <c:pt idx="19">
                  <c:v>96.3</c:v>
                </c:pt>
                <c:pt idx="20">
                  <c:v>86</c:v>
                </c:pt>
                <c:pt idx="21">
                  <c:v>85.3</c:v>
                </c:pt>
                <c:pt idx="22">
                  <c:v>105.9</c:v>
                </c:pt>
                <c:pt idx="23">
                  <c:v>98.3</c:v>
                </c:pt>
                <c:pt idx="24">
                  <c:v>94.4</c:v>
                </c:pt>
                <c:pt idx="25">
                  <c:v>95.8</c:v>
                </c:pt>
                <c:pt idx="26">
                  <c:v>88</c:v>
                </c:pt>
                <c:pt idx="27">
                  <c:v>105</c:v>
                </c:pt>
                <c:pt idx="28">
                  <c:v>98.1</c:v>
                </c:pt>
                <c:pt idx="29">
                  <c:v>104.3</c:v>
                </c:pt>
                <c:pt idx="30">
                  <c:v>94.7</c:v>
                </c:pt>
                <c:pt idx="31">
                  <c:v>92.6</c:v>
                </c:pt>
                <c:pt idx="32">
                  <c:v>103.5</c:v>
                </c:pt>
                <c:pt idx="33">
                  <c:v>92.3</c:v>
                </c:pt>
                <c:pt idx="34">
                  <c:v>91.5</c:v>
                </c:pt>
                <c:pt idx="35">
                  <c:v>87.8</c:v>
                </c:pt>
                <c:pt idx="36">
                  <c:v>89.5</c:v>
                </c:pt>
                <c:pt idx="37">
                  <c:v>93</c:v>
                </c:pt>
                <c:pt idx="38">
                  <c:v>93.3</c:v>
                </c:pt>
                <c:pt idx="39">
                  <c:v>99.1</c:v>
                </c:pt>
                <c:pt idx="40">
                  <c:v>93.6</c:v>
                </c:pt>
                <c:pt idx="41">
                  <c:v>100.9</c:v>
                </c:pt>
                <c:pt idx="42">
                  <c:v>100.2</c:v>
                </c:pt>
                <c:pt idx="43">
                  <c:v>89.4</c:v>
                </c:pt>
                <c:pt idx="44">
                  <c:v>85.6</c:v>
                </c:pt>
                <c:pt idx="45">
                  <c:v>91.8</c:v>
                </c:pt>
                <c:pt idx="46">
                  <c:v>100.9</c:v>
                </c:pt>
                <c:pt idx="47">
                  <c:v>92.4</c:v>
                </c:pt>
                <c:pt idx="48">
                  <c:v>92.1</c:v>
                </c:pt>
                <c:pt idx="49">
                  <c:v>93.5</c:v>
                </c:pt>
                <c:pt idx="50">
                  <c:v>93.1</c:v>
                </c:pt>
                <c:pt idx="51">
                  <c:v>93.9</c:v>
                </c:pt>
                <c:pt idx="52">
                  <c:v>92.8</c:v>
                </c:pt>
                <c:pt idx="53">
                  <c:v>86.8</c:v>
                </c:pt>
                <c:pt idx="54">
                  <c:v>83.4</c:v>
                </c:pt>
                <c:pt idx="55">
                  <c:v>105.2</c:v>
                </c:pt>
                <c:pt idx="56">
                  <c:v>89.4</c:v>
                </c:pt>
                <c:pt idx="57">
                  <c:v>89</c:v>
                </c:pt>
                <c:pt idx="58">
                  <c:v>85.8</c:v>
                </c:pt>
                <c:pt idx="59">
                  <c:v>96.2</c:v>
                </c:pt>
                <c:pt idx="60">
                  <c:v>90.9</c:v>
                </c:pt>
                <c:pt idx="61">
                  <c:v>93.1</c:v>
                </c:pt>
                <c:pt idx="62">
                  <c:v>94.8</c:v>
                </c:pt>
                <c:pt idx="63">
                  <c:v>92.2</c:v>
                </c:pt>
                <c:pt idx="64">
                  <c:v>85</c:v>
                </c:pt>
                <c:pt idx="65">
                  <c:v>85.4</c:v>
                </c:pt>
                <c:pt idx="66">
                  <c:v>86</c:v>
                </c:pt>
                <c:pt idx="67">
                  <c:v>91.3</c:v>
                </c:pt>
                <c:pt idx="68">
                  <c:v>93.2</c:v>
                </c:pt>
                <c:pt idx="69">
                  <c:v>87</c:v>
                </c:pt>
                <c:pt idx="70">
                  <c:v>85.6</c:v>
                </c:pt>
                <c:pt idx="71">
                  <c:v>94</c:v>
                </c:pt>
                <c:pt idx="72">
                  <c:v>85.2</c:v>
                </c:pt>
                <c:pt idx="73">
                  <c:v>92.1</c:v>
                </c:pt>
                <c:pt idx="74">
                  <c:v>89.2</c:v>
                </c:pt>
                <c:pt idx="75">
                  <c:v>91.8</c:v>
                </c:pt>
                <c:pt idx="76">
                  <c:v>91.3</c:v>
                </c:pt>
                <c:pt idx="77">
                  <c:v>83.8</c:v>
                </c:pt>
                <c:pt idx="78">
                  <c:v>86.1</c:v>
                </c:pt>
                <c:pt idx="79">
                  <c:v>89.2</c:v>
                </c:pt>
                <c:pt idx="80">
                  <c:v>99.5</c:v>
                </c:pt>
                <c:pt idx="81">
                  <c:v>90</c:v>
                </c:pt>
                <c:pt idx="82">
                  <c:v>91.3</c:v>
                </c:pt>
                <c:pt idx="83">
                  <c:v>86</c:v>
                </c:pt>
                <c:pt idx="84">
                  <c:v>85.1</c:v>
                </c:pt>
                <c:pt idx="85">
                  <c:v>87.6</c:v>
                </c:pt>
                <c:pt idx="86">
                  <c:v>86.9</c:v>
                </c:pt>
                <c:pt idx="87">
                  <c:v>87.3</c:v>
                </c:pt>
                <c:pt idx="88">
                  <c:v>85.2</c:v>
                </c:pt>
                <c:pt idx="89">
                  <c:v>92</c:v>
                </c:pt>
                <c:pt idx="90">
                  <c:v>90.7</c:v>
                </c:pt>
                <c:pt idx="91">
                  <c:v>95.9</c:v>
                </c:pt>
                <c:pt idx="92">
                  <c:v>84</c:v>
                </c:pt>
                <c:pt idx="93">
                  <c:v>89.4</c:v>
                </c:pt>
                <c:pt idx="94">
                  <c:v>90.7</c:v>
                </c:pt>
                <c:pt idx="95">
                  <c:v>92.7</c:v>
                </c:pt>
                <c:pt idx="96">
                  <c:v>104.4</c:v>
                </c:pt>
                <c:pt idx="97">
                  <c:v>87.4</c:v>
                </c:pt>
                <c:pt idx="98">
                  <c:v>89</c:v>
                </c:pt>
                <c:pt idx="99">
                  <c:v>87.7</c:v>
                </c:pt>
                <c:pt idx="100">
                  <c:v>85</c:v>
                </c:pt>
                <c:pt idx="101">
                  <c:v>86.6</c:v>
                </c:pt>
                <c:pt idx="102">
                  <c:v>90</c:v>
                </c:pt>
                <c:pt idx="103">
                  <c:v>90.8</c:v>
                </c:pt>
                <c:pt idx="104">
                  <c:v>85.1</c:v>
                </c:pt>
                <c:pt idx="105">
                  <c:v>85.6</c:v>
                </c:pt>
                <c:pt idx="106">
                  <c:v>85.6</c:v>
                </c:pt>
                <c:pt idx="107">
                  <c:v>86.1</c:v>
                </c:pt>
                <c:pt idx="108">
                  <c:v>85.3</c:v>
                </c:pt>
                <c:pt idx="109">
                  <c:v>83.9</c:v>
                </c:pt>
                <c:pt idx="110">
                  <c:v>88.7</c:v>
                </c:pt>
                <c:pt idx="111">
                  <c:v>83.2</c:v>
                </c:pt>
                <c:pt idx="112">
                  <c:v>92.2</c:v>
                </c:pt>
                <c:pt idx="113">
                  <c:v>86.1</c:v>
                </c:pt>
                <c:pt idx="114">
                  <c:v>83.6</c:v>
                </c:pt>
                <c:pt idx="115">
                  <c:v>88.6</c:v>
                </c:pt>
                <c:pt idx="116">
                  <c:v>97.1</c:v>
                </c:pt>
                <c:pt idx="117">
                  <c:v>87.6</c:v>
                </c:pt>
                <c:pt idx="118">
                  <c:v>89.4</c:v>
                </c:pt>
                <c:pt idx="119">
                  <c:v>90.1</c:v>
                </c:pt>
                <c:pt idx="120">
                  <c:v>90.2</c:v>
                </c:pt>
                <c:pt idx="121">
                  <c:v>86.3</c:v>
                </c:pt>
                <c:pt idx="122">
                  <c:v>93.5</c:v>
                </c:pt>
                <c:pt idx="123">
                  <c:v>86.4</c:v>
                </c:pt>
                <c:pt idx="124">
                  <c:v>90.7</c:v>
                </c:pt>
                <c:pt idx="125">
                  <c:v>84.9</c:v>
                </c:pt>
                <c:pt idx="126">
                  <c:v>85.2</c:v>
                </c:pt>
                <c:pt idx="127">
                  <c:v>90</c:v>
                </c:pt>
                <c:pt idx="128">
                  <c:v>86.4</c:v>
                </c:pt>
                <c:pt idx="129">
                  <c:v>84.7</c:v>
                </c:pt>
                <c:pt idx="130">
                  <c:v>90.3</c:v>
                </c:pt>
                <c:pt idx="131">
                  <c:v>92</c:v>
                </c:pt>
                <c:pt idx="132">
                  <c:v>88.3</c:v>
                </c:pt>
                <c:pt idx="133">
                  <c:v>83.3</c:v>
                </c:pt>
                <c:pt idx="134">
                  <c:v>88.5</c:v>
                </c:pt>
                <c:pt idx="135">
                  <c:v>89.6</c:v>
                </c:pt>
                <c:pt idx="136">
                  <c:v>87.9</c:v>
                </c:pt>
                <c:pt idx="137">
                  <c:v>90.4</c:v>
                </c:pt>
                <c:pt idx="138">
                  <c:v>89.8</c:v>
                </c:pt>
                <c:pt idx="139">
                  <c:v>83.1</c:v>
                </c:pt>
                <c:pt idx="140">
                  <c:v>85</c:v>
                </c:pt>
                <c:pt idx="141">
                  <c:v>93.4</c:v>
                </c:pt>
                <c:pt idx="142">
                  <c:v>91.8</c:v>
                </c:pt>
                <c:pt idx="143">
                  <c:v>90.3</c:v>
                </c:pt>
                <c:pt idx="144">
                  <c:v>90.8</c:v>
                </c:pt>
                <c:pt idx="145">
                  <c:v>93.2</c:v>
                </c:pt>
                <c:pt idx="146">
                  <c:v>85.3</c:v>
                </c:pt>
                <c:pt idx="147">
                  <c:v>91.6</c:v>
                </c:pt>
                <c:pt idx="148">
                  <c:v>89.9</c:v>
                </c:pt>
                <c:pt idx="149">
                  <c:v>90.7</c:v>
                </c:pt>
                <c:pt idx="150">
                  <c:v>86.9</c:v>
                </c:pt>
                <c:pt idx="151">
                  <c:v>86.9</c:v>
                </c:pt>
                <c:pt idx="152">
                  <c:v>90.4</c:v>
                </c:pt>
                <c:pt idx="153">
                  <c:v>91.9</c:v>
                </c:pt>
                <c:pt idx="154">
                  <c:v>87.4</c:v>
                </c:pt>
                <c:pt idx="155">
                  <c:v>90.2</c:v>
                </c:pt>
                <c:pt idx="156">
                  <c:v>88.6</c:v>
                </c:pt>
                <c:pt idx="157">
                  <c:v>89.1</c:v>
                </c:pt>
                <c:pt idx="158">
                  <c:v>84.1</c:v>
                </c:pt>
                <c:pt idx="159">
                  <c:v>89.7</c:v>
                </c:pt>
                <c:pt idx="160">
                  <c:v>90.6</c:v>
                </c:pt>
                <c:pt idx="161">
                  <c:v>89.3</c:v>
                </c:pt>
                <c:pt idx="162">
                  <c:v>85.4</c:v>
                </c:pt>
                <c:pt idx="163">
                  <c:v>90.5</c:v>
                </c:pt>
                <c:pt idx="164">
                  <c:v>89.8</c:v>
                </c:pt>
                <c:pt idx="165">
                  <c:v>86.4</c:v>
                </c:pt>
                <c:pt idx="166">
                  <c:v>89.9</c:v>
                </c:pt>
                <c:pt idx="167">
                  <c:v>89.328999999999994</c:v>
                </c:pt>
                <c:pt idx="168">
                  <c:v>92.2</c:v>
                </c:pt>
                <c:pt idx="169">
                  <c:v>91.2</c:v>
                </c:pt>
                <c:pt idx="170">
                  <c:v>89.1</c:v>
                </c:pt>
                <c:pt idx="171">
                  <c:v>88.8</c:v>
                </c:pt>
                <c:pt idx="172">
                  <c:v>89.7</c:v>
                </c:pt>
                <c:pt idx="173">
                  <c:v>89</c:v>
                </c:pt>
                <c:pt idx="174">
                  <c:v>90.4</c:v>
                </c:pt>
                <c:pt idx="175">
                  <c:v>85.3</c:v>
                </c:pt>
                <c:pt idx="176">
                  <c:v>88.5</c:v>
                </c:pt>
                <c:pt idx="177">
                  <c:v>90.1</c:v>
                </c:pt>
                <c:pt idx="178">
                  <c:v>88.2</c:v>
                </c:pt>
                <c:pt idx="179">
                  <c:v>88.3</c:v>
                </c:pt>
                <c:pt idx="180">
                  <c:v>87.7</c:v>
                </c:pt>
                <c:pt idx="181">
                  <c:v>88.7</c:v>
                </c:pt>
                <c:pt idx="182">
                  <c:v>87.8</c:v>
                </c:pt>
                <c:pt idx="183">
                  <c:v>86.9</c:v>
                </c:pt>
                <c:pt idx="184">
                  <c:v>89.2</c:v>
                </c:pt>
                <c:pt idx="185">
                  <c:v>88.6</c:v>
                </c:pt>
                <c:pt idx="186">
                  <c:v>88</c:v>
                </c:pt>
                <c:pt idx="187">
                  <c:v>87.4</c:v>
                </c:pt>
                <c:pt idx="188">
                  <c:v>87.4</c:v>
                </c:pt>
                <c:pt idx="189">
                  <c:v>87.5</c:v>
                </c:pt>
                <c:pt idx="190">
                  <c:v>88.2</c:v>
                </c:pt>
                <c:pt idx="191">
                  <c:v>87.4</c:v>
                </c:pt>
                <c:pt idx="192">
                  <c:v>89</c:v>
                </c:pt>
                <c:pt idx="193">
                  <c:v>87.1</c:v>
                </c:pt>
                <c:pt idx="194">
                  <c:v>87.4</c:v>
                </c:pt>
                <c:pt idx="195">
                  <c:v>87.5</c:v>
                </c:pt>
                <c:pt idx="196">
                  <c:v>87.1</c:v>
                </c:pt>
                <c:pt idx="197">
                  <c:v>86.3</c:v>
                </c:pt>
                <c:pt idx="198">
                  <c:v>86.5</c:v>
                </c:pt>
                <c:pt idx="199">
                  <c:v>85.129000000000005</c:v>
                </c:pt>
              </c:numCache>
            </c:numRef>
          </c:xVal>
          <c:yVal>
            <c:numRef>
              <c:f>'D at sealevel'!$P$20:$P$219</c:f>
              <c:numCache>
                <c:formatCode>General</c:formatCode>
                <c:ptCount val="200"/>
                <c:pt idx="0">
                  <c:v>23.25709999999998</c:v>
                </c:pt>
                <c:pt idx="1">
                  <c:v>22.857040000000008</c:v>
                </c:pt>
                <c:pt idx="2">
                  <c:v>22.756948890643859</c:v>
                </c:pt>
                <c:pt idx="3">
                  <c:v>22.456948890643879</c:v>
                </c:pt>
                <c:pt idx="4">
                  <c:v>22.157099999999993</c:v>
                </c:pt>
                <c:pt idx="5">
                  <c:v>22.1571</c:v>
                </c:pt>
                <c:pt idx="6">
                  <c:v>22.157040000000006</c:v>
                </c:pt>
                <c:pt idx="7">
                  <c:v>21.95709999999999</c:v>
                </c:pt>
                <c:pt idx="8">
                  <c:v>21.857099999999978</c:v>
                </c:pt>
                <c:pt idx="9">
                  <c:v>21.557099999999963</c:v>
                </c:pt>
                <c:pt idx="10">
                  <c:v>21.357099999999999</c:v>
                </c:pt>
                <c:pt idx="11">
                  <c:v>21.357099999999999</c:v>
                </c:pt>
                <c:pt idx="12">
                  <c:v>21.357099999999999</c:v>
                </c:pt>
                <c:pt idx="13">
                  <c:v>21.257099999999998</c:v>
                </c:pt>
                <c:pt idx="14">
                  <c:v>21.057040000000015</c:v>
                </c:pt>
                <c:pt idx="15">
                  <c:v>21.05694889064387</c:v>
                </c:pt>
                <c:pt idx="16">
                  <c:v>20.657099999999996</c:v>
                </c:pt>
                <c:pt idx="17">
                  <c:v>20.557099999999988</c:v>
                </c:pt>
                <c:pt idx="18">
                  <c:v>20.556948890643898</c:v>
                </c:pt>
                <c:pt idx="19">
                  <c:v>20.45704000000001</c:v>
                </c:pt>
                <c:pt idx="20">
                  <c:v>20.356948890643888</c:v>
                </c:pt>
                <c:pt idx="21">
                  <c:v>20.25694889064388</c:v>
                </c:pt>
                <c:pt idx="22">
                  <c:v>20.157100000000025</c:v>
                </c:pt>
                <c:pt idx="23">
                  <c:v>20.157099999999971</c:v>
                </c:pt>
                <c:pt idx="24">
                  <c:v>20.157040000000006</c:v>
                </c:pt>
                <c:pt idx="25">
                  <c:v>20.157040000000006</c:v>
                </c:pt>
                <c:pt idx="26">
                  <c:v>20.156948890643864</c:v>
                </c:pt>
                <c:pt idx="27">
                  <c:v>20.057100000000005</c:v>
                </c:pt>
                <c:pt idx="28">
                  <c:v>19.957039999999992</c:v>
                </c:pt>
                <c:pt idx="29">
                  <c:v>19.857099999999988</c:v>
                </c:pt>
                <c:pt idx="30">
                  <c:v>19.656948890643861</c:v>
                </c:pt>
                <c:pt idx="31">
                  <c:v>19.656948890643868</c:v>
                </c:pt>
                <c:pt idx="32">
                  <c:v>19.557100000000002</c:v>
                </c:pt>
                <c:pt idx="33">
                  <c:v>19.556948890643859</c:v>
                </c:pt>
                <c:pt idx="34">
                  <c:v>19.456948890643872</c:v>
                </c:pt>
                <c:pt idx="35">
                  <c:v>19.356948890643888</c:v>
                </c:pt>
                <c:pt idx="36">
                  <c:v>19.356948890643892</c:v>
                </c:pt>
                <c:pt idx="37">
                  <c:v>19.257040000000021</c:v>
                </c:pt>
                <c:pt idx="38">
                  <c:v>19.256948890643883</c:v>
                </c:pt>
                <c:pt idx="39">
                  <c:v>19.157099999999996</c:v>
                </c:pt>
                <c:pt idx="40">
                  <c:v>19.156948890643889</c:v>
                </c:pt>
                <c:pt idx="41">
                  <c:v>19.05710000000002</c:v>
                </c:pt>
                <c:pt idx="42">
                  <c:v>19.057099999999988</c:v>
                </c:pt>
                <c:pt idx="43">
                  <c:v>19.056948890643881</c:v>
                </c:pt>
                <c:pt idx="44">
                  <c:v>19.056948890643859</c:v>
                </c:pt>
                <c:pt idx="45">
                  <c:v>19.056948890643866</c:v>
                </c:pt>
                <c:pt idx="46">
                  <c:v>18.857099999999988</c:v>
                </c:pt>
                <c:pt idx="47">
                  <c:v>18.857040000000008</c:v>
                </c:pt>
                <c:pt idx="48">
                  <c:v>18.857039999999991</c:v>
                </c:pt>
                <c:pt idx="49">
                  <c:v>18.856948890643867</c:v>
                </c:pt>
                <c:pt idx="50">
                  <c:v>18.856948890643839</c:v>
                </c:pt>
                <c:pt idx="51">
                  <c:v>18.757039999999989</c:v>
                </c:pt>
                <c:pt idx="52">
                  <c:v>18.756948890643869</c:v>
                </c:pt>
                <c:pt idx="53">
                  <c:v>18.756948890643869</c:v>
                </c:pt>
                <c:pt idx="54">
                  <c:v>18.656948890643879</c:v>
                </c:pt>
                <c:pt idx="55">
                  <c:v>18.557100000000013</c:v>
                </c:pt>
                <c:pt idx="56">
                  <c:v>18.556948890643884</c:v>
                </c:pt>
                <c:pt idx="57">
                  <c:v>18.556948890643874</c:v>
                </c:pt>
                <c:pt idx="58">
                  <c:v>18.55694889064387</c:v>
                </c:pt>
                <c:pt idx="59">
                  <c:v>18.457040000000013</c:v>
                </c:pt>
                <c:pt idx="60">
                  <c:v>18.456948890643872</c:v>
                </c:pt>
                <c:pt idx="61">
                  <c:v>18.456948890643858</c:v>
                </c:pt>
                <c:pt idx="62">
                  <c:v>18.357039999999998</c:v>
                </c:pt>
                <c:pt idx="63">
                  <c:v>18.356948890643867</c:v>
                </c:pt>
                <c:pt idx="64">
                  <c:v>18.356948890643878</c:v>
                </c:pt>
                <c:pt idx="65">
                  <c:v>18.256948890643894</c:v>
                </c:pt>
                <c:pt idx="66">
                  <c:v>18.256948890643894</c:v>
                </c:pt>
                <c:pt idx="67">
                  <c:v>18.256948890643891</c:v>
                </c:pt>
                <c:pt idx="68">
                  <c:v>18.256948890643873</c:v>
                </c:pt>
                <c:pt idx="69">
                  <c:v>18.256948890643869</c:v>
                </c:pt>
                <c:pt idx="70">
                  <c:v>18.256948890643855</c:v>
                </c:pt>
                <c:pt idx="71">
                  <c:v>18.157040000000013</c:v>
                </c:pt>
                <c:pt idx="72">
                  <c:v>18.15694889064391</c:v>
                </c:pt>
                <c:pt idx="73">
                  <c:v>18.156948890643879</c:v>
                </c:pt>
                <c:pt idx="74">
                  <c:v>18.056948890643877</c:v>
                </c:pt>
                <c:pt idx="75">
                  <c:v>18.05694889064387</c:v>
                </c:pt>
                <c:pt idx="76">
                  <c:v>17.956948890643886</c:v>
                </c:pt>
                <c:pt idx="77">
                  <c:v>17.956948890643883</c:v>
                </c:pt>
                <c:pt idx="78">
                  <c:v>17.956948890643858</c:v>
                </c:pt>
                <c:pt idx="79">
                  <c:v>17.956948890643883</c:v>
                </c:pt>
                <c:pt idx="80">
                  <c:v>17.857099999999988</c:v>
                </c:pt>
                <c:pt idx="81">
                  <c:v>17.85694889064386</c:v>
                </c:pt>
                <c:pt idx="82">
                  <c:v>17.856948890643885</c:v>
                </c:pt>
                <c:pt idx="83">
                  <c:v>17.856948890643853</c:v>
                </c:pt>
                <c:pt idx="84">
                  <c:v>17.856948890643846</c:v>
                </c:pt>
                <c:pt idx="85">
                  <c:v>17.756948890643876</c:v>
                </c:pt>
                <c:pt idx="86">
                  <c:v>17.756948890643898</c:v>
                </c:pt>
                <c:pt idx="87">
                  <c:v>17.756948890643891</c:v>
                </c:pt>
                <c:pt idx="88">
                  <c:v>17.656948890643875</c:v>
                </c:pt>
                <c:pt idx="89">
                  <c:v>17.656948890643868</c:v>
                </c:pt>
                <c:pt idx="90">
                  <c:v>17.656948890643864</c:v>
                </c:pt>
                <c:pt idx="91">
                  <c:v>17.557039999999997</c:v>
                </c:pt>
                <c:pt idx="92">
                  <c:v>17.556948890643888</c:v>
                </c:pt>
                <c:pt idx="93">
                  <c:v>17.556948890643866</c:v>
                </c:pt>
                <c:pt idx="94">
                  <c:v>17.556948890643881</c:v>
                </c:pt>
                <c:pt idx="95">
                  <c:v>17.556948890643902</c:v>
                </c:pt>
                <c:pt idx="96">
                  <c:v>17.457100000000015</c:v>
                </c:pt>
                <c:pt idx="97">
                  <c:v>17.456948890643861</c:v>
                </c:pt>
                <c:pt idx="98">
                  <c:v>17.456948890643876</c:v>
                </c:pt>
                <c:pt idx="99">
                  <c:v>17.456948890643876</c:v>
                </c:pt>
                <c:pt idx="100">
                  <c:v>17.456948890643876</c:v>
                </c:pt>
                <c:pt idx="101">
                  <c:v>17.456948890643865</c:v>
                </c:pt>
                <c:pt idx="102">
                  <c:v>17.356948890643856</c:v>
                </c:pt>
                <c:pt idx="103">
                  <c:v>17.356948890643864</c:v>
                </c:pt>
                <c:pt idx="104">
                  <c:v>17.356948890643853</c:v>
                </c:pt>
                <c:pt idx="105">
                  <c:v>17.35694889064386</c:v>
                </c:pt>
                <c:pt idx="106">
                  <c:v>17.35694889064386</c:v>
                </c:pt>
                <c:pt idx="107">
                  <c:v>17.356948890643874</c:v>
                </c:pt>
                <c:pt idx="108">
                  <c:v>17.256948890643876</c:v>
                </c:pt>
                <c:pt idx="109">
                  <c:v>17.256948890643876</c:v>
                </c:pt>
                <c:pt idx="110">
                  <c:v>17.256948890643876</c:v>
                </c:pt>
                <c:pt idx="111">
                  <c:v>17.256948890643876</c:v>
                </c:pt>
                <c:pt idx="112">
                  <c:v>17.256948890643876</c:v>
                </c:pt>
                <c:pt idx="113">
                  <c:v>17.156948890643861</c:v>
                </c:pt>
                <c:pt idx="114">
                  <c:v>17.156948890643868</c:v>
                </c:pt>
                <c:pt idx="115">
                  <c:v>17.156948890643868</c:v>
                </c:pt>
                <c:pt idx="116">
                  <c:v>17.057040000000001</c:v>
                </c:pt>
                <c:pt idx="117">
                  <c:v>17.056948890643881</c:v>
                </c:pt>
                <c:pt idx="118">
                  <c:v>16.956948890643883</c:v>
                </c:pt>
                <c:pt idx="119">
                  <c:v>16.95694889064389</c:v>
                </c:pt>
                <c:pt idx="120">
                  <c:v>16.956948890643876</c:v>
                </c:pt>
                <c:pt idx="121">
                  <c:v>16.956948890643876</c:v>
                </c:pt>
                <c:pt idx="122">
                  <c:v>16.857040000000008</c:v>
                </c:pt>
                <c:pt idx="123">
                  <c:v>16.856948890643885</c:v>
                </c:pt>
                <c:pt idx="124">
                  <c:v>16.856948890643874</c:v>
                </c:pt>
                <c:pt idx="125">
                  <c:v>16.856948890643881</c:v>
                </c:pt>
                <c:pt idx="126">
                  <c:v>16.856948890643878</c:v>
                </c:pt>
                <c:pt idx="127">
                  <c:v>16.856948890643874</c:v>
                </c:pt>
                <c:pt idx="128">
                  <c:v>16.756948890643887</c:v>
                </c:pt>
                <c:pt idx="129">
                  <c:v>16.756948890643873</c:v>
                </c:pt>
                <c:pt idx="130">
                  <c:v>16.756948890643873</c:v>
                </c:pt>
                <c:pt idx="131">
                  <c:v>16.756948890643873</c:v>
                </c:pt>
                <c:pt idx="132">
                  <c:v>16.756948890643873</c:v>
                </c:pt>
                <c:pt idx="133">
                  <c:v>16.756948890643866</c:v>
                </c:pt>
                <c:pt idx="134">
                  <c:v>16.756948890643866</c:v>
                </c:pt>
                <c:pt idx="135">
                  <c:v>16.756948890643866</c:v>
                </c:pt>
                <c:pt idx="136">
                  <c:v>16.656948890643886</c:v>
                </c:pt>
                <c:pt idx="137">
                  <c:v>16.656948890643886</c:v>
                </c:pt>
                <c:pt idx="138">
                  <c:v>16.55694889064387</c:v>
                </c:pt>
                <c:pt idx="139">
                  <c:v>16.55694889064387</c:v>
                </c:pt>
                <c:pt idx="140">
                  <c:v>16.556948890643874</c:v>
                </c:pt>
                <c:pt idx="141">
                  <c:v>16.457040000000017</c:v>
                </c:pt>
                <c:pt idx="142">
                  <c:v>16.456948890643876</c:v>
                </c:pt>
                <c:pt idx="143">
                  <c:v>16.456948890643876</c:v>
                </c:pt>
                <c:pt idx="144">
                  <c:v>16.456948890643876</c:v>
                </c:pt>
                <c:pt idx="145">
                  <c:v>16.357040000000016</c:v>
                </c:pt>
                <c:pt idx="146">
                  <c:v>16.356948890643871</c:v>
                </c:pt>
                <c:pt idx="147">
                  <c:v>16.356948890643871</c:v>
                </c:pt>
                <c:pt idx="148">
                  <c:v>16.25694889064388</c:v>
                </c:pt>
                <c:pt idx="149">
                  <c:v>16.25694889064388</c:v>
                </c:pt>
                <c:pt idx="150">
                  <c:v>16.156948890643879</c:v>
                </c:pt>
                <c:pt idx="151">
                  <c:v>16.056948890643888</c:v>
                </c:pt>
                <c:pt idx="152">
                  <c:v>15.957040000000015</c:v>
                </c:pt>
                <c:pt idx="153">
                  <c:v>15.957040000000017</c:v>
                </c:pt>
                <c:pt idx="154">
                  <c:v>15.956948890643879</c:v>
                </c:pt>
                <c:pt idx="155">
                  <c:v>15.956948890643877</c:v>
                </c:pt>
                <c:pt idx="156">
                  <c:v>15.856948890643871</c:v>
                </c:pt>
                <c:pt idx="157">
                  <c:v>15.856948890643871</c:v>
                </c:pt>
                <c:pt idx="158">
                  <c:v>15.756948890643866</c:v>
                </c:pt>
                <c:pt idx="159">
                  <c:v>15.756948890643875</c:v>
                </c:pt>
                <c:pt idx="160">
                  <c:v>15.656948890643863</c:v>
                </c:pt>
                <c:pt idx="161">
                  <c:v>15.656948890643868</c:v>
                </c:pt>
                <c:pt idx="162">
                  <c:v>15.556948890643881</c:v>
                </c:pt>
                <c:pt idx="163">
                  <c:v>15.456948890643876</c:v>
                </c:pt>
                <c:pt idx="164">
                  <c:v>15.456948890643876</c:v>
                </c:pt>
                <c:pt idx="165">
                  <c:v>15.456948890643879</c:v>
                </c:pt>
                <c:pt idx="166">
                  <c:v>15.456948890643886</c:v>
                </c:pt>
                <c:pt idx="167">
                  <c:v>15.285948890643862</c:v>
                </c:pt>
                <c:pt idx="168">
                  <c:v>15.257040000000014</c:v>
                </c:pt>
                <c:pt idx="169">
                  <c:v>15.256948890643882</c:v>
                </c:pt>
                <c:pt idx="170">
                  <c:v>15.256948890643869</c:v>
                </c:pt>
                <c:pt idx="171">
                  <c:v>15.056948890643866</c:v>
                </c:pt>
                <c:pt idx="172">
                  <c:v>14.856948890643885</c:v>
                </c:pt>
                <c:pt idx="173">
                  <c:v>14.756948890643866</c:v>
                </c:pt>
                <c:pt idx="174">
                  <c:v>14.656948890643875</c:v>
                </c:pt>
                <c:pt idx="175">
                  <c:v>14.656948890643864</c:v>
                </c:pt>
                <c:pt idx="176">
                  <c:v>14.556948890643877</c:v>
                </c:pt>
                <c:pt idx="177">
                  <c:v>14.457040000000001</c:v>
                </c:pt>
                <c:pt idx="178">
                  <c:v>14.456948890643867</c:v>
                </c:pt>
                <c:pt idx="179">
                  <c:v>14.456948890643867</c:v>
                </c:pt>
                <c:pt idx="180">
                  <c:v>14.456948890643867</c:v>
                </c:pt>
                <c:pt idx="181">
                  <c:v>14.356948890643867</c:v>
                </c:pt>
                <c:pt idx="182">
                  <c:v>14.256948890643883</c:v>
                </c:pt>
                <c:pt idx="183">
                  <c:v>14.256948890643876</c:v>
                </c:pt>
                <c:pt idx="184">
                  <c:v>14.256948890643876</c:v>
                </c:pt>
                <c:pt idx="185">
                  <c:v>14.256948890643876</c:v>
                </c:pt>
                <c:pt idx="186">
                  <c:v>14.156948890643884</c:v>
                </c:pt>
                <c:pt idx="187">
                  <c:v>14.156948890643884</c:v>
                </c:pt>
                <c:pt idx="188">
                  <c:v>13.956948890643883</c:v>
                </c:pt>
                <c:pt idx="189">
                  <c:v>13.956948890643877</c:v>
                </c:pt>
                <c:pt idx="190">
                  <c:v>13.856948890643887</c:v>
                </c:pt>
                <c:pt idx="191">
                  <c:v>13.656948890643886</c:v>
                </c:pt>
                <c:pt idx="192">
                  <c:v>13.556948890643872</c:v>
                </c:pt>
                <c:pt idx="193">
                  <c:v>13.45694889064387</c:v>
                </c:pt>
                <c:pt idx="194">
                  <c:v>13.256948890643875</c:v>
                </c:pt>
                <c:pt idx="195">
                  <c:v>13.156948890643877</c:v>
                </c:pt>
                <c:pt idx="196">
                  <c:v>13.156948890643868</c:v>
                </c:pt>
                <c:pt idx="197">
                  <c:v>12.956948890643865</c:v>
                </c:pt>
                <c:pt idx="198">
                  <c:v>12.656948890643875</c:v>
                </c:pt>
                <c:pt idx="199">
                  <c:v>11.885948890643892</c:v>
                </c:pt>
              </c:numCache>
            </c:numRef>
          </c:yVal>
          <c:smooth val="0"/>
          <c:extLst>
            <c:ext xmlns:c16="http://schemas.microsoft.com/office/drawing/2014/chart" uri="{C3380CC4-5D6E-409C-BE32-E72D297353CC}">
              <c16:uniqueId val="{0000000F-D2D8-446C-A860-130A78521FB3}"/>
            </c:ext>
          </c:extLst>
        </c:ser>
        <c:dLbls>
          <c:showLegendKey val="0"/>
          <c:showVal val="0"/>
          <c:showCatName val="0"/>
          <c:showSerName val="0"/>
          <c:showPercent val="0"/>
          <c:showBubbleSize val="0"/>
        </c:dLbls>
        <c:axId val="209418544"/>
        <c:axId val="209419024"/>
      </c:scatterChart>
      <c:valAx>
        <c:axId val="2094185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419024"/>
        <c:crosses val="autoZero"/>
        <c:crossBetween val="midCat"/>
      </c:valAx>
      <c:valAx>
        <c:axId val="209419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4185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0574269906584804E-2"/>
          <c:y val="2.9140491731457174E-2"/>
          <c:w val="0.98677545494626162"/>
          <c:h val="0.92941949186267547"/>
        </c:manualLayout>
      </c:layout>
      <c:barChart>
        <c:barDir val="col"/>
        <c:grouping val="clustered"/>
        <c:varyColors val="0"/>
        <c:ser>
          <c:idx val="2"/>
          <c:order val="0"/>
          <c:tx>
            <c:v>Design</c:v>
          </c:tx>
          <c:spPr>
            <a:solidFill>
              <a:schemeClr val="tx1"/>
            </a:solidFill>
            <a:ln>
              <a:noFill/>
            </a:ln>
            <a:effectLst/>
          </c:spPr>
          <c:invertIfNegative val="0"/>
          <c:val>
            <c:numRef>
              <c:f>'Summary 05_combined'!$L$20:$L$219</c:f>
              <c:numCache>
                <c:formatCode>General</c:formatCode>
                <c:ptCount val="200"/>
                <c:pt idx="0">
                  <c:v>28.4</c:v>
                </c:pt>
                <c:pt idx="1">
                  <c:v>27.8</c:v>
                </c:pt>
                <c:pt idx="2">
                  <c:v>27.2</c:v>
                </c:pt>
                <c:pt idx="3">
                  <c:v>27.4</c:v>
                </c:pt>
                <c:pt idx="4">
                  <c:v>29.6</c:v>
                </c:pt>
                <c:pt idx="5">
                  <c:v>28.4</c:v>
                </c:pt>
                <c:pt idx="6">
                  <c:v>28.9</c:v>
                </c:pt>
                <c:pt idx="7">
                  <c:v>30.7</c:v>
                </c:pt>
                <c:pt idx="8">
                  <c:v>30.2</c:v>
                </c:pt>
                <c:pt idx="9">
                  <c:v>28.2</c:v>
                </c:pt>
                <c:pt idx="10">
                  <c:v>27.7</c:v>
                </c:pt>
                <c:pt idx="11">
                  <c:v>28.6</c:v>
                </c:pt>
                <c:pt idx="12">
                  <c:v>29.2</c:v>
                </c:pt>
                <c:pt idx="13">
                  <c:v>30.5</c:v>
                </c:pt>
                <c:pt idx="14">
                  <c:v>31.8</c:v>
                </c:pt>
                <c:pt idx="15">
                  <c:v>33.5</c:v>
                </c:pt>
                <c:pt idx="16">
                  <c:v>31.8</c:v>
                </c:pt>
                <c:pt idx="17">
                  <c:v>29.1</c:v>
                </c:pt>
                <c:pt idx="18">
                  <c:v>29.8</c:v>
                </c:pt>
                <c:pt idx="19">
                  <c:v>32.200000000000003</c:v>
                </c:pt>
                <c:pt idx="20">
                  <c:v>28.4</c:v>
                </c:pt>
                <c:pt idx="21">
                  <c:v>30.7</c:v>
                </c:pt>
                <c:pt idx="22">
                  <c:v>27.6</c:v>
                </c:pt>
                <c:pt idx="23">
                  <c:v>29.4</c:v>
                </c:pt>
                <c:pt idx="24">
                  <c:v>29.2</c:v>
                </c:pt>
                <c:pt idx="25">
                  <c:v>30.8</c:v>
                </c:pt>
                <c:pt idx="26">
                  <c:v>31.2</c:v>
                </c:pt>
                <c:pt idx="27">
                  <c:v>28.3</c:v>
                </c:pt>
                <c:pt idx="28">
                  <c:v>31.8</c:v>
                </c:pt>
                <c:pt idx="29">
                  <c:v>28.8</c:v>
                </c:pt>
                <c:pt idx="30">
                  <c:v>28.9</c:v>
                </c:pt>
                <c:pt idx="31">
                  <c:v>27.5</c:v>
                </c:pt>
                <c:pt idx="32">
                  <c:v>32.700000000000003</c:v>
                </c:pt>
                <c:pt idx="33">
                  <c:v>31.1</c:v>
                </c:pt>
                <c:pt idx="34">
                  <c:v>29.6</c:v>
                </c:pt>
                <c:pt idx="35">
                  <c:v>28.9</c:v>
                </c:pt>
                <c:pt idx="36">
                  <c:v>30.4</c:v>
                </c:pt>
                <c:pt idx="37">
                  <c:v>29</c:v>
                </c:pt>
                <c:pt idx="38">
                  <c:v>29.3</c:v>
                </c:pt>
                <c:pt idx="39">
                  <c:v>30.7</c:v>
                </c:pt>
                <c:pt idx="40">
                  <c:v>30.2</c:v>
                </c:pt>
                <c:pt idx="41">
                  <c:v>29.9</c:v>
                </c:pt>
                <c:pt idx="42">
                  <c:v>28.6</c:v>
                </c:pt>
                <c:pt idx="43">
                  <c:v>29.9</c:v>
                </c:pt>
                <c:pt idx="44">
                  <c:v>25.5</c:v>
                </c:pt>
                <c:pt idx="45">
                  <c:v>30.5</c:v>
                </c:pt>
                <c:pt idx="46">
                  <c:v>34.1</c:v>
                </c:pt>
                <c:pt idx="47">
                  <c:v>31</c:v>
                </c:pt>
                <c:pt idx="48">
                  <c:v>28.2</c:v>
                </c:pt>
                <c:pt idx="49">
                  <c:v>29.9</c:v>
                </c:pt>
                <c:pt idx="50">
                  <c:v>29.1</c:v>
                </c:pt>
                <c:pt idx="51">
                  <c:v>26.3</c:v>
                </c:pt>
                <c:pt idx="52">
                  <c:v>29.5</c:v>
                </c:pt>
                <c:pt idx="53">
                  <c:v>29.6</c:v>
                </c:pt>
                <c:pt idx="54">
                  <c:v>27.9</c:v>
                </c:pt>
                <c:pt idx="55">
                  <c:v>29.1</c:v>
                </c:pt>
                <c:pt idx="56">
                  <c:v>29.3</c:v>
                </c:pt>
                <c:pt idx="57">
                  <c:v>26.2</c:v>
                </c:pt>
                <c:pt idx="58">
                  <c:v>29.2</c:v>
                </c:pt>
                <c:pt idx="59">
                  <c:v>32.1</c:v>
                </c:pt>
                <c:pt idx="60">
                  <c:v>29.9</c:v>
                </c:pt>
                <c:pt idx="61">
                  <c:v>28.9</c:v>
                </c:pt>
                <c:pt idx="62">
                  <c:v>28.8</c:v>
                </c:pt>
                <c:pt idx="63">
                  <c:v>31</c:v>
                </c:pt>
                <c:pt idx="64">
                  <c:v>29.1</c:v>
                </c:pt>
                <c:pt idx="65">
                  <c:v>29.7</c:v>
                </c:pt>
                <c:pt idx="66">
                  <c:v>28.8</c:v>
                </c:pt>
                <c:pt idx="67">
                  <c:v>29.8</c:v>
                </c:pt>
                <c:pt idx="68">
                  <c:v>30</c:v>
                </c:pt>
                <c:pt idx="69">
                  <c:v>30.1</c:v>
                </c:pt>
                <c:pt idx="70">
                  <c:v>25.9</c:v>
                </c:pt>
                <c:pt idx="71">
                  <c:v>27.6</c:v>
                </c:pt>
                <c:pt idx="72">
                  <c:v>30</c:v>
                </c:pt>
                <c:pt idx="73">
                  <c:v>31.3</c:v>
                </c:pt>
                <c:pt idx="74">
                  <c:v>28.6</c:v>
                </c:pt>
                <c:pt idx="75">
                  <c:v>29</c:v>
                </c:pt>
                <c:pt idx="76">
                  <c:v>31.8</c:v>
                </c:pt>
                <c:pt idx="77">
                  <c:v>29.9</c:v>
                </c:pt>
                <c:pt idx="78">
                  <c:v>28.5</c:v>
                </c:pt>
                <c:pt idx="79">
                  <c:v>28.6</c:v>
                </c:pt>
                <c:pt idx="80">
                  <c:v>29.6</c:v>
                </c:pt>
                <c:pt idx="81">
                  <c:v>31.9</c:v>
                </c:pt>
                <c:pt idx="82">
                  <c:v>26.5</c:v>
                </c:pt>
                <c:pt idx="83">
                  <c:v>25.6</c:v>
                </c:pt>
                <c:pt idx="84">
                  <c:v>27.9</c:v>
                </c:pt>
                <c:pt idx="85">
                  <c:v>23.529</c:v>
                </c:pt>
                <c:pt idx="86">
                  <c:v>31.8</c:v>
                </c:pt>
                <c:pt idx="87">
                  <c:v>28.4</c:v>
                </c:pt>
                <c:pt idx="88">
                  <c:v>29</c:v>
                </c:pt>
                <c:pt idx="89">
                  <c:v>29.5</c:v>
                </c:pt>
                <c:pt idx="90">
                  <c:v>29.8</c:v>
                </c:pt>
                <c:pt idx="91">
                  <c:v>28.5</c:v>
                </c:pt>
                <c:pt idx="92">
                  <c:v>33.799999999999997</c:v>
                </c:pt>
                <c:pt idx="93">
                  <c:v>29.4</c:v>
                </c:pt>
                <c:pt idx="94">
                  <c:v>32.700000000000003</c:v>
                </c:pt>
                <c:pt idx="95">
                  <c:v>26.7</c:v>
                </c:pt>
                <c:pt idx="96">
                  <c:v>28.5</c:v>
                </c:pt>
                <c:pt idx="97">
                  <c:v>27.4</c:v>
                </c:pt>
                <c:pt idx="98">
                  <c:v>28.9</c:v>
                </c:pt>
                <c:pt idx="99">
                  <c:v>29.3</c:v>
                </c:pt>
                <c:pt idx="100">
                  <c:v>27.1</c:v>
                </c:pt>
                <c:pt idx="101">
                  <c:v>29</c:v>
                </c:pt>
                <c:pt idx="102">
                  <c:v>29.1</c:v>
                </c:pt>
                <c:pt idx="103">
                  <c:v>29.5</c:v>
                </c:pt>
                <c:pt idx="104">
                  <c:v>29.5</c:v>
                </c:pt>
                <c:pt idx="105">
                  <c:v>29.4</c:v>
                </c:pt>
                <c:pt idx="106">
                  <c:v>28</c:v>
                </c:pt>
                <c:pt idx="107">
                  <c:v>25.3</c:v>
                </c:pt>
                <c:pt idx="108">
                  <c:v>24.3</c:v>
                </c:pt>
                <c:pt idx="109">
                  <c:v>33.200000000000003</c:v>
                </c:pt>
                <c:pt idx="110">
                  <c:v>28.1</c:v>
                </c:pt>
                <c:pt idx="111">
                  <c:v>30.8</c:v>
                </c:pt>
                <c:pt idx="112">
                  <c:v>28.1</c:v>
                </c:pt>
                <c:pt idx="113">
                  <c:v>28.5</c:v>
                </c:pt>
                <c:pt idx="114">
                  <c:v>28.5</c:v>
                </c:pt>
                <c:pt idx="115">
                  <c:v>29.2</c:v>
                </c:pt>
                <c:pt idx="116">
                  <c:v>28.4</c:v>
                </c:pt>
                <c:pt idx="117">
                  <c:v>32</c:v>
                </c:pt>
                <c:pt idx="118">
                  <c:v>29.1</c:v>
                </c:pt>
                <c:pt idx="119">
                  <c:v>24.9</c:v>
                </c:pt>
                <c:pt idx="120">
                  <c:v>29.7</c:v>
                </c:pt>
                <c:pt idx="121">
                  <c:v>30.4</c:v>
                </c:pt>
                <c:pt idx="122">
                  <c:v>30.5</c:v>
                </c:pt>
                <c:pt idx="123">
                  <c:v>33</c:v>
                </c:pt>
                <c:pt idx="124">
                  <c:v>30.7</c:v>
                </c:pt>
                <c:pt idx="125">
                  <c:v>29.9</c:v>
                </c:pt>
                <c:pt idx="126">
                  <c:v>28.7</c:v>
                </c:pt>
                <c:pt idx="127">
                  <c:v>30.2</c:v>
                </c:pt>
                <c:pt idx="128">
                  <c:v>30.1</c:v>
                </c:pt>
                <c:pt idx="129">
                  <c:v>30.3</c:v>
                </c:pt>
                <c:pt idx="130">
                  <c:v>26.3</c:v>
                </c:pt>
                <c:pt idx="131">
                  <c:v>25.9</c:v>
                </c:pt>
                <c:pt idx="132">
                  <c:v>25.1</c:v>
                </c:pt>
                <c:pt idx="133">
                  <c:v>27.3</c:v>
                </c:pt>
                <c:pt idx="134">
                  <c:v>25.9</c:v>
                </c:pt>
                <c:pt idx="135">
                  <c:v>28.1</c:v>
                </c:pt>
                <c:pt idx="136">
                  <c:v>33.6</c:v>
                </c:pt>
                <c:pt idx="137">
                  <c:v>30</c:v>
                </c:pt>
                <c:pt idx="138">
                  <c:v>26.9</c:v>
                </c:pt>
                <c:pt idx="139">
                  <c:v>31.3</c:v>
                </c:pt>
                <c:pt idx="140">
                  <c:v>29</c:v>
                </c:pt>
                <c:pt idx="141">
                  <c:v>34.5</c:v>
                </c:pt>
                <c:pt idx="142">
                  <c:v>33</c:v>
                </c:pt>
                <c:pt idx="143">
                  <c:v>28.4</c:v>
                </c:pt>
                <c:pt idx="144">
                  <c:v>26.4</c:v>
                </c:pt>
                <c:pt idx="145">
                  <c:v>28.3</c:v>
                </c:pt>
                <c:pt idx="146">
                  <c:v>25.8</c:v>
                </c:pt>
                <c:pt idx="147">
                  <c:v>28.4</c:v>
                </c:pt>
                <c:pt idx="148">
                  <c:v>32.299999999999997</c:v>
                </c:pt>
                <c:pt idx="149">
                  <c:v>27.6</c:v>
                </c:pt>
                <c:pt idx="150">
                  <c:v>30.2</c:v>
                </c:pt>
                <c:pt idx="151">
                  <c:v>30.9</c:v>
                </c:pt>
                <c:pt idx="152">
                  <c:v>26.1</c:v>
                </c:pt>
                <c:pt idx="153">
                  <c:v>28.1</c:v>
                </c:pt>
                <c:pt idx="154">
                  <c:v>24.8</c:v>
                </c:pt>
                <c:pt idx="155">
                  <c:v>30.9</c:v>
                </c:pt>
                <c:pt idx="156">
                  <c:v>24.8</c:v>
                </c:pt>
                <c:pt idx="157">
                  <c:v>26.928999999999998</c:v>
                </c:pt>
                <c:pt idx="158">
                  <c:v>27.1</c:v>
                </c:pt>
                <c:pt idx="159">
                  <c:v>25.9</c:v>
                </c:pt>
                <c:pt idx="160">
                  <c:v>28</c:v>
                </c:pt>
                <c:pt idx="161">
                  <c:v>28.2</c:v>
                </c:pt>
                <c:pt idx="162">
                  <c:v>31.2</c:v>
                </c:pt>
                <c:pt idx="163">
                  <c:v>30.7</c:v>
                </c:pt>
                <c:pt idx="164">
                  <c:v>33</c:v>
                </c:pt>
                <c:pt idx="165">
                  <c:v>28</c:v>
                </c:pt>
                <c:pt idx="166">
                  <c:v>25.6</c:v>
                </c:pt>
                <c:pt idx="167">
                  <c:v>26.9</c:v>
                </c:pt>
                <c:pt idx="168">
                  <c:v>26.1</c:v>
                </c:pt>
                <c:pt idx="169">
                  <c:v>26</c:v>
                </c:pt>
                <c:pt idx="170">
                  <c:v>28.4</c:v>
                </c:pt>
                <c:pt idx="171">
                  <c:v>25.2</c:v>
                </c:pt>
                <c:pt idx="172">
                  <c:v>34.4</c:v>
                </c:pt>
                <c:pt idx="173">
                  <c:v>27.1</c:v>
                </c:pt>
                <c:pt idx="174">
                  <c:v>32.200000000000003</c:v>
                </c:pt>
                <c:pt idx="175">
                  <c:v>31.7</c:v>
                </c:pt>
                <c:pt idx="176">
                  <c:v>33.799999999999997</c:v>
                </c:pt>
                <c:pt idx="177">
                  <c:v>33.799999999999997</c:v>
                </c:pt>
                <c:pt idx="178">
                  <c:v>30.5</c:v>
                </c:pt>
                <c:pt idx="179">
                  <c:v>25.8</c:v>
                </c:pt>
                <c:pt idx="180">
                  <c:v>27.6</c:v>
                </c:pt>
                <c:pt idx="181">
                  <c:v>24.6</c:v>
                </c:pt>
                <c:pt idx="182">
                  <c:v>28.5</c:v>
                </c:pt>
                <c:pt idx="183">
                  <c:v>26.9</c:v>
                </c:pt>
                <c:pt idx="184">
                  <c:v>28.7</c:v>
                </c:pt>
                <c:pt idx="185">
                  <c:v>29.5</c:v>
                </c:pt>
                <c:pt idx="186">
                  <c:v>27.3</c:v>
                </c:pt>
                <c:pt idx="187">
                  <c:v>29</c:v>
                </c:pt>
                <c:pt idx="188">
                  <c:v>27.1</c:v>
                </c:pt>
                <c:pt idx="189">
                  <c:v>27.5</c:v>
                </c:pt>
                <c:pt idx="190">
                  <c:v>26.1</c:v>
                </c:pt>
                <c:pt idx="191">
                  <c:v>30.4</c:v>
                </c:pt>
                <c:pt idx="192">
                  <c:v>26.1</c:v>
                </c:pt>
                <c:pt idx="193">
                  <c:v>31.5</c:v>
                </c:pt>
                <c:pt idx="194">
                  <c:v>30.5</c:v>
                </c:pt>
                <c:pt idx="195">
                  <c:v>29.2</c:v>
                </c:pt>
                <c:pt idx="196">
                  <c:v>31.6</c:v>
                </c:pt>
                <c:pt idx="197">
                  <c:v>34.9</c:v>
                </c:pt>
                <c:pt idx="198">
                  <c:v>32.9</c:v>
                </c:pt>
                <c:pt idx="199">
                  <c:v>30.1</c:v>
                </c:pt>
              </c:numCache>
            </c:numRef>
          </c:val>
          <c:extLst>
            <c:ext xmlns:c16="http://schemas.microsoft.com/office/drawing/2014/chart" uri="{C3380CC4-5D6E-409C-BE32-E72D297353CC}">
              <c16:uniqueId val="{00000000-C622-4A7C-9BC3-D329F98F8ACF}"/>
            </c:ext>
          </c:extLst>
        </c:ser>
        <c:ser>
          <c:idx val="0"/>
          <c:order val="1"/>
          <c:tx>
            <c:strRef>
              <c:f>'Summary 05_combined'!$AF$18</c:f>
              <c:strCache>
                <c:ptCount val="1"/>
                <c:pt idx="0">
                  <c:v>Lmin_Hs2_5</c:v>
                </c:pt>
              </c:strCache>
            </c:strRef>
          </c:tx>
          <c:spPr>
            <a:solidFill>
              <a:schemeClr val="accent1"/>
            </a:solidFill>
            <a:ln>
              <a:noFill/>
            </a:ln>
            <a:effectLst/>
          </c:spPr>
          <c:invertIfNegative val="0"/>
          <c:cat>
            <c:strRef>
              <c:f>'Summary 05_combined'!$A$20:$A$219</c:f>
              <c:strCache>
                <c:ptCount val="200"/>
                <c:pt idx="0">
                  <c:v>A01</c:v>
                </c:pt>
                <c:pt idx="1">
                  <c:v>A02</c:v>
                </c:pt>
                <c:pt idx="2">
                  <c:v>A03</c:v>
                </c:pt>
                <c:pt idx="3">
                  <c:v>A04</c:v>
                </c:pt>
                <c:pt idx="4">
                  <c:v>A06</c:v>
                </c:pt>
                <c:pt idx="5">
                  <c:v>A07</c:v>
                </c:pt>
                <c:pt idx="6">
                  <c:v>A08</c:v>
                </c:pt>
                <c:pt idx="7">
                  <c:v>A09</c:v>
                </c:pt>
                <c:pt idx="8">
                  <c:v>A10</c:v>
                </c:pt>
                <c:pt idx="9">
                  <c:v>A11</c:v>
                </c:pt>
                <c:pt idx="10">
                  <c:v>A12</c:v>
                </c:pt>
                <c:pt idx="11">
                  <c:v>A13</c:v>
                </c:pt>
                <c:pt idx="12">
                  <c:v>A14</c:v>
                </c:pt>
                <c:pt idx="13">
                  <c:v>A15</c:v>
                </c:pt>
                <c:pt idx="14">
                  <c:v>A16</c:v>
                </c:pt>
                <c:pt idx="15">
                  <c:v>A17</c:v>
                </c:pt>
                <c:pt idx="16">
                  <c:v>A19</c:v>
                </c:pt>
                <c:pt idx="17">
                  <c:v>A21</c:v>
                </c:pt>
                <c:pt idx="18">
                  <c:v>A22</c:v>
                </c:pt>
                <c:pt idx="19">
                  <c:v>A23</c:v>
                </c:pt>
                <c:pt idx="20">
                  <c:v>A24</c:v>
                </c:pt>
                <c:pt idx="21">
                  <c:v>B01</c:v>
                </c:pt>
                <c:pt idx="22">
                  <c:v>B03</c:v>
                </c:pt>
                <c:pt idx="23">
                  <c:v>B05</c:v>
                </c:pt>
                <c:pt idx="24">
                  <c:v>B07</c:v>
                </c:pt>
                <c:pt idx="25">
                  <c:v>B17</c:v>
                </c:pt>
                <c:pt idx="26">
                  <c:v>B19</c:v>
                </c:pt>
                <c:pt idx="27">
                  <c:v>B21</c:v>
                </c:pt>
                <c:pt idx="28">
                  <c:v>B22</c:v>
                </c:pt>
                <c:pt idx="29">
                  <c:v>B23</c:v>
                </c:pt>
                <c:pt idx="30">
                  <c:v>B24</c:v>
                </c:pt>
                <c:pt idx="31">
                  <c:v>C01</c:v>
                </c:pt>
                <c:pt idx="32">
                  <c:v>C03</c:v>
                </c:pt>
                <c:pt idx="33">
                  <c:v>C05</c:v>
                </c:pt>
                <c:pt idx="34">
                  <c:v>C07</c:v>
                </c:pt>
                <c:pt idx="35">
                  <c:v>C09</c:v>
                </c:pt>
                <c:pt idx="36">
                  <c:v>C11</c:v>
                </c:pt>
                <c:pt idx="37">
                  <c:v>C13</c:v>
                </c:pt>
                <c:pt idx="38">
                  <c:v>C15</c:v>
                </c:pt>
                <c:pt idx="39">
                  <c:v>C17</c:v>
                </c:pt>
                <c:pt idx="40">
                  <c:v>C19</c:v>
                </c:pt>
                <c:pt idx="41">
                  <c:v>C21</c:v>
                </c:pt>
                <c:pt idx="42">
                  <c:v>C22</c:v>
                </c:pt>
                <c:pt idx="43">
                  <c:v>C23</c:v>
                </c:pt>
                <c:pt idx="44">
                  <c:v>C24</c:v>
                </c:pt>
                <c:pt idx="45">
                  <c:v>D01</c:v>
                </c:pt>
                <c:pt idx="46">
                  <c:v>D05</c:v>
                </c:pt>
                <c:pt idx="47">
                  <c:v>D07</c:v>
                </c:pt>
                <c:pt idx="48">
                  <c:v>D09</c:v>
                </c:pt>
                <c:pt idx="49">
                  <c:v>D11</c:v>
                </c:pt>
                <c:pt idx="50">
                  <c:v>D13</c:v>
                </c:pt>
                <c:pt idx="51">
                  <c:v>D15</c:v>
                </c:pt>
                <c:pt idx="52">
                  <c:v>D17</c:v>
                </c:pt>
                <c:pt idx="53">
                  <c:v>D19</c:v>
                </c:pt>
                <c:pt idx="54">
                  <c:v>D21</c:v>
                </c:pt>
                <c:pt idx="55">
                  <c:v>D22</c:v>
                </c:pt>
                <c:pt idx="56">
                  <c:v>D23</c:v>
                </c:pt>
                <c:pt idx="57">
                  <c:v>E01</c:v>
                </c:pt>
                <c:pt idx="58">
                  <c:v>E03</c:v>
                </c:pt>
                <c:pt idx="59">
                  <c:v>E05</c:v>
                </c:pt>
                <c:pt idx="60">
                  <c:v>E07</c:v>
                </c:pt>
                <c:pt idx="61">
                  <c:v>E09</c:v>
                </c:pt>
                <c:pt idx="62">
                  <c:v>E11</c:v>
                </c:pt>
                <c:pt idx="63">
                  <c:v>E13</c:v>
                </c:pt>
                <c:pt idx="64">
                  <c:v>E15</c:v>
                </c:pt>
                <c:pt idx="65">
                  <c:v>E17</c:v>
                </c:pt>
                <c:pt idx="66">
                  <c:v>E19</c:v>
                </c:pt>
                <c:pt idx="67">
                  <c:v>E21</c:v>
                </c:pt>
                <c:pt idx="68">
                  <c:v>E22</c:v>
                </c:pt>
                <c:pt idx="69">
                  <c:v>E23</c:v>
                </c:pt>
                <c:pt idx="70">
                  <c:v>F01</c:v>
                </c:pt>
                <c:pt idx="71">
                  <c:v>F03</c:v>
                </c:pt>
                <c:pt idx="72">
                  <c:v>F05</c:v>
                </c:pt>
                <c:pt idx="73">
                  <c:v>F07</c:v>
                </c:pt>
                <c:pt idx="74">
                  <c:v>F09</c:v>
                </c:pt>
                <c:pt idx="75">
                  <c:v>F11</c:v>
                </c:pt>
                <c:pt idx="76">
                  <c:v>F13</c:v>
                </c:pt>
                <c:pt idx="77">
                  <c:v>F15</c:v>
                </c:pt>
                <c:pt idx="78">
                  <c:v>F17</c:v>
                </c:pt>
                <c:pt idx="79">
                  <c:v>F19</c:v>
                </c:pt>
                <c:pt idx="80">
                  <c:v>F21</c:v>
                </c:pt>
                <c:pt idx="81">
                  <c:v>F22</c:v>
                </c:pt>
                <c:pt idx="82">
                  <c:v>F23</c:v>
                </c:pt>
                <c:pt idx="83">
                  <c:v>G01</c:v>
                </c:pt>
                <c:pt idx="84">
                  <c:v>G03</c:v>
                </c:pt>
                <c:pt idx="85">
                  <c:v>G05</c:v>
                </c:pt>
                <c:pt idx="86">
                  <c:v>G07</c:v>
                </c:pt>
                <c:pt idx="87">
                  <c:v>G09</c:v>
                </c:pt>
                <c:pt idx="88">
                  <c:v>G11</c:v>
                </c:pt>
                <c:pt idx="89">
                  <c:v>G13</c:v>
                </c:pt>
                <c:pt idx="90">
                  <c:v>G15</c:v>
                </c:pt>
                <c:pt idx="91">
                  <c:v>G17</c:v>
                </c:pt>
                <c:pt idx="92">
                  <c:v>G19</c:v>
                </c:pt>
                <c:pt idx="93">
                  <c:v>G21</c:v>
                </c:pt>
                <c:pt idx="94">
                  <c:v>G22</c:v>
                </c:pt>
                <c:pt idx="95">
                  <c:v>H01</c:v>
                </c:pt>
                <c:pt idx="96">
                  <c:v>H03</c:v>
                </c:pt>
                <c:pt idx="97">
                  <c:v>H05</c:v>
                </c:pt>
                <c:pt idx="98">
                  <c:v>H07</c:v>
                </c:pt>
                <c:pt idx="99">
                  <c:v>H09</c:v>
                </c:pt>
                <c:pt idx="100">
                  <c:v>H11</c:v>
                </c:pt>
                <c:pt idx="101">
                  <c:v>H13</c:v>
                </c:pt>
                <c:pt idx="102">
                  <c:v>H15</c:v>
                </c:pt>
                <c:pt idx="103">
                  <c:v>H17</c:v>
                </c:pt>
                <c:pt idx="104">
                  <c:v>H19</c:v>
                </c:pt>
                <c:pt idx="105">
                  <c:v>H21</c:v>
                </c:pt>
                <c:pt idx="106">
                  <c:v>H22</c:v>
                </c:pt>
                <c:pt idx="107">
                  <c:v>J01</c:v>
                </c:pt>
                <c:pt idx="108">
                  <c:v>J03</c:v>
                </c:pt>
                <c:pt idx="109">
                  <c:v>J05</c:v>
                </c:pt>
                <c:pt idx="110">
                  <c:v>J07</c:v>
                </c:pt>
                <c:pt idx="111">
                  <c:v>J09</c:v>
                </c:pt>
                <c:pt idx="112">
                  <c:v>J11</c:v>
                </c:pt>
                <c:pt idx="113">
                  <c:v>J13</c:v>
                </c:pt>
                <c:pt idx="114">
                  <c:v>J15</c:v>
                </c:pt>
                <c:pt idx="115">
                  <c:v>J17</c:v>
                </c:pt>
                <c:pt idx="116">
                  <c:v>J19</c:v>
                </c:pt>
                <c:pt idx="117">
                  <c:v>J21</c:v>
                </c:pt>
                <c:pt idx="118">
                  <c:v>J22</c:v>
                </c:pt>
                <c:pt idx="119">
                  <c:v>K01</c:v>
                </c:pt>
                <c:pt idx="120">
                  <c:v>K03</c:v>
                </c:pt>
                <c:pt idx="121">
                  <c:v>K05</c:v>
                </c:pt>
                <c:pt idx="122">
                  <c:v>K07</c:v>
                </c:pt>
                <c:pt idx="123">
                  <c:v>K09</c:v>
                </c:pt>
                <c:pt idx="124">
                  <c:v>K11</c:v>
                </c:pt>
                <c:pt idx="125">
                  <c:v>K13</c:v>
                </c:pt>
                <c:pt idx="126">
                  <c:v>K15</c:v>
                </c:pt>
                <c:pt idx="127">
                  <c:v>K17</c:v>
                </c:pt>
                <c:pt idx="128">
                  <c:v>K19</c:v>
                </c:pt>
                <c:pt idx="129">
                  <c:v>K21</c:v>
                </c:pt>
                <c:pt idx="130">
                  <c:v>L01</c:v>
                </c:pt>
                <c:pt idx="131">
                  <c:v>L03</c:v>
                </c:pt>
                <c:pt idx="132">
                  <c:v>L05</c:v>
                </c:pt>
                <c:pt idx="133">
                  <c:v>L07</c:v>
                </c:pt>
                <c:pt idx="134">
                  <c:v>L09</c:v>
                </c:pt>
                <c:pt idx="135">
                  <c:v>L11</c:v>
                </c:pt>
                <c:pt idx="136">
                  <c:v>L13</c:v>
                </c:pt>
                <c:pt idx="137">
                  <c:v>L15</c:v>
                </c:pt>
                <c:pt idx="138">
                  <c:v>L17</c:v>
                </c:pt>
                <c:pt idx="139">
                  <c:v>L19</c:v>
                </c:pt>
                <c:pt idx="140">
                  <c:v>L21</c:v>
                </c:pt>
                <c:pt idx="141">
                  <c:v>M01</c:v>
                </c:pt>
                <c:pt idx="142">
                  <c:v>M03</c:v>
                </c:pt>
                <c:pt idx="143">
                  <c:v>M05</c:v>
                </c:pt>
                <c:pt idx="144">
                  <c:v>M07</c:v>
                </c:pt>
                <c:pt idx="145">
                  <c:v>M09</c:v>
                </c:pt>
                <c:pt idx="146">
                  <c:v>M11</c:v>
                </c:pt>
                <c:pt idx="147">
                  <c:v>M13</c:v>
                </c:pt>
                <c:pt idx="148">
                  <c:v>M15</c:v>
                </c:pt>
                <c:pt idx="149">
                  <c:v>M17</c:v>
                </c:pt>
                <c:pt idx="150">
                  <c:v>M19</c:v>
                </c:pt>
                <c:pt idx="151">
                  <c:v>N01</c:v>
                </c:pt>
                <c:pt idx="152">
                  <c:v>N03</c:v>
                </c:pt>
                <c:pt idx="153">
                  <c:v>N05</c:v>
                </c:pt>
                <c:pt idx="154">
                  <c:v>N07</c:v>
                </c:pt>
                <c:pt idx="155">
                  <c:v>N09</c:v>
                </c:pt>
                <c:pt idx="156">
                  <c:v>N11</c:v>
                </c:pt>
                <c:pt idx="157">
                  <c:v>N13</c:v>
                </c:pt>
                <c:pt idx="158">
                  <c:v>N15</c:v>
                </c:pt>
                <c:pt idx="159">
                  <c:v>N17</c:v>
                </c:pt>
                <c:pt idx="160">
                  <c:v>N19</c:v>
                </c:pt>
                <c:pt idx="161">
                  <c:v>P01</c:v>
                </c:pt>
                <c:pt idx="162">
                  <c:v>P03</c:v>
                </c:pt>
                <c:pt idx="163">
                  <c:v>P04</c:v>
                </c:pt>
                <c:pt idx="164">
                  <c:v>P05</c:v>
                </c:pt>
                <c:pt idx="165">
                  <c:v>P07</c:v>
                </c:pt>
                <c:pt idx="166">
                  <c:v>P09</c:v>
                </c:pt>
                <c:pt idx="167">
                  <c:v>P11</c:v>
                </c:pt>
                <c:pt idx="168">
                  <c:v>P13</c:v>
                </c:pt>
                <c:pt idx="169">
                  <c:v>P15</c:v>
                </c:pt>
                <c:pt idx="170">
                  <c:v>P17</c:v>
                </c:pt>
                <c:pt idx="171">
                  <c:v>P19</c:v>
                </c:pt>
                <c:pt idx="172">
                  <c:v>P20</c:v>
                </c:pt>
                <c:pt idx="173">
                  <c:v>Q01</c:v>
                </c:pt>
                <c:pt idx="174">
                  <c:v>Q05</c:v>
                </c:pt>
                <c:pt idx="175">
                  <c:v>Q06</c:v>
                </c:pt>
                <c:pt idx="176">
                  <c:v>Q07</c:v>
                </c:pt>
                <c:pt idx="177">
                  <c:v>Q08</c:v>
                </c:pt>
                <c:pt idx="178">
                  <c:v>Q09</c:v>
                </c:pt>
                <c:pt idx="179">
                  <c:v>Q11</c:v>
                </c:pt>
                <c:pt idx="180">
                  <c:v>Q13</c:v>
                </c:pt>
                <c:pt idx="181">
                  <c:v>Q15</c:v>
                </c:pt>
                <c:pt idx="182">
                  <c:v>Q17</c:v>
                </c:pt>
                <c:pt idx="183">
                  <c:v>Q18</c:v>
                </c:pt>
                <c:pt idx="184">
                  <c:v>R01</c:v>
                </c:pt>
                <c:pt idx="185">
                  <c:v>R02</c:v>
                </c:pt>
                <c:pt idx="186">
                  <c:v>R09</c:v>
                </c:pt>
                <c:pt idx="187">
                  <c:v>R11</c:v>
                </c:pt>
                <c:pt idx="188">
                  <c:v>R13</c:v>
                </c:pt>
                <c:pt idx="189">
                  <c:v>R15</c:v>
                </c:pt>
                <c:pt idx="190">
                  <c:v>S11</c:v>
                </c:pt>
                <c:pt idx="191">
                  <c:v>S13</c:v>
                </c:pt>
                <c:pt idx="192">
                  <c:v>S15</c:v>
                </c:pt>
                <c:pt idx="193">
                  <c:v>T10</c:v>
                </c:pt>
                <c:pt idx="194">
                  <c:v>T11</c:v>
                </c:pt>
                <c:pt idx="195">
                  <c:v>T12</c:v>
                </c:pt>
                <c:pt idx="196">
                  <c:v>T13</c:v>
                </c:pt>
                <c:pt idx="197">
                  <c:v>T14</c:v>
                </c:pt>
                <c:pt idx="198">
                  <c:v>T15</c:v>
                </c:pt>
                <c:pt idx="199">
                  <c:v>T16</c:v>
                </c:pt>
              </c:strCache>
            </c:strRef>
          </c:cat>
          <c:val>
            <c:numRef>
              <c:f>'Summary 05_combined'!$AF$20:$AF$219</c:f>
              <c:numCache>
                <c:formatCode>General</c:formatCode>
                <c:ptCount val="200"/>
                <c:pt idx="0">
                  <c:v>15</c:v>
                </c:pt>
                <c:pt idx="1">
                  <c:v>15</c:v>
                </c:pt>
                <c:pt idx="2">
                  <c:v>15</c:v>
                </c:pt>
                <c:pt idx="3">
                  <c:v>15</c:v>
                </c:pt>
                <c:pt idx="4">
                  <c:v>15</c:v>
                </c:pt>
                <c:pt idx="5">
                  <c:v>15</c:v>
                </c:pt>
                <c:pt idx="6">
                  <c:v>15</c:v>
                </c:pt>
                <c:pt idx="7">
                  <c:v>17</c:v>
                </c:pt>
                <c:pt idx="8">
                  <c:v>15</c:v>
                </c:pt>
                <c:pt idx="9">
                  <c:v>15</c:v>
                </c:pt>
                <c:pt idx="10">
                  <c:v>15</c:v>
                </c:pt>
                <c:pt idx="11">
                  <c:v>15</c:v>
                </c:pt>
                <c:pt idx="12">
                  <c:v>15</c:v>
                </c:pt>
                <c:pt idx="13">
                  <c:v>15</c:v>
                </c:pt>
                <c:pt idx="14">
                  <c:v>17</c:v>
                </c:pt>
                <c:pt idx="15">
                  <c:v>19</c:v>
                </c:pt>
                <c:pt idx="16">
                  <c:v>17</c:v>
                </c:pt>
                <c:pt idx="17">
                  <c:v>15</c:v>
                </c:pt>
                <c:pt idx="18">
                  <c:v>15</c:v>
                </c:pt>
                <c:pt idx="19">
                  <c:v>17</c:v>
                </c:pt>
                <c:pt idx="20">
                  <c:v>15</c:v>
                </c:pt>
                <c:pt idx="21">
                  <c:v>17</c:v>
                </c:pt>
                <c:pt idx="22">
                  <c:v>15</c:v>
                </c:pt>
                <c:pt idx="23">
                  <c:v>15</c:v>
                </c:pt>
                <c:pt idx="24">
                  <c:v>15</c:v>
                </c:pt>
                <c:pt idx="25">
                  <c:v>17</c:v>
                </c:pt>
                <c:pt idx="26">
                  <c:v>17</c:v>
                </c:pt>
                <c:pt idx="27">
                  <c:v>15</c:v>
                </c:pt>
                <c:pt idx="28">
                  <c:v>17</c:v>
                </c:pt>
                <c:pt idx="29">
                  <c:v>15</c:v>
                </c:pt>
                <c:pt idx="30">
                  <c:v>15</c:v>
                </c:pt>
                <c:pt idx="31">
                  <c:v>15</c:v>
                </c:pt>
                <c:pt idx="32">
                  <c:v>19</c:v>
                </c:pt>
                <c:pt idx="33">
                  <c:v>17</c:v>
                </c:pt>
                <c:pt idx="34">
                  <c:v>15</c:v>
                </c:pt>
                <c:pt idx="35">
                  <c:v>15</c:v>
                </c:pt>
                <c:pt idx="36">
                  <c:v>15</c:v>
                </c:pt>
                <c:pt idx="37">
                  <c:v>15</c:v>
                </c:pt>
                <c:pt idx="38">
                  <c:v>15</c:v>
                </c:pt>
                <c:pt idx="39">
                  <c:v>17</c:v>
                </c:pt>
                <c:pt idx="40">
                  <c:v>15</c:v>
                </c:pt>
                <c:pt idx="41">
                  <c:v>15</c:v>
                </c:pt>
                <c:pt idx="42">
                  <c:v>15</c:v>
                </c:pt>
                <c:pt idx="43">
                  <c:v>15</c:v>
                </c:pt>
                <c:pt idx="44">
                  <c:v>15</c:v>
                </c:pt>
                <c:pt idx="45">
                  <c:v>15</c:v>
                </c:pt>
                <c:pt idx="46">
                  <c:v>19</c:v>
                </c:pt>
                <c:pt idx="47">
                  <c:v>17</c:v>
                </c:pt>
                <c:pt idx="48">
                  <c:v>15</c:v>
                </c:pt>
                <c:pt idx="49">
                  <c:v>15</c:v>
                </c:pt>
                <c:pt idx="50">
                  <c:v>15</c:v>
                </c:pt>
                <c:pt idx="51">
                  <c:v>15</c:v>
                </c:pt>
                <c:pt idx="52">
                  <c:v>15</c:v>
                </c:pt>
                <c:pt idx="53">
                  <c:v>15</c:v>
                </c:pt>
                <c:pt idx="54">
                  <c:v>15</c:v>
                </c:pt>
                <c:pt idx="55">
                  <c:v>15</c:v>
                </c:pt>
                <c:pt idx="56">
                  <c:v>15</c:v>
                </c:pt>
                <c:pt idx="57">
                  <c:v>15</c:v>
                </c:pt>
                <c:pt idx="58">
                  <c:v>15</c:v>
                </c:pt>
                <c:pt idx="59">
                  <c:v>17</c:v>
                </c:pt>
                <c:pt idx="60">
                  <c:v>15</c:v>
                </c:pt>
                <c:pt idx="61">
                  <c:v>15</c:v>
                </c:pt>
                <c:pt idx="62">
                  <c:v>15</c:v>
                </c:pt>
                <c:pt idx="63">
                  <c:v>17</c:v>
                </c:pt>
                <c:pt idx="64">
                  <c:v>15</c:v>
                </c:pt>
                <c:pt idx="65">
                  <c:v>15</c:v>
                </c:pt>
                <c:pt idx="66">
                  <c:v>15</c:v>
                </c:pt>
                <c:pt idx="67">
                  <c:v>15</c:v>
                </c:pt>
                <c:pt idx="68">
                  <c:v>15</c:v>
                </c:pt>
                <c:pt idx="69">
                  <c:v>15</c:v>
                </c:pt>
                <c:pt idx="70">
                  <c:v>15</c:v>
                </c:pt>
                <c:pt idx="71">
                  <c:v>15</c:v>
                </c:pt>
                <c:pt idx="72">
                  <c:v>15</c:v>
                </c:pt>
                <c:pt idx="73">
                  <c:v>17</c:v>
                </c:pt>
                <c:pt idx="74">
                  <c:v>15</c:v>
                </c:pt>
                <c:pt idx="75">
                  <c:v>15</c:v>
                </c:pt>
                <c:pt idx="76">
                  <c:v>17</c:v>
                </c:pt>
                <c:pt idx="77">
                  <c:v>15</c:v>
                </c:pt>
                <c:pt idx="78">
                  <c:v>15</c:v>
                </c:pt>
                <c:pt idx="79">
                  <c:v>15</c:v>
                </c:pt>
                <c:pt idx="80">
                  <c:v>15</c:v>
                </c:pt>
                <c:pt idx="81">
                  <c:v>17</c:v>
                </c:pt>
                <c:pt idx="82">
                  <c:v>15</c:v>
                </c:pt>
                <c:pt idx="83">
                  <c:v>15</c:v>
                </c:pt>
                <c:pt idx="84">
                  <c:v>15</c:v>
                </c:pt>
                <c:pt idx="85">
                  <c:v>15</c:v>
                </c:pt>
                <c:pt idx="86">
                  <c:v>17</c:v>
                </c:pt>
                <c:pt idx="87">
                  <c:v>15</c:v>
                </c:pt>
                <c:pt idx="88">
                  <c:v>15</c:v>
                </c:pt>
                <c:pt idx="89">
                  <c:v>15</c:v>
                </c:pt>
                <c:pt idx="90">
                  <c:v>15</c:v>
                </c:pt>
                <c:pt idx="91">
                  <c:v>15</c:v>
                </c:pt>
                <c:pt idx="92">
                  <c:v>19</c:v>
                </c:pt>
                <c:pt idx="93">
                  <c:v>15</c:v>
                </c:pt>
                <c:pt idx="94">
                  <c:v>19</c:v>
                </c:pt>
                <c:pt idx="95">
                  <c:v>15</c:v>
                </c:pt>
                <c:pt idx="96">
                  <c:v>15</c:v>
                </c:pt>
                <c:pt idx="97">
                  <c:v>15</c:v>
                </c:pt>
                <c:pt idx="98">
                  <c:v>15</c:v>
                </c:pt>
                <c:pt idx="99">
                  <c:v>15</c:v>
                </c:pt>
                <c:pt idx="100">
                  <c:v>15</c:v>
                </c:pt>
                <c:pt idx="101">
                  <c:v>15</c:v>
                </c:pt>
                <c:pt idx="102">
                  <c:v>15</c:v>
                </c:pt>
                <c:pt idx="103">
                  <c:v>15</c:v>
                </c:pt>
                <c:pt idx="104">
                  <c:v>15</c:v>
                </c:pt>
                <c:pt idx="105">
                  <c:v>15</c:v>
                </c:pt>
                <c:pt idx="106">
                  <c:v>15</c:v>
                </c:pt>
                <c:pt idx="107">
                  <c:v>15</c:v>
                </c:pt>
                <c:pt idx="108">
                  <c:v>15</c:v>
                </c:pt>
                <c:pt idx="109">
                  <c:v>19</c:v>
                </c:pt>
                <c:pt idx="110">
                  <c:v>15</c:v>
                </c:pt>
                <c:pt idx="111">
                  <c:v>17</c:v>
                </c:pt>
                <c:pt idx="112">
                  <c:v>15</c:v>
                </c:pt>
                <c:pt idx="113">
                  <c:v>15</c:v>
                </c:pt>
                <c:pt idx="114">
                  <c:v>15</c:v>
                </c:pt>
                <c:pt idx="115">
                  <c:v>15</c:v>
                </c:pt>
                <c:pt idx="116">
                  <c:v>15</c:v>
                </c:pt>
                <c:pt idx="117">
                  <c:v>17</c:v>
                </c:pt>
                <c:pt idx="118">
                  <c:v>15</c:v>
                </c:pt>
                <c:pt idx="119">
                  <c:v>15</c:v>
                </c:pt>
                <c:pt idx="120">
                  <c:v>15</c:v>
                </c:pt>
                <c:pt idx="121">
                  <c:v>15</c:v>
                </c:pt>
                <c:pt idx="122">
                  <c:v>15</c:v>
                </c:pt>
                <c:pt idx="123">
                  <c:v>19</c:v>
                </c:pt>
                <c:pt idx="124">
                  <c:v>17</c:v>
                </c:pt>
                <c:pt idx="125">
                  <c:v>15</c:v>
                </c:pt>
                <c:pt idx="126">
                  <c:v>15</c:v>
                </c:pt>
                <c:pt idx="127">
                  <c:v>15</c:v>
                </c:pt>
                <c:pt idx="128">
                  <c:v>15</c:v>
                </c:pt>
                <c:pt idx="129">
                  <c:v>15</c:v>
                </c:pt>
                <c:pt idx="130">
                  <c:v>15</c:v>
                </c:pt>
                <c:pt idx="131">
                  <c:v>15</c:v>
                </c:pt>
                <c:pt idx="132">
                  <c:v>15</c:v>
                </c:pt>
                <c:pt idx="133">
                  <c:v>15</c:v>
                </c:pt>
                <c:pt idx="134">
                  <c:v>15</c:v>
                </c:pt>
                <c:pt idx="135">
                  <c:v>15</c:v>
                </c:pt>
                <c:pt idx="136">
                  <c:v>19</c:v>
                </c:pt>
                <c:pt idx="137">
                  <c:v>15</c:v>
                </c:pt>
                <c:pt idx="138">
                  <c:v>15</c:v>
                </c:pt>
                <c:pt idx="139">
                  <c:v>17</c:v>
                </c:pt>
                <c:pt idx="140">
                  <c:v>15</c:v>
                </c:pt>
                <c:pt idx="141">
                  <c:v>19</c:v>
                </c:pt>
                <c:pt idx="142">
                  <c:v>19</c:v>
                </c:pt>
                <c:pt idx="143">
                  <c:v>15</c:v>
                </c:pt>
                <c:pt idx="144">
                  <c:v>15</c:v>
                </c:pt>
                <c:pt idx="145">
                  <c:v>15</c:v>
                </c:pt>
                <c:pt idx="146">
                  <c:v>15</c:v>
                </c:pt>
                <c:pt idx="147">
                  <c:v>15</c:v>
                </c:pt>
                <c:pt idx="148">
                  <c:v>17</c:v>
                </c:pt>
                <c:pt idx="149">
                  <c:v>15</c:v>
                </c:pt>
                <c:pt idx="150">
                  <c:v>15</c:v>
                </c:pt>
                <c:pt idx="151">
                  <c:v>17</c:v>
                </c:pt>
                <c:pt idx="152">
                  <c:v>15</c:v>
                </c:pt>
                <c:pt idx="153">
                  <c:v>15</c:v>
                </c:pt>
                <c:pt idx="154">
                  <c:v>15</c:v>
                </c:pt>
                <c:pt idx="155">
                  <c:v>17</c:v>
                </c:pt>
                <c:pt idx="156">
                  <c:v>15</c:v>
                </c:pt>
                <c:pt idx="157">
                  <c:v>15</c:v>
                </c:pt>
                <c:pt idx="158">
                  <c:v>15</c:v>
                </c:pt>
                <c:pt idx="159">
                  <c:v>15</c:v>
                </c:pt>
                <c:pt idx="160">
                  <c:v>15</c:v>
                </c:pt>
                <c:pt idx="161">
                  <c:v>15</c:v>
                </c:pt>
                <c:pt idx="162">
                  <c:v>17</c:v>
                </c:pt>
                <c:pt idx="163">
                  <c:v>17</c:v>
                </c:pt>
                <c:pt idx="164">
                  <c:v>19</c:v>
                </c:pt>
                <c:pt idx="165">
                  <c:v>15</c:v>
                </c:pt>
                <c:pt idx="166">
                  <c:v>15</c:v>
                </c:pt>
                <c:pt idx="167">
                  <c:v>15</c:v>
                </c:pt>
                <c:pt idx="168">
                  <c:v>15</c:v>
                </c:pt>
                <c:pt idx="169">
                  <c:v>15</c:v>
                </c:pt>
                <c:pt idx="170">
                  <c:v>15</c:v>
                </c:pt>
                <c:pt idx="171">
                  <c:v>15</c:v>
                </c:pt>
                <c:pt idx="172">
                  <c:v>19</c:v>
                </c:pt>
                <c:pt idx="173">
                  <c:v>15</c:v>
                </c:pt>
                <c:pt idx="174">
                  <c:v>17</c:v>
                </c:pt>
                <c:pt idx="175">
                  <c:v>17</c:v>
                </c:pt>
                <c:pt idx="176">
                  <c:v>19</c:v>
                </c:pt>
                <c:pt idx="177">
                  <c:v>19</c:v>
                </c:pt>
                <c:pt idx="178">
                  <c:v>15</c:v>
                </c:pt>
                <c:pt idx="179">
                  <c:v>15</c:v>
                </c:pt>
                <c:pt idx="180">
                  <c:v>15</c:v>
                </c:pt>
                <c:pt idx="181">
                  <c:v>15</c:v>
                </c:pt>
                <c:pt idx="182">
                  <c:v>15</c:v>
                </c:pt>
                <c:pt idx="183">
                  <c:v>15</c:v>
                </c:pt>
                <c:pt idx="184">
                  <c:v>15</c:v>
                </c:pt>
                <c:pt idx="185">
                  <c:v>15</c:v>
                </c:pt>
                <c:pt idx="186">
                  <c:v>15</c:v>
                </c:pt>
                <c:pt idx="187">
                  <c:v>15</c:v>
                </c:pt>
                <c:pt idx="188">
                  <c:v>15</c:v>
                </c:pt>
                <c:pt idx="189">
                  <c:v>15</c:v>
                </c:pt>
                <c:pt idx="190">
                  <c:v>15</c:v>
                </c:pt>
                <c:pt idx="191">
                  <c:v>15</c:v>
                </c:pt>
                <c:pt idx="192">
                  <c:v>15</c:v>
                </c:pt>
                <c:pt idx="193">
                  <c:v>17</c:v>
                </c:pt>
                <c:pt idx="194">
                  <c:v>15</c:v>
                </c:pt>
                <c:pt idx="195">
                  <c:v>15</c:v>
                </c:pt>
                <c:pt idx="196">
                  <c:v>17</c:v>
                </c:pt>
                <c:pt idx="197">
                  <c:v>19.3</c:v>
                </c:pt>
                <c:pt idx="198">
                  <c:v>19</c:v>
                </c:pt>
                <c:pt idx="199">
                  <c:v>15</c:v>
                </c:pt>
              </c:numCache>
            </c:numRef>
          </c:val>
          <c:extLst>
            <c:ext xmlns:c16="http://schemas.microsoft.com/office/drawing/2014/chart" uri="{C3380CC4-5D6E-409C-BE32-E72D297353CC}">
              <c16:uniqueId val="{00000001-C622-4A7C-9BC3-D329F98F8ACF}"/>
            </c:ext>
          </c:extLst>
        </c:ser>
        <c:ser>
          <c:idx val="1"/>
          <c:order val="2"/>
          <c:tx>
            <c:strRef>
              <c:f>'Summary 05_combined'!$AG$18</c:f>
              <c:strCache>
                <c:ptCount val="1"/>
                <c:pt idx="0">
                  <c:v>Lmin_Hs2_5_ULS</c:v>
                </c:pt>
              </c:strCache>
            </c:strRef>
          </c:tx>
          <c:spPr>
            <a:solidFill>
              <a:schemeClr val="accent2"/>
            </a:solidFill>
            <a:ln>
              <a:noFill/>
            </a:ln>
            <a:effectLst/>
          </c:spPr>
          <c:invertIfNegative val="0"/>
          <c:cat>
            <c:strRef>
              <c:f>'Summary 05_combined'!$A$20:$A$219</c:f>
              <c:strCache>
                <c:ptCount val="200"/>
                <c:pt idx="0">
                  <c:v>A01</c:v>
                </c:pt>
                <c:pt idx="1">
                  <c:v>A02</c:v>
                </c:pt>
                <c:pt idx="2">
                  <c:v>A03</c:v>
                </c:pt>
                <c:pt idx="3">
                  <c:v>A04</c:v>
                </c:pt>
                <c:pt idx="4">
                  <c:v>A06</c:v>
                </c:pt>
                <c:pt idx="5">
                  <c:v>A07</c:v>
                </c:pt>
                <c:pt idx="6">
                  <c:v>A08</c:v>
                </c:pt>
                <c:pt idx="7">
                  <c:v>A09</c:v>
                </c:pt>
                <c:pt idx="8">
                  <c:v>A10</c:v>
                </c:pt>
                <c:pt idx="9">
                  <c:v>A11</c:v>
                </c:pt>
                <c:pt idx="10">
                  <c:v>A12</c:v>
                </c:pt>
                <c:pt idx="11">
                  <c:v>A13</c:v>
                </c:pt>
                <c:pt idx="12">
                  <c:v>A14</c:v>
                </c:pt>
                <c:pt idx="13">
                  <c:v>A15</c:v>
                </c:pt>
                <c:pt idx="14">
                  <c:v>A16</c:v>
                </c:pt>
                <c:pt idx="15">
                  <c:v>A17</c:v>
                </c:pt>
                <c:pt idx="16">
                  <c:v>A19</c:v>
                </c:pt>
                <c:pt idx="17">
                  <c:v>A21</c:v>
                </c:pt>
                <c:pt idx="18">
                  <c:v>A22</c:v>
                </c:pt>
                <c:pt idx="19">
                  <c:v>A23</c:v>
                </c:pt>
                <c:pt idx="20">
                  <c:v>A24</c:v>
                </c:pt>
                <c:pt idx="21">
                  <c:v>B01</c:v>
                </c:pt>
                <c:pt idx="22">
                  <c:v>B03</c:v>
                </c:pt>
                <c:pt idx="23">
                  <c:v>B05</c:v>
                </c:pt>
                <c:pt idx="24">
                  <c:v>B07</c:v>
                </c:pt>
                <c:pt idx="25">
                  <c:v>B17</c:v>
                </c:pt>
                <c:pt idx="26">
                  <c:v>B19</c:v>
                </c:pt>
                <c:pt idx="27">
                  <c:v>B21</c:v>
                </c:pt>
                <c:pt idx="28">
                  <c:v>B22</c:v>
                </c:pt>
                <c:pt idx="29">
                  <c:v>B23</c:v>
                </c:pt>
                <c:pt idx="30">
                  <c:v>B24</c:v>
                </c:pt>
                <c:pt idx="31">
                  <c:v>C01</c:v>
                </c:pt>
                <c:pt idx="32">
                  <c:v>C03</c:v>
                </c:pt>
                <c:pt idx="33">
                  <c:v>C05</c:v>
                </c:pt>
                <c:pt idx="34">
                  <c:v>C07</c:v>
                </c:pt>
                <c:pt idx="35">
                  <c:v>C09</c:v>
                </c:pt>
                <c:pt idx="36">
                  <c:v>C11</c:v>
                </c:pt>
                <c:pt idx="37">
                  <c:v>C13</c:v>
                </c:pt>
                <c:pt idx="38">
                  <c:v>C15</c:v>
                </c:pt>
                <c:pt idx="39">
                  <c:v>C17</c:v>
                </c:pt>
                <c:pt idx="40">
                  <c:v>C19</c:v>
                </c:pt>
                <c:pt idx="41">
                  <c:v>C21</c:v>
                </c:pt>
                <c:pt idx="42">
                  <c:v>C22</c:v>
                </c:pt>
                <c:pt idx="43">
                  <c:v>C23</c:v>
                </c:pt>
                <c:pt idx="44">
                  <c:v>C24</c:v>
                </c:pt>
                <c:pt idx="45">
                  <c:v>D01</c:v>
                </c:pt>
                <c:pt idx="46">
                  <c:v>D05</c:v>
                </c:pt>
                <c:pt idx="47">
                  <c:v>D07</c:v>
                </c:pt>
                <c:pt idx="48">
                  <c:v>D09</c:v>
                </c:pt>
                <c:pt idx="49">
                  <c:v>D11</c:v>
                </c:pt>
                <c:pt idx="50">
                  <c:v>D13</c:v>
                </c:pt>
                <c:pt idx="51">
                  <c:v>D15</c:v>
                </c:pt>
                <c:pt idx="52">
                  <c:v>D17</c:v>
                </c:pt>
                <c:pt idx="53">
                  <c:v>D19</c:v>
                </c:pt>
                <c:pt idx="54">
                  <c:v>D21</c:v>
                </c:pt>
                <c:pt idx="55">
                  <c:v>D22</c:v>
                </c:pt>
                <c:pt idx="56">
                  <c:v>D23</c:v>
                </c:pt>
                <c:pt idx="57">
                  <c:v>E01</c:v>
                </c:pt>
                <c:pt idx="58">
                  <c:v>E03</c:v>
                </c:pt>
                <c:pt idx="59">
                  <c:v>E05</c:v>
                </c:pt>
                <c:pt idx="60">
                  <c:v>E07</c:v>
                </c:pt>
                <c:pt idx="61">
                  <c:v>E09</c:v>
                </c:pt>
                <c:pt idx="62">
                  <c:v>E11</c:v>
                </c:pt>
                <c:pt idx="63">
                  <c:v>E13</c:v>
                </c:pt>
                <c:pt idx="64">
                  <c:v>E15</c:v>
                </c:pt>
                <c:pt idx="65">
                  <c:v>E17</c:v>
                </c:pt>
                <c:pt idx="66">
                  <c:v>E19</c:v>
                </c:pt>
                <c:pt idx="67">
                  <c:v>E21</c:v>
                </c:pt>
                <c:pt idx="68">
                  <c:v>E22</c:v>
                </c:pt>
                <c:pt idx="69">
                  <c:v>E23</c:v>
                </c:pt>
                <c:pt idx="70">
                  <c:v>F01</c:v>
                </c:pt>
                <c:pt idx="71">
                  <c:v>F03</c:v>
                </c:pt>
                <c:pt idx="72">
                  <c:v>F05</c:v>
                </c:pt>
                <c:pt idx="73">
                  <c:v>F07</c:v>
                </c:pt>
                <c:pt idx="74">
                  <c:v>F09</c:v>
                </c:pt>
                <c:pt idx="75">
                  <c:v>F11</c:v>
                </c:pt>
                <c:pt idx="76">
                  <c:v>F13</c:v>
                </c:pt>
                <c:pt idx="77">
                  <c:v>F15</c:v>
                </c:pt>
                <c:pt idx="78">
                  <c:v>F17</c:v>
                </c:pt>
                <c:pt idx="79">
                  <c:v>F19</c:v>
                </c:pt>
                <c:pt idx="80">
                  <c:v>F21</c:v>
                </c:pt>
                <c:pt idx="81">
                  <c:v>F22</c:v>
                </c:pt>
                <c:pt idx="82">
                  <c:v>F23</c:v>
                </c:pt>
                <c:pt idx="83">
                  <c:v>G01</c:v>
                </c:pt>
                <c:pt idx="84">
                  <c:v>G03</c:v>
                </c:pt>
                <c:pt idx="85">
                  <c:v>G05</c:v>
                </c:pt>
                <c:pt idx="86">
                  <c:v>G07</c:v>
                </c:pt>
                <c:pt idx="87">
                  <c:v>G09</c:v>
                </c:pt>
                <c:pt idx="88">
                  <c:v>G11</c:v>
                </c:pt>
                <c:pt idx="89">
                  <c:v>G13</c:v>
                </c:pt>
                <c:pt idx="90">
                  <c:v>G15</c:v>
                </c:pt>
                <c:pt idx="91">
                  <c:v>G17</c:v>
                </c:pt>
                <c:pt idx="92">
                  <c:v>G19</c:v>
                </c:pt>
                <c:pt idx="93">
                  <c:v>G21</c:v>
                </c:pt>
                <c:pt idx="94">
                  <c:v>G22</c:v>
                </c:pt>
                <c:pt idx="95">
                  <c:v>H01</c:v>
                </c:pt>
                <c:pt idx="96">
                  <c:v>H03</c:v>
                </c:pt>
                <c:pt idx="97">
                  <c:v>H05</c:v>
                </c:pt>
                <c:pt idx="98">
                  <c:v>H07</c:v>
                </c:pt>
                <c:pt idx="99">
                  <c:v>H09</c:v>
                </c:pt>
                <c:pt idx="100">
                  <c:v>H11</c:v>
                </c:pt>
                <c:pt idx="101">
                  <c:v>H13</c:v>
                </c:pt>
                <c:pt idx="102">
                  <c:v>H15</c:v>
                </c:pt>
                <c:pt idx="103">
                  <c:v>H17</c:v>
                </c:pt>
                <c:pt idx="104">
                  <c:v>H19</c:v>
                </c:pt>
                <c:pt idx="105">
                  <c:v>H21</c:v>
                </c:pt>
                <c:pt idx="106">
                  <c:v>H22</c:v>
                </c:pt>
                <c:pt idx="107">
                  <c:v>J01</c:v>
                </c:pt>
                <c:pt idx="108">
                  <c:v>J03</c:v>
                </c:pt>
                <c:pt idx="109">
                  <c:v>J05</c:v>
                </c:pt>
                <c:pt idx="110">
                  <c:v>J07</c:v>
                </c:pt>
                <c:pt idx="111">
                  <c:v>J09</c:v>
                </c:pt>
                <c:pt idx="112">
                  <c:v>J11</c:v>
                </c:pt>
                <c:pt idx="113">
                  <c:v>J13</c:v>
                </c:pt>
                <c:pt idx="114">
                  <c:v>J15</c:v>
                </c:pt>
                <c:pt idx="115">
                  <c:v>J17</c:v>
                </c:pt>
                <c:pt idx="116">
                  <c:v>J19</c:v>
                </c:pt>
                <c:pt idx="117">
                  <c:v>J21</c:v>
                </c:pt>
                <c:pt idx="118">
                  <c:v>J22</c:v>
                </c:pt>
                <c:pt idx="119">
                  <c:v>K01</c:v>
                </c:pt>
                <c:pt idx="120">
                  <c:v>K03</c:v>
                </c:pt>
                <c:pt idx="121">
                  <c:v>K05</c:v>
                </c:pt>
                <c:pt idx="122">
                  <c:v>K07</c:v>
                </c:pt>
                <c:pt idx="123">
                  <c:v>K09</c:v>
                </c:pt>
                <c:pt idx="124">
                  <c:v>K11</c:v>
                </c:pt>
                <c:pt idx="125">
                  <c:v>K13</c:v>
                </c:pt>
                <c:pt idx="126">
                  <c:v>K15</c:v>
                </c:pt>
                <c:pt idx="127">
                  <c:v>K17</c:v>
                </c:pt>
                <c:pt idx="128">
                  <c:v>K19</c:v>
                </c:pt>
                <c:pt idx="129">
                  <c:v>K21</c:v>
                </c:pt>
                <c:pt idx="130">
                  <c:v>L01</c:v>
                </c:pt>
                <c:pt idx="131">
                  <c:v>L03</c:v>
                </c:pt>
                <c:pt idx="132">
                  <c:v>L05</c:v>
                </c:pt>
                <c:pt idx="133">
                  <c:v>L07</c:v>
                </c:pt>
                <c:pt idx="134">
                  <c:v>L09</c:v>
                </c:pt>
                <c:pt idx="135">
                  <c:v>L11</c:v>
                </c:pt>
                <c:pt idx="136">
                  <c:v>L13</c:v>
                </c:pt>
                <c:pt idx="137">
                  <c:v>L15</c:v>
                </c:pt>
                <c:pt idx="138">
                  <c:v>L17</c:v>
                </c:pt>
                <c:pt idx="139">
                  <c:v>L19</c:v>
                </c:pt>
                <c:pt idx="140">
                  <c:v>L21</c:v>
                </c:pt>
                <c:pt idx="141">
                  <c:v>M01</c:v>
                </c:pt>
                <c:pt idx="142">
                  <c:v>M03</c:v>
                </c:pt>
                <c:pt idx="143">
                  <c:v>M05</c:v>
                </c:pt>
                <c:pt idx="144">
                  <c:v>M07</c:v>
                </c:pt>
                <c:pt idx="145">
                  <c:v>M09</c:v>
                </c:pt>
                <c:pt idx="146">
                  <c:v>M11</c:v>
                </c:pt>
                <c:pt idx="147">
                  <c:v>M13</c:v>
                </c:pt>
                <c:pt idx="148">
                  <c:v>M15</c:v>
                </c:pt>
                <c:pt idx="149">
                  <c:v>M17</c:v>
                </c:pt>
                <c:pt idx="150">
                  <c:v>M19</c:v>
                </c:pt>
                <c:pt idx="151">
                  <c:v>N01</c:v>
                </c:pt>
                <c:pt idx="152">
                  <c:v>N03</c:v>
                </c:pt>
                <c:pt idx="153">
                  <c:v>N05</c:v>
                </c:pt>
                <c:pt idx="154">
                  <c:v>N07</c:v>
                </c:pt>
                <c:pt idx="155">
                  <c:v>N09</c:v>
                </c:pt>
                <c:pt idx="156">
                  <c:v>N11</c:v>
                </c:pt>
                <c:pt idx="157">
                  <c:v>N13</c:v>
                </c:pt>
                <c:pt idx="158">
                  <c:v>N15</c:v>
                </c:pt>
                <c:pt idx="159">
                  <c:v>N17</c:v>
                </c:pt>
                <c:pt idx="160">
                  <c:v>N19</c:v>
                </c:pt>
                <c:pt idx="161">
                  <c:v>P01</c:v>
                </c:pt>
                <c:pt idx="162">
                  <c:v>P03</c:v>
                </c:pt>
                <c:pt idx="163">
                  <c:v>P04</c:v>
                </c:pt>
                <c:pt idx="164">
                  <c:v>P05</c:v>
                </c:pt>
                <c:pt idx="165">
                  <c:v>P07</c:v>
                </c:pt>
                <c:pt idx="166">
                  <c:v>P09</c:v>
                </c:pt>
                <c:pt idx="167">
                  <c:v>P11</c:v>
                </c:pt>
                <c:pt idx="168">
                  <c:v>P13</c:v>
                </c:pt>
                <c:pt idx="169">
                  <c:v>P15</c:v>
                </c:pt>
                <c:pt idx="170">
                  <c:v>P17</c:v>
                </c:pt>
                <c:pt idx="171">
                  <c:v>P19</c:v>
                </c:pt>
                <c:pt idx="172">
                  <c:v>P20</c:v>
                </c:pt>
                <c:pt idx="173">
                  <c:v>Q01</c:v>
                </c:pt>
                <c:pt idx="174">
                  <c:v>Q05</c:v>
                </c:pt>
                <c:pt idx="175">
                  <c:v>Q06</c:v>
                </c:pt>
                <c:pt idx="176">
                  <c:v>Q07</c:v>
                </c:pt>
                <c:pt idx="177">
                  <c:v>Q08</c:v>
                </c:pt>
                <c:pt idx="178">
                  <c:v>Q09</c:v>
                </c:pt>
                <c:pt idx="179">
                  <c:v>Q11</c:v>
                </c:pt>
                <c:pt idx="180">
                  <c:v>Q13</c:v>
                </c:pt>
                <c:pt idx="181">
                  <c:v>Q15</c:v>
                </c:pt>
                <c:pt idx="182">
                  <c:v>Q17</c:v>
                </c:pt>
                <c:pt idx="183">
                  <c:v>Q18</c:v>
                </c:pt>
                <c:pt idx="184">
                  <c:v>R01</c:v>
                </c:pt>
                <c:pt idx="185">
                  <c:v>R02</c:v>
                </c:pt>
                <c:pt idx="186">
                  <c:v>R09</c:v>
                </c:pt>
                <c:pt idx="187">
                  <c:v>R11</c:v>
                </c:pt>
                <c:pt idx="188">
                  <c:v>R13</c:v>
                </c:pt>
                <c:pt idx="189">
                  <c:v>R15</c:v>
                </c:pt>
                <c:pt idx="190">
                  <c:v>S11</c:v>
                </c:pt>
                <c:pt idx="191">
                  <c:v>S13</c:v>
                </c:pt>
                <c:pt idx="192">
                  <c:v>S15</c:v>
                </c:pt>
                <c:pt idx="193">
                  <c:v>T10</c:v>
                </c:pt>
                <c:pt idx="194">
                  <c:v>T11</c:v>
                </c:pt>
                <c:pt idx="195">
                  <c:v>T12</c:v>
                </c:pt>
                <c:pt idx="196">
                  <c:v>T13</c:v>
                </c:pt>
                <c:pt idx="197">
                  <c:v>T14</c:v>
                </c:pt>
                <c:pt idx="198">
                  <c:v>T15</c:v>
                </c:pt>
                <c:pt idx="199">
                  <c:v>T16</c:v>
                </c:pt>
              </c:strCache>
            </c:strRef>
          </c:cat>
          <c:val>
            <c:numRef>
              <c:f>'Summary 05_combined'!$AG$20:$AG$219</c:f>
              <c:numCache>
                <c:formatCode>General</c:formatCode>
                <c:ptCount val="200"/>
                <c:pt idx="0">
                  <c:v>15</c:v>
                </c:pt>
                <c:pt idx="1">
                  <c:v>15</c:v>
                </c:pt>
                <c:pt idx="2">
                  <c:v>15</c:v>
                </c:pt>
                <c:pt idx="3">
                  <c:v>15</c:v>
                </c:pt>
                <c:pt idx="4">
                  <c:v>15</c:v>
                </c:pt>
                <c:pt idx="5">
                  <c:v>15</c:v>
                </c:pt>
                <c:pt idx="6">
                  <c:v>15</c:v>
                </c:pt>
                <c:pt idx="7">
                  <c:v>17</c:v>
                </c:pt>
                <c:pt idx="8">
                  <c:v>15</c:v>
                </c:pt>
                <c:pt idx="9">
                  <c:v>15</c:v>
                </c:pt>
                <c:pt idx="10">
                  <c:v>15</c:v>
                </c:pt>
                <c:pt idx="11">
                  <c:v>15</c:v>
                </c:pt>
                <c:pt idx="12">
                  <c:v>15</c:v>
                </c:pt>
                <c:pt idx="13">
                  <c:v>15</c:v>
                </c:pt>
                <c:pt idx="14">
                  <c:v>17</c:v>
                </c:pt>
                <c:pt idx="15">
                  <c:v>19</c:v>
                </c:pt>
                <c:pt idx="16">
                  <c:v>17</c:v>
                </c:pt>
                <c:pt idx="17">
                  <c:v>15</c:v>
                </c:pt>
                <c:pt idx="18">
                  <c:v>15</c:v>
                </c:pt>
                <c:pt idx="19">
                  <c:v>17</c:v>
                </c:pt>
                <c:pt idx="20">
                  <c:v>15</c:v>
                </c:pt>
                <c:pt idx="21">
                  <c:v>17</c:v>
                </c:pt>
                <c:pt idx="22">
                  <c:v>15</c:v>
                </c:pt>
                <c:pt idx="23">
                  <c:v>15</c:v>
                </c:pt>
                <c:pt idx="24">
                  <c:v>15</c:v>
                </c:pt>
                <c:pt idx="25">
                  <c:v>17</c:v>
                </c:pt>
                <c:pt idx="26">
                  <c:v>17</c:v>
                </c:pt>
                <c:pt idx="27">
                  <c:v>15</c:v>
                </c:pt>
                <c:pt idx="28">
                  <c:v>17</c:v>
                </c:pt>
                <c:pt idx="29">
                  <c:v>15</c:v>
                </c:pt>
                <c:pt idx="30">
                  <c:v>15</c:v>
                </c:pt>
                <c:pt idx="31">
                  <c:v>15</c:v>
                </c:pt>
                <c:pt idx="32">
                  <c:v>19</c:v>
                </c:pt>
                <c:pt idx="33">
                  <c:v>17</c:v>
                </c:pt>
                <c:pt idx="34">
                  <c:v>15</c:v>
                </c:pt>
                <c:pt idx="35">
                  <c:v>15</c:v>
                </c:pt>
                <c:pt idx="36">
                  <c:v>15</c:v>
                </c:pt>
                <c:pt idx="37">
                  <c:v>15</c:v>
                </c:pt>
                <c:pt idx="38">
                  <c:v>15</c:v>
                </c:pt>
                <c:pt idx="39">
                  <c:v>17</c:v>
                </c:pt>
                <c:pt idx="40">
                  <c:v>15</c:v>
                </c:pt>
                <c:pt idx="41">
                  <c:v>15</c:v>
                </c:pt>
                <c:pt idx="42">
                  <c:v>15</c:v>
                </c:pt>
                <c:pt idx="43">
                  <c:v>15</c:v>
                </c:pt>
                <c:pt idx="44">
                  <c:v>15</c:v>
                </c:pt>
                <c:pt idx="45">
                  <c:v>15</c:v>
                </c:pt>
                <c:pt idx="46">
                  <c:v>19</c:v>
                </c:pt>
                <c:pt idx="47">
                  <c:v>17</c:v>
                </c:pt>
                <c:pt idx="48">
                  <c:v>15</c:v>
                </c:pt>
                <c:pt idx="49">
                  <c:v>15</c:v>
                </c:pt>
                <c:pt idx="50">
                  <c:v>15</c:v>
                </c:pt>
                <c:pt idx="51">
                  <c:v>15</c:v>
                </c:pt>
                <c:pt idx="52">
                  <c:v>15</c:v>
                </c:pt>
                <c:pt idx="53">
                  <c:v>15</c:v>
                </c:pt>
                <c:pt idx="54">
                  <c:v>15</c:v>
                </c:pt>
                <c:pt idx="55">
                  <c:v>15</c:v>
                </c:pt>
                <c:pt idx="56">
                  <c:v>15</c:v>
                </c:pt>
                <c:pt idx="57">
                  <c:v>15</c:v>
                </c:pt>
                <c:pt idx="58">
                  <c:v>15</c:v>
                </c:pt>
                <c:pt idx="59">
                  <c:v>17</c:v>
                </c:pt>
                <c:pt idx="60">
                  <c:v>15</c:v>
                </c:pt>
                <c:pt idx="61">
                  <c:v>15</c:v>
                </c:pt>
                <c:pt idx="62">
                  <c:v>15</c:v>
                </c:pt>
                <c:pt idx="63">
                  <c:v>17</c:v>
                </c:pt>
                <c:pt idx="64">
                  <c:v>15</c:v>
                </c:pt>
                <c:pt idx="65">
                  <c:v>15</c:v>
                </c:pt>
                <c:pt idx="66">
                  <c:v>15</c:v>
                </c:pt>
                <c:pt idx="67">
                  <c:v>15</c:v>
                </c:pt>
                <c:pt idx="68">
                  <c:v>15</c:v>
                </c:pt>
                <c:pt idx="69">
                  <c:v>15</c:v>
                </c:pt>
                <c:pt idx="70">
                  <c:v>15</c:v>
                </c:pt>
                <c:pt idx="71">
                  <c:v>15</c:v>
                </c:pt>
                <c:pt idx="72">
                  <c:v>15</c:v>
                </c:pt>
                <c:pt idx="73">
                  <c:v>17</c:v>
                </c:pt>
                <c:pt idx="74">
                  <c:v>15</c:v>
                </c:pt>
                <c:pt idx="75">
                  <c:v>15</c:v>
                </c:pt>
                <c:pt idx="76">
                  <c:v>17</c:v>
                </c:pt>
                <c:pt idx="77">
                  <c:v>15</c:v>
                </c:pt>
                <c:pt idx="78">
                  <c:v>15</c:v>
                </c:pt>
                <c:pt idx="79">
                  <c:v>15</c:v>
                </c:pt>
                <c:pt idx="80">
                  <c:v>15</c:v>
                </c:pt>
                <c:pt idx="81">
                  <c:v>17</c:v>
                </c:pt>
                <c:pt idx="82">
                  <c:v>15</c:v>
                </c:pt>
                <c:pt idx="83">
                  <c:v>15</c:v>
                </c:pt>
                <c:pt idx="84">
                  <c:v>15</c:v>
                </c:pt>
                <c:pt idx="85">
                  <c:v>15</c:v>
                </c:pt>
                <c:pt idx="86">
                  <c:v>17</c:v>
                </c:pt>
                <c:pt idx="87">
                  <c:v>15</c:v>
                </c:pt>
                <c:pt idx="88">
                  <c:v>15</c:v>
                </c:pt>
                <c:pt idx="89">
                  <c:v>15</c:v>
                </c:pt>
                <c:pt idx="90">
                  <c:v>15</c:v>
                </c:pt>
                <c:pt idx="91">
                  <c:v>15</c:v>
                </c:pt>
                <c:pt idx="92">
                  <c:v>19</c:v>
                </c:pt>
                <c:pt idx="93">
                  <c:v>15</c:v>
                </c:pt>
                <c:pt idx="94">
                  <c:v>19</c:v>
                </c:pt>
                <c:pt idx="95">
                  <c:v>15</c:v>
                </c:pt>
                <c:pt idx="96">
                  <c:v>15</c:v>
                </c:pt>
                <c:pt idx="97">
                  <c:v>15</c:v>
                </c:pt>
                <c:pt idx="98">
                  <c:v>15</c:v>
                </c:pt>
                <c:pt idx="99">
                  <c:v>15</c:v>
                </c:pt>
                <c:pt idx="100">
                  <c:v>15</c:v>
                </c:pt>
                <c:pt idx="101">
                  <c:v>15</c:v>
                </c:pt>
                <c:pt idx="102">
                  <c:v>15</c:v>
                </c:pt>
                <c:pt idx="103">
                  <c:v>15</c:v>
                </c:pt>
                <c:pt idx="104">
                  <c:v>15</c:v>
                </c:pt>
                <c:pt idx="105">
                  <c:v>15</c:v>
                </c:pt>
                <c:pt idx="106">
                  <c:v>15</c:v>
                </c:pt>
                <c:pt idx="107">
                  <c:v>15</c:v>
                </c:pt>
                <c:pt idx="108">
                  <c:v>15</c:v>
                </c:pt>
                <c:pt idx="109">
                  <c:v>19</c:v>
                </c:pt>
                <c:pt idx="110">
                  <c:v>15</c:v>
                </c:pt>
                <c:pt idx="111">
                  <c:v>17</c:v>
                </c:pt>
                <c:pt idx="112">
                  <c:v>15</c:v>
                </c:pt>
                <c:pt idx="113">
                  <c:v>15</c:v>
                </c:pt>
                <c:pt idx="114">
                  <c:v>15</c:v>
                </c:pt>
                <c:pt idx="115">
                  <c:v>15</c:v>
                </c:pt>
                <c:pt idx="116">
                  <c:v>15</c:v>
                </c:pt>
                <c:pt idx="117">
                  <c:v>17</c:v>
                </c:pt>
                <c:pt idx="118">
                  <c:v>15</c:v>
                </c:pt>
                <c:pt idx="119">
                  <c:v>15</c:v>
                </c:pt>
                <c:pt idx="120">
                  <c:v>15</c:v>
                </c:pt>
                <c:pt idx="121">
                  <c:v>15</c:v>
                </c:pt>
                <c:pt idx="122">
                  <c:v>15</c:v>
                </c:pt>
                <c:pt idx="123">
                  <c:v>19</c:v>
                </c:pt>
                <c:pt idx="124">
                  <c:v>17</c:v>
                </c:pt>
                <c:pt idx="125">
                  <c:v>15</c:v>
                </c:pt>
                <c:pt idx="126">
                  <c:v>15</c:v>
                </c:pt>
                <c:pt idx="127">
                  <c:v>15</c:v>
                </c:pt>
                <c:pt idx="128">
                  <c:v>15</c:v>
                </c:pt>
                <c:pt idx="129">
                  <c:v>15</c:v>
                </c:pt>
                <c:pt idx="130">
                  <c:v>15</c:v>
                </c:pt>
                <c:pt idx="131">
                  <c:v>15</c:v>
                </c:pt>
                <c:pt idx="132">
                  <c:v>15</c:v>
                </c:pt>
                <c:pt idx="133">
                  <c:v>15</c:v>
                </c:pt>
                <c:pt idx="134">
                  <c:v>15</c:v>
                </c:pt>
                <c:pt idx="135">
                  <c:v>15</c:v>
                </c:pt>
                <c:pt idx="136">
                  <c:v>19</c:v>
                </c:pt>
                <c:pt idx="137">
                  <c:v>15</c:v>
                </c:pt>
                <c:pt idx="138">
                  <c:v>15</c:v>
                </c:pt>
                <c:pt idx="139">
                  <c:v>17</c:v>
                </c:pt>
                <c:pt idx="140">
                  <c:v>15</c:v>
                </c:pt>
                <c:pt idx="141">
                  <c:v>19</c:v>
                </c:pt>
                <c:pt idx="142">
                  <c:v>19</c:v>
                </c:pt>
                <c:pt idx="143">
                  <c:v>15</c:v>
                </c:pt>
                <c:pt idx="144">
                  <c:v>15</c:v>
                </c:pt>
                <c:pt idx="145">
                  <c:v>15</c:v>
                </c:pt>
                <c:pt idx="146">
                  <c:v>15</c:v>
                </c:pt>
                <c:pt idx="147">
                  <c:v>15</c:v>
                </c:pt>
                <c:pt idx="148">
                  <c:v>17</c:v>
                </c:pt>
                <c:pt idx="149">
                  <c:v>15</c:v>
                </c:pt>
                <c:pt idx="150">
                  <c:v>15</c:v>
                </c:pt>
                <c:pt idx="151">
                  <c:v>17</c:v>
                </c:pt>
                <c:pt idx="152">
                  <c:v>15</c:v>
                </c:pt>
                <c:pt idx="153">
                  <c:v>15</c:v>
                </c:pt>
                <c:pt idx="154">
                  <c:v>15</c:v>
                </c:pt>
                <c:pt idx="155">
                  <c:v>17</c:v>
                </c:pt>
                <c:pt idx="156">
                  <c:v>15</c:v>
                </c:pt>
                <c:pt idx="157">
                  <c:v>15</c:v>
                </c:pt>
                <c:pt idx="158">
                  <c:v>15</c:v>
                </c:pt>
                <c:pt idx="159">
                  <c:v>15</c:v>
                </c:pt>
                <c:pt idx="160">
                  <c:v>15</c:v>
                </c:pt>
                <c:pt idx="161">
                  <c:v>15</c:v>
                </c:pt>
                <c:pt idx="162">
                  <c:v>17</c:v>
                </c:pt>
                <c:pt idx="163">
                  <c:v>17</c:v>
                </c:pt>
                <c:pt idx="164">
                  <c:v>19</c:v>
                </c:pt>
                <c:pt idx="165">
                  <c:v>15</c:v>
                </c:pt>
                <c:pt idx="166">
                  <c:v>15</c:v>
                </c:pt>
                <c:pt idx="167">
                  <c:v>15</c:v>
                </c:pt>
                <c:pt idx="168">
                  <c:v>15</c:v>
                </c:pt>
                <c:pt idx="169">
                  <c:v>15</c:v>
                </c:pt>
                <c:pt idx="170">
                  <c:v>15</c:v>
                </c:pt>
                <c:pt idx="171">
                  <c:v>15</c:v>
                </c:pt>
                <c:pt idx="172">
                  <c:v>19</c:v>
                </c:pt>
                <c:pt idx="173">
                  <c:v>15</c:v>
                </c:pt>
                <c:pt idx="174">
                  <c:v>17</c:v>
                </c:pt>
                <c:pt idx="175">
                  <c:v>17</c:v>
                </c:pt>
                <c:pt idx="176">
                  <c:v>19</c:v>
                </c:pt>
                <c:pt idx="177">
                  <c:v>19</c:v>
                </c:pt>
                <c:pt idx="178">
                  <c:v>15</c:v>
                </c:pt>
                <c:pt idx="179">
                  <c:v>15</c:v>
                </c:pt>
                <c:pt idx="180">
                  <c:v>15</c:v>
                </c:pt>
                <c:pt idx="181">
                  <c:v>15</c:v>
                </c:pt>
                <c:pt idx="182">
                  <c:v>15</c:v>
                </c:pt>
                <c:pt idx="183">
                  <c:v>15</c:v>
                </c:pt>
                <c:pt idx="184">
                  <c:v>15</c:v>
                </c:pt>
                <c:pt idx="185">
                  <c:v>15</c:v>
                </c:pt>
                <c:pt idx="186">
                  <c:v>15</c:v>
                </c:pt>
                <c:pt idx="187">
                  <c:v>15</c:v>
                </c:pt>
                <c:pt idx="188">
                  <c:v>15</c:v>
                </c:pt>
                <c:pt idx="189">
                  <c:v>15</c:v>
                </c:pt>
                <c:pt idx="190">
                  <c:v>15</c:v>
                </c:pt>
                <c:pt idx="191">
                  <c:v>15</c:v>
                </c:pt>
                <c:pt idx="192">
                  <c:v>15</c:v>
                </c:pt>
                <c:pt idx="193">
                  <c:v>17</c:v>
                </c:pt>
                <c:pt idx="194">
                  <c:v>15</c:v>
                </c:pt>
                <c:pt idx="195">
                  <c:v>15</c:v>
                </c:pt>
                <c:pt idx="196">
                  <c:v>17</c:v>
                </c:pt>
                <c:pt idx="197">
                  <c:v>19.3</c:v>
                </c:pt>
                <c:pt idx="198">
                  <c:v>19</c:v>
                </c:pt>
                <c:pt idx="199">
                  <c:v>15</c:v>
                </c:pt>
              </c:numCache>
            </c:numRef>
          </c:val>
          <c:extLst>
            <c:ext xmlns:c16="http://schemas.microsoft.com/office/drawing/2014/chart" uri="{C3380CC4-5D6E-409C-BE32-E72D297353CC}">
              <c16:uniqueId val="{00000002-C622-4A7C-9BC3-D329F98F8ACF}"/>
            </c:ext>
          </c:extLst>
        </c:ser>
        <c:dLbls>
          <c:showLegendKey val="0"/>
          <c:showVal val="0"/>
          <c:showCatName val="0"/>
          <c:showSerName val="0"/>
          <c:showPercent val="0"/>
          <c:showBubbleSize val="0"/>
        </c:dLbls>
        <c:gapWidth val="219"/>
        <c:overlap val="-27"/>
        <c:axId val="714879055"/>
        <c:axId val="1"/>
      </c:barChart>
      <c:catAx>
        <c:axId val="714879055"/>
        <c:scaling>
          <c:orientation val="minMax"/>
        </c:scaling>
        <c:delete val="0"/>
        <c:axPos val="t"/>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
        <c:crosses val="autoZero"/>
        <c:auto val="1"/>
        <c:lblAlgn val="ctr"/>
        <c:lblOffset val="100"/>
        <c:noMultiLvlLbl val="0"/>
      </c:catAx>
      <c:valAx>
        <c:axId val="1"/>
        <c:scaling>
          <c:orientation val="maxMin"/>
          <c:max val="35"/>
          <c:min val="0"/>
        </c:scaling>
        <c:delete val="0"/>
        <c:axPos val="l"/>
        <c:majorGridlines>
          <c:spPr>
            <a:ln w="9525" cap="flat" cmpd="sng" algn="ctr">
              <a:solidFill>
                <a:schemeClr val="tx1">
                  <a:lumMod val="15000"/>
                  <a:lumOff val="85000"/>
                </a:schemeClr>
              </a:solidFill>
              <a:prstDash val="dash"/>
              <a:round/>
            </a:ln>
            <a:effectLst/>
          </c:spPr>
        </c:majorGridlines>
        <c:numFmt formatCode="General" sourceLinked="1"/>
        <c:majorTickMark val="out"/>
        <c:minorTickMark val="in"/>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4879055"/>
        <c:crosses val="autoZero"/>
        <c:crossBetween val="between"/>
      </c:valAx>
      <c:spPr>
        <a:noFill/>
        <a:ln>
          <a:solidFill>
            <a:sysClr val="windowText" lastClr="000000"/>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Hs =2.5m - SLS</a:t>
            </a:r>
          </a:p>
        </c:rich>
      </c:tx>
      <c:overlay val="0"/>
      <c:spPr>
        <a:noFill/>
        <a:ln>
          <a:noFill/>
        </a:ln>
        <a:effectLst/>
      </c:spPr>
    </c:title>
    <c:autoTitleDeleted val="0"/>
    <c:plotArea>
      <c:layout/>
      <c:scatterChart>
        <c:scatterStyle val="lineMarker"/>
        <c:varyColors val="0"/>
        <c:ser>
          <c:idx val="0"/>
          <c:order val="0"/>
          <c:spPr>
            <a:ln w="38100" cap="rnd">
              <a:noFill/>
              <a:round/>
            </a:ln>
            <a:effectLst/>
          </c:spPr>
          <c:marker>
            <c:symbol val="circle"/>
            <c:size val="19"/>
            <c:spPr>
              <a:solidFill>
                <a:schemeClr val="accent1"/>
              </a:solidFill>
              <a:ln w="9525">
                <a:solidFill>
                  <a:schemeClr val="accent1"/>
                </a:solidFill>
              </a:ln>
              <a:effectLst/>
            </c:spPr>
          </c:marker>
          <c:dPt>
            <c:idx val="0"/>
            <c:marker>
              <c:spPr>
                <a:solidFill>
                  <a:srgbClr val="002DD1"/>
                </a:solidFill>
                <a:ln w="9525">
                  <a:solidFill>
                    <a:schemeClr val="accent1"/>
                  </a:solidFill>
                </a:ln>
                <a:effectLst/>
              </c:spPr>
            </c:marker>
            <c:bubble3D val="0"/>
            <c:extLst>
              <c:ext xmlns:c16="http://schemas.microsoft.com/office/drawing/2014/chart" uri="{C3380CC4-5D6E-409C-BE32-E72D297353CC}">
                <c16:uniqueId val="{00000000-DA20-49E3-8FA5-D6DB20D927F0}"/>
              </c:ext>
            </c:extLst>
          </c:dPt>
          <c:dPt>
            <c:idx val="1"/>
            <c:marker>
              <c:spPr>
                <a:solidFill>
                  <a:srgbClr val="003BC3"/>
                </a:solidFill>
                <a:ln w="9525">
                  <a:solidFill>
                    <a:schemeClr val="accent1"/>
                  </a:solidFill>
                </a:ln>
                <a:effectLst/>
              </c:spPr>
            </c:marker>
            <c:bubble3D val="0"/>
            <c:extLst>
              <c:ext xmlns:c16="http://schemas.microsoft.com/office/drawing/2014/chart" uri="{C3380CC4-5D6E-409C-BE32-E72D297353CC}">
                <c16:uniqueId val="{00000001-DA20-49E3-8FA5-D6DB20D927F0}"/>
              </c:ext>
            </c:extLst>
          </c:dPt>
          <c:dPt>
            <c:idx val="2"/>
            <c:marker>
              <c:spPr>
                <a:solidFill>
                  <a:srgbClr val="0000FF"/>
                </a:solidFill>
                <a:ln w="9525">
                  <a:solidFill>
                    <a:schemeClr val="accent1"/>
                  </a:solidFill>
                </a:ln>
                <a:effectLst/>
              </c:spPr>
            </c:marker>
            <c:bubble3D val="0"/>
            <c:extLst>
              <c:ext xmlns:c16="http://schemas.microsoft.com/office/drawing/2014/chart" uri="{C3380CC4-5D6E-409C-BE32-E72D297353CC}">
                <c16:uniqueId val="{00000002-DA20-49E3-8FA5-D6DB20D927F0}"/>
              </c:ext>
            </c:extLst>
          </c:dPt>
          <c:dPt>
            <c:idx val="3"/>
            <c:marker>
              <c:spPr>
                <a:solidFill>
                  <a:srgbClr val="000CF2"/>
                </a:solidFill>
                <a:ln w="9525">
                  <a:solidFill>
                    <a:schemeClr val="accent1"/>
                  </a:solidFill>
                </a:ln>
                <a:effectLst/>
              </c:spPr>
            </c:marker>
            <c:bubble3D val="0"/>
            <c:extLst>
              <c:ext xmlns:c16="http://schemas.microsoft.com/office/drawing/2014/chart" uri="{C3380CC4-5D6E-409C-BE32-E72D297353CC}">
                <c16:uniqueId val="{00000003-DA20-49E3-8FA5-D6DB20D927F0}"/>
              </c:ext>
            </c:extLst>
          </c:dPt>
          <c:dPt>
            <c:idx val="4"/>
            <c:marker>
              <c:spPr>
                <a:solidFill>
                  <a:srgbClr val="0024DA"/>
                </a:solidFill>
                <a:ln w="9525">
                  <a:solidFill>
                    <a:schemeClr val="accent1"/>
                  </a:solidFill>
                </a:ln>
                <a:effectLst/>
              </c:spPr>
            </c:marker>
            <c:bubble3D val="0"/>
            <c:extLst>
              <c:ext xmlns:c16="http://schemas.microsoft.com/office/drawing/2014/chart" uri="{C3380CC4-5D6E-409C-BE32-E72D297353CC}">
                <c16:uniqueId val="{00000004-DA20-49E3-8FA5-D6DB20D927F0}"/>
              </c:ext>
            </c:extLst>
          </c:dPt>
          <c:dPt>
            <c:idx val="5"/>
            <c:marker>
              <c:spPr>
                <a:solidFill>
                  <a:srgbClr val="000DF1"/>
                </a:solidFill>
                <a:ln w="9525">
                  <a:solidFill>
                    <a:schemeClr val="accent1"/>
                  </a:solidFill>
                </a:ln>
                <a:effectLst/>
              </c:spPr>
            </c:marker>
            <c:bubble3D val="0"/>
            <c:extLst>
              <c:ext xmlns:c16="http://schemas.microsoft.com/office/drawing/2014/chart" uri="{C3380CC4-5D6E-409C-BE32-E72D297353CC}">
                <c16:uniqueId val="{00000005-DA20-49E3-8FA5-D6DB20D927F0}"/>
              </c:ext>
            </c:extLst>
          </c:dPt>
          <c:dPt>
            <c:idx val="6"/>
            <c:marker>
              <c:spPr>
                <a:solidFill>
                  <a:srgbClr val="0008F6"/>
                </a:solidFill>
                <a:ln w="9525">
                  <a:solidFill>
                    <a:schemeClr val="accent1"/>
                  </a:solidFill>
                </a:ln>
                <a:effectLst/>
              </c:spPr>
            </c:marker>
            <c:bubble3D val="0"/>
            <c:extLst>
              <c:ext xmlns:c16="http://schemas.microsoft.com/office/drawing/2014/chart" uri="{C3380CC4-5D6E-409C-BE32-E72D297353CC}">
                <c16:uniqueId val="{00000006-DA20-49E3-8FA5-D6DB20D927F0}"/>
              </c:ext>
            </c:extLst>
          </c:dPt>
          <c:dPt>
            <c:idx val="7"/>
            <c:marker>
              <c:spPr>
                <a:solidFill>
                  <a:srgbClr val="00817D"/>
                </a:solidFill>
                <a:ln w="9525">
                  <a:solidFill>
                    <a:schemeClr val="accent1"/>
                  </a:solidFill>
                </a:ln>
                <a:effectLst/>
              </c:spPr>
            </c:marker>
            <c:bubble3D val="0"/>
            <c:extLst>
              <c:ext xmlns:c16="http://schemas.microsoft.com/office/drawing/2014/chart" uri="{C3380CC4-5D6E-409C-BE32-E72D297353CC}">
                <c16:uniqueId val="{00000007-DA20-49E3-8FA5-D6DB20D927F0}"/>
              </c:ext>
            </c:extLst>
          </c:dPt>
          <c:dPt>
            <c:idx val="8"/>
            <c:marker>
              <c:spPr>
                <a:solidFill>
                  <a:srgbClr val="0035C9"/>
                </a:solidFill>
                <a:ln w="9525">
                  <a:solidFill>
                    <a:schemeClr val="accent1"/>
                  </a:solidFill>
                </a:ln>
                <a:effectLst/>
              </c:spPr>
            </c:marker>
            <c:bubble3D val="0"/>
            <c:extLst>
              <c:ext xmlns:c16="http://schemas.microsoft.com/office/drawing/2014/chart" uri="{C3380CC4-5D6E-409C-BE32-E72D297353CC}">
                <c16:uniqueId val="{00000008-DA20-49E3-8FA5-D6DB20D927F0}"/>
              </c:ext>
            </c:extLst>
          </c:dPt>
          <c:dPt>
            <c:idx val="9"/>
            <c:marker>
              <c:spPr>
                <a:solidFill>
                  <a:srgbClr val="0008F6"/>
                </a:solidFill>
                <a:ln w="9525">
                  <a:solidFill>
                    <a:schemeClr val="accent1"/>
                  </a:solidFill>
                </a:ln>
                <a:effectLst/>
              </c:spPr>
            </c:marker>
            <c:bubble3D val="0"/>
            <c:extLst>
              <c:ext xmlns:c16="http://schemas.microsoft.com/office/drawing/2014/chart" uri="{C3380CC4-5D6E-409C-BE32-E72D297353CC}">
                <c16:uniqueId val="{00000009-DA20-49E3-8FA5-D6DB20D927F0}"/>
              </c:ext>
            </c:extLst>
          </c:dPt>
          <c:dPt>
            <c:idx val="10"/>
            <c:marker>
              <c:spPr>
                <a:solidFill>
                  <a:srgbClr val="000FEF"/>
                </a:solidFill>
                <a:ln w="9525">
                  <a:solidFill>
                    <a:schemeClr val="accent1"/>
                  </a:solidFill>
                </a:ln>
                <a:effectLst/>
              </c:spPr>
            </c:marker>
            <c:bubble3D val="0"/>
            <c:extLst>
              <c:ext xmlns:c16="http://schemas.microsoft.com/office/drawing/2014/chart" uri="{C3380CC4-5D6E-409C-BE32-E72D297353CC}">
                <c16:uniqueId val="{0000000A-DA20-49E3-8FA5-D6DB20D927F0}"/>
              </c:ext>
            </c:extLst>
          </c:dPt>
          <c:dPt>
            <c:idx val="11"/>
            <c:marker>
              <c:spPr>
                <a:solidFill>
                  <a:srgbClr val="009866"/>
                </a:solidFill>
                <a:ln w="9525">
                  <a:solidFill>
                    <a:schemeClr val="accent1"/>
                  </a:solidFill>
                </a:ln>
                <a:effectLst/>
              </c:spPr>
            </c:marker>
            <c:bubble3D val="0"/>
            <c:extLst>
              <c:ext xmlns:c16="http://schemas.microsoft.com/office/drawing/2014/chart" uri="{C3380CC4-5D6E-409C-BE32-E72D297353CC}">
                <c16:uniqueId val="{0000000B-DA20-49E3-8FA5-D6DB20D927F0}"/>
              </c:ext>
            </c:extLst>
          </c:dPt>
          <c:dPt>
            <c:idx val="12"/>
            <c:marker>
              <c:spPr>
                <a:solidFill>
                  <a:srgbClr val="00BA44"/>
                </a:solidFill>
                <a:ln w="9525">
                  <a:solidFill>
                    <a:schemeClr val="accent1"/>
                  </a:solidFill>
                </a:ln>
                <a:effectLst/>
              </c:spPr>
            </c:marker>
            <c:bubble3D val="0"/>
            <c:extLst>
              <c:ext xmlns:c16="http://schemas.microsoft.com/office/drawing/2014/chart" uri="{C3380CC4-5D6E-409C-BE32-E72D297353CC}">
                <c16:uniqueId val="{0000000C-DA20-49E3-8FA5-D6DB20D927F0}"/>
              </c:ext>
            </c:extLst>
          </c:dPt>
          <c:dPt>
            <c:idx val="13"/>
            <c:marker>
              <c:spPr>
                <a:solidFill>
                  <a:srgbClr val="00E41A"/>
                </a:solidFill>
                <a:ln w="9525">
                  <a:solidFill>
                    <a:schemeClr val="accent1"/>
                  </a:solidFill>
                </a:ln>
                <a:effectLst/>
              </c:spPr>
            </c:marker>
            <c:bubble3D val="0"/>
            <c:extLst>
              <c:ext xmlns:c16="http://schemas.microsoft.com/office/drawing/2014/chart" uri="{C3380CC4-5D6E-409C-BE32-E72D297353CC}">
                <c16:uniqueId val="{0000000D-DA20-49E3-8FA5-D6DB20D927F0}"/>
              </c:ext>
            </c:extLst>
          </c:dPt>
          <c:dPt>
            <c:idx val="14"/>
            <c:marker>
              <c:spPr>
                <a:solidFill>
                  <a:srgbClr val="03FB00"/>
                </a:solidFill>
                <a:ln w="9525">
                  <a:solidFill>
                    <a:schemeClr val="accent1"/>
                  </a:solidFill>
                </a:ln>
                <a:effectLst/>
              </c:spPr>
            </c:marker>
            <c:bubble3D val="0"/>
            <c:extLst>
              <c:ext xmlns:c16="http://schemas.microsoft.com/office/drawing/2014/chart" uri="{C3380CC4-5D6E-409C-BE32-E72D297353CC}">
                <c16:uniqueId val="{0000000E-DA20-49E3-8FA5-D6DB20D927F0}"/>
              </c:ext>
            </c:extLst>
          </c:dPt>
          <c:dPt>
            <c:idx val="15"/>
            <c:marker>
              <c:spPr>
                <a:solidFill>
                  <a:srgbClr val="708E00"/>
                </a:solidFill>
                <a:ln w="9525">
                  <a:solidFill>
                    <a:schemeClr val="accent1"/>
                  </a:solidFill>
                </a:ln>
                <a:effectLst/>
              </c:spPr>
            </c:marker>
            <c:bubble3D val="0"/>
            <c:extLst>
              <c:ext xmlns:c16="http://schemas.microsoft.com/office/drawing/2014/chart" uri="{C3380CC4-5D6E-409C-BE32-E72D297353CC}">
                <c16:uniqueId val="{0000000F-DA20-49E3-8FA5-D6DB20D927F0}"/>
              </c:ext>
            </c:extLst>
          </c:dPt>
          <c:dPt>
            <c:idx val="16"/>
            <c:marker>
              <c:spPr>
                <a:solidFill>
                  <a:srgbClr val="00B846"/>
                </a:solidFill>
                <a:ln w="9525">
                  <a:solidFill>
                    <a:schemeClr val="accent1"/>
                  </a:solidFill>
                </a:ln>
                <a:effectLst/>
              </c:spPr>
            </c:marker>
            <c:bubble3D val="0"/>
            <c:extLst>
              <c:ext xmlns:c16="http://schemas.microsoft.com/office/drawing/2014/chart" uri="{C3380CC4-5D6E-409C-BE32-E72D297353CC}">
                <c16:uniqueId val="{00000010-DA20-49E3-8FA5-D6DB20D927F0}"/>
              </c:ext>
            </c:extLst>
          </c:dPt>
          <c:dPt>
            <c:idx val="17"/>
            <c:marker>
              <c:spPr>
                <a:solidFill>
                  <a:srgbClr val="00718D"/>
                </a:solidFill>
                <a:ln w="9525">
                  <a:solidFill>
                    <a:schemeClr val="accent1"/>
                  </a:solidFill>
                </a:ln>
                <a:effectLst/>
              </c:spPr>
            </c:marker>
            <c:bubble3D val="0"/>
            <c:extLst>
              <c:ext xmlns:c16="http://schemas.microsoft.com/office/drawing/2014/chart" uri="{C3380CC4-5D6E-409C-BE32-E72D297353CC}">
                <c16:uniqueId val="{00000011-DA20-49E3-8FA5-D6DB20D927F0}"/>
              </c:ext>
            </c:extLst>
          </c:dPt>
          <c:dPt>
            <c:idx val="18"/>
            <c:marker>
              <c:spPr>
                <a:solidFill>
                  <a:srgbClr val="00D42A"/>
                </a:solidFill>
                <a:ln w="9525">
                  <a:solidFill>
                    <a:schemeClr val="accent1"/>
                  </a:solidFill>
                </a:ln>
                <a:effectLst/>
              </c:spPr>
            </c:marker>
            <c:bubble3D val="0"/>
            <c:extLst>
              <c:ext xmlns:c16="http://schemas.microsoft.com/office/drawing/2014/chart" uri="{C3380CC4-5D6E-409C-BE32-E72D297353CC}">
                <c16:uniqueId val="{00000012-DA20-49E3-8FA5-D6DB20D927F0}"/>
              </c:ext>
            </c:extLst>
          </c:dPt>
          <c:dPt>
            <c:idx val="19"/>
            <c:marker>
              <c:spPr>
                <a:solidFill>
                  <a:srgbClr val="32CC00"/>
                </a:solidFill>
                <a:ln w="9525">
                  <a:solidFill>
                    <a:schemeClr val="accent1"/>
                  </a:solidFill>
                </a:ln>
                <a:effectLst/>
              </c:spPr>
            </c:marker>
            <c:bubble3D val="0"/>
            <c:extLst>
              <c:ext xmlns:c16="http://schemas.microsoft.com/office/drawing/2014/chart" uri="{C3380CC4-5D6E-409C-BE32-E72D297353CC}">
                <c16:uniqueId val="{00000013-DA20-49E3-8FA5-D6DB20D927F0}"/>
              </c:ext>
            </c:extLst>
          </c:dPt>
          <c:dPt>
            <c:idx val="20"/>
            <c:marker>
              <c:spPr>
                <a:solidFill>
                  <a:srgbClr val="000CF2"/>
                </a:solidFill>
                <a:ln w="9525">
                  <a:solidFill>
                    <a:schemeClr val="accent1"/>
                  </a:solidFill>
                </a:ln>
                <a:effectLst/>
              </c:spPr>
            </c:marker>
            <c:bubble3D val="0"/>
            <c:extLst>
              <c:ext xmlns:c16="http://schemas.microsoft.com/office/drawing/2014/chart" uri="{C3380CC4-5D6E-409C-BE32-E72D297353CC}">
                <c16:uniqueId val="{00000014-DA20-49E3-8FA5-D6DB20D927F0}"/>
              </c:ext>
            </c:extLst>
          </c:dPt>
          <c:dPt>
            <c:idx val="21"/>
            <c:marker>
              <c:spPr>
                <a:solidFill>
                  <a:srgbClr val="004CB2"/>
                </a:solidFill>
                <a:ln w="9525">
                  <a:solidFill>
                    <a:schemeClr val="accent1"/>
                  </a:solidFill>
                </a:ln>
                <a:effectLst/>
              </c:spPr>
            </c:marker>
            <c:bubble3D val="0"/>
            <c:extLst>
              <c:ext xmlns:c16="http://schemas.microsoft.com/office/drawing/2014/chart" uri="{C3380CC4-5D6E-409C-BE32-E72D297353CC}">
                <c16:uniqueId val="{00000015-DA20-49E3-8FA5-D6DB20D927F0}"/>
              </c:ext>
            </c:extLst>
          </c:dPt>
          <c:dPt>
            <c:idx val="22"/>
            <c:marker>
              <c:spPr>
                <a:solidFill>
                  <a:srgbClr val="0000FF"/>
                </a:solidFill>
                <a:ln w="9525">
                  <a:solidFill>
                    <a:schemeClr val="accent1"/>
                  </a:solidFill>
                </a:ln>
                <a:effectLst/>
              </c:spPr>
            </c:marker>
            <c:bubble3D val="0"/>
            <c:extLst>
              <c:ext xmlns:c16="http://schemas.microsoft.com/office/drawing/2014/chart" uri="{C3380CC4-5D6E-409C-BE32-E72D297353CC}">
                <c16:uniqueId val="{00000016-DA20-49E3-8FA5-D6DB20D927F0}"/>
              </c:ext>
            </c:extLst>
          </c:dPt>
          <c:dPt>
            <c:idx val="23"/>
            <c:marker>
              <c:spPr>
                <a:solidFill>
                  <a:srgbClr val="0000FF"/>
                </a:solidFill>
                <a:ln w="9525">
                  <a:solidFill>
                    <a:schemeClr val="accent1"/>
                  </a:solidFill>
                </a:ln>
                <a:effectLst/>
              </c:spPr>
            </c:marker>
            <c:bubble3D val="0"/>
            <c:extLst>
              <c:ext xmlns:c16="http://schemas.microsoft.com/office/drawing/2014/chart" uri="{C3380CC4-5D6E-409C-BE32-E72D297353CC}">
                <c16:uniqueId val="{00000017-DA20-49E3-8FA5-D6DB20D927F0}"/>
              </c:ext>
            </c:extLst>
          </c:dPt>
          <c:dPt>
            <c:idx val="24"/>
            <c:marker>
              <c:spPr>
                <a:solidFill>
                  <a:srgbClr val="003DC1"/>
                </a:solidFill>
                <a:ln w="9525">
                  <a:solidFill>
                    <a:schemeClr val="accent1"/>
                  </a:solidFill>
                </a:ln>
                <a:effectLst/>
              </c:spPr>
            </c:marker>
            <c:bubble3D val="0"/>
            <c:extLst>
              <c:ext xmlns:c16="http://schemas.microsoft.com/office/drawing/2014/chart" uri="{C3380CC4-5D6E-409C-BE32-E72D297353CC}">
                <c16:uniqueId val="{00000018-DA20-49E3-8FA5-D6DB20D927F0}"/>
              </c:ext>
            </c:extLst>
          </c:dPt>
          <c:dPt>
            <c:idx val="25"/>
            <c:marker>
              <c:spPr>
                <a:solidFill>
                  <a:srgbClr val="00BA44"/>
                </a:solidFill>
                <a:ln w="9525">
                  <a:solidFill>
                    <a:schemeClr val="accent1"/>
                  </a:solidFill>
                </a:ln>
                <a:effectLst/>
              </c:spPr>
            </c:marker>
            <c:bubble3D val="0"/>
            <c:extLst>
              <c:ext xmlns:c16="http://schemas.microsoft.com/office/drawing/2014/chart" uri="{C3380CC4-5D6E-409C-BE32-E72D297353CC}">
                <c16:uniqueId val="{00000019-DA20-49E3-8FA5-D6DB20D927F0}"/>
              </c:ext>
            </c:extLst>
          </c:dPt>
          <c:dPt>
            <c:idx val="26"/>
            <c:marker>
              <c:spPr>
                <a:solidFill>
                  <a:srgbClr val="00EE10"/>
                </a:solidFill>
                <a:ln w="9525">
                  <a:solidFill>
                    <a:schemeClr val="accent1"/>
                  </a:solidFill>
                </a:ln>
                <a:effectLst/>
              </c:spPr>
            </c:marker>
            <c:bubble3D val="0"/>
            <c:extLst>
              <c:ext xmlns:c16="http://schemas.microsoft.com/office/drawing/2014/chart" uri="{C3380CC4-5D6E-409C-BE32-E72D297353CC}">
                <c16:uniqueId val="{0000001A-DA20-49E3-8FA5-D6DB20D927F0}"/>
              </c:ext>
            </c:extLst>
          </c:dPt>
          <c:dPt>
            <c:idx val="27"/>
            <c:marker>
              <c:spPr>
                <a:solidFill>
                  <a:srgbClr val="001FDF"/>
                </a:solidFill>
                <a:ln w="9525">
                  <a:solidFill>
                    <a:schemeClr val="accent1"/>
                  </a:solidFill>
                </a:ln>
                <a:effectLst/>
              </c:spPr>
            </c:marker>
            <c:bubble3D val="0"/>
            <c:extLst>
              <c:ext xmlns:c16="http://schemas.microsoft.com/office/drawing/2014/chart" uri="{C3380CC4-5D6E-409C-BE32-E72D297353CC}">
                <c16:uniqueId val="{0000001B-DA20-49E3-8FA5-D6DB20D927F0}"/>
              </c:ext>
            </c:extLst>
          </c:dPt>
          <c:dPt>
            <c:idx val="28"/>
            <c:marker>
              <c:spPr>
                <a:solidFill>
                  <a:srgbClr val="56A800"/>
                </a:solidFill>
                <a:ln w="9525">
                  <a:solidFill>
                    <a:schemeClr val="accent1"/>
                  </a:solidFill>
                </a:ln>
                <a:effectLst/>
              </c:spPr>
            </c:marker>
            <c:bubble3D val="0"/>
            <c:extLst>
              <c:ext xmlns:c16="http://schemas.microsoft.com/office/drawing/2014/chart" uri="{C3380CC4-5D6E-409C-BE32-E72D297353CC}">
                <c16:uniqueId val="{0000001C-DA20-49E3-8FA5-D6DB20D927F0}"/>
              </c:ext>
            </c:extLst>
          </c:dPt>
          <c:dPt>
            <c:idx val="29"/>
            <c:marker>
              <c:spPr>
                <a:solidFill>
                  <a:srgbClr val="003BC3"/>
                </a:solidFill>
                <a:ln w="9525">
                  <a:solidFill>
                    <a:schemeClr val="accent1"/>
                  </a:solidFill>
                </a:ln>
                <a:effectLst/>
              </c:spPr>
            </c:marker>
            <c:bubble3D val="0"/>
            <c:extLst>
              <c:ext xmlns:c16="http://schemas.microsoft.com/office/drawing/2014/chart" uri="{C3380CC4-5D6E-409C-BE32-E72D297353CC}">
                <c16:uniqueId val="{0000001D-DA20-49E3-8FA5-D6DB20D927F0}"/>
              </c:ext>
            </c:extLst>
          </c:dPt>
          <c:dPt>
            <c:idx val="30"/>
            <c:marker>
              <c:spPr>
                <a:solidFill>
                  <a:srgbClr val="005BA3"/>
                </a:solidFill>
                <a:ln w="9525">
                  <a:solidFill>
                    <a:schemeClr val="accent1"/>
                  </a:solidFill>
                </a:ln>
                <a:effectLst/>
              </c:spPr>
            </c:marker>
            <c:bubble3D val="0"/>
            <c:extLst>
              <c:ext xmlns:c16="http://schemas.microsoft.com/office/drawing/2014/chart" uri="{C3380CC4-5D6E-409C-BE32-E72D297353CC}">
                <c16:uniqueId val="{0000001E-DA20-49E3-8FA5-D6DB20D927F0}"/>
              </c:ext>
            </c:extLst>
          </c:dPt>
          <c:dPt>
            <c:idx val="31"/>
            <c:marker>
              <c:spPr>
                <a:solidFill>
                  <a:srgbClr val="0000FF"/>
                </a:solidFill>
                <a:ln w="9525">
                  <a:solidFill>
                    <a:schemeClr val="accent1"/>
                  </a:solidFill>
                </a:ln>
                <a:effectLst/>
              </c:spPr>
            </c:marker>
            <c:bubble3D val="0"/>
            <c:extLst>
              <c:ext xmlns:c16="http://schemas.microsoft.com/office/drawing/2014/chart" uri="{C3380CC4-5D6E-409C-BE32-E72D297353CC}">
                <c16:uniqueId val="{0000001F-DA20-49E3-8FA5-D6DB20D927F0}"/>
              </c:ext>
            </c:extLst>
          </c:dPt>
          <c:dPt>
            <c:idx val="32"/>
            <c:marker>
              <c:spPr>
                <a:solidFill>
                  <a:srgbClr val="00E21C"/>
                </a:solidFill>
                <a:ln w="9525">
                  <a:solidFill>
                    <a:schemeClr val="accent1"/>
                  </a:solidFill>
                </a:ln>
                <a:effectLst/>
              </c:spPr>
            </c:marker>
            <c:bubble3D val="0"/>
            <c:extLst>
              <c:ext xmlns:c16="http://schemas.microsoft.com/office/drawing/2014/chart" uri="{C3380CC4-5D6E-409C-BE32-E72D297353CC}">
                <c16:uniqueId val="{00000020-DA20-49E3-8FA5-D6DB20D927F0}"/>
              </c:ext>
            </c:extLst>
          </c:dPt>
          <c:dPt>
            <c:idx val="33"/>
            <c:marker>
              <c:spPr>
                <a:solidFill>
                  <a:srgbClr val="008D71"/>
                </a:solidFill>
                <a:ln w="9525">
                  <a:solidFill>
                    <a:schemeClr val="accent1"/>
                  </a:solidFill>
                </a:ln>
                <a:effectLst/>
              </c:spPr>
            </c:marker>
            <c:bubble3D val="0"/>
            <c:extLst>
              <c:ext xmlns:c16="http://schemas.microsoft.com/office/drawing/2014/chart" uri="{C3380CC4-5D6E-409C-BE32-E72D297353CC}">
                <c16:uniqueId val="{00000021-DA20-49E3-8FA5-D6DB20D927F0}"/>
              </c:ext>
            </c:extLst>
          </c:dPt>
          <c:dPt>
            <c:idx val="34"/>
            <c:marker>
              <c:spPr>
                <a:solidFill>
                  <a:srgbClr val="0000FF"/>
                </a:solidFill>
                <a:ln w="9525">
                  <a:solidFill>
                    <a:schemeClr val="accent1"/>
                  </a:solidFill>
                </a:ln>
                <a:effectLst/>
              </c:spPr>
            </c:marker>
            <c:bubble3D val="0"/>
            <c:extLst>
              <c:ext xmlns:c16="http://schemas.microsoft.com/office/drawing/2014/chart" uri="{C3380CC4-5D6E-409C-BE32-E72D297353CC}">
                <c16:uniqueId val="{00000022-DA20-49E3-8FA5-D6DB20D927F0}"/>
              </c:ext>
            </c:extLst>
          </c:dPt>
          <c:dPt>
            <c:idx val="35"/>
            <c:marker>
              <c:spPr>
                <a:solidFill>
                  <a:srgbClr val="00728C"/>
                </a:solidFill>
                <a:ln w="9525">
                  <a:solidFill>
                    <a:schemeClr val="accent1"/>
                  </a:solidFill>
                </a:ln>
                <a:effectLst/>
              </c:spPr>
            </c:marker>
            <c:bubble3D val="0"/>
            <c:extLst>
              <c:ext xmlns:c16="http://schemas.microsoft.com/office/drawing/2014/chart" uri="{C3380CC4-5D6E-409C-BE32-E72D297353CC}">
                <c16:uniqueId val="{00000023-DA20-49E3-8FA5-D6DB20D927F0}"/>
              </c:ext>
            </c:extLst>
          </c:dPt>
          <c:dPt>
            <c:idx val="36"/>
            <c:marker>
              <c:spPr>
                <a:solidFill>
                  <a:srgbClr val="0036C8"/>
                </a:solidFill>
                <a:ln w="9525">
                  <a:solidFill>
                    <a:schemeClr val="accent1"/>
                  </a:solidFill>
                </a:ln>
                <a:effectLst/>
              </c:spPr>
            </c:marker>
            <c:bubble3D val="0"/>
            <c:extLst>
              <c:ext xmlns:c16="http://schemas.microsoft.com/office/drawing/2014/chart" uri="{C3380CC4-5D6E-409C-BE32-E72D297353CC}">
                <c16:uniqueId val="{00000024-DA20-49E3-8FA5-D6DB20D927F0}"/>
              </c:ext>
            </c:extLst>
          </c:dPt>
          <c:dPt>
            <c:idx val="37"/>
            <c:marker>
              <c:spPr>
                <a:solidFill>
                  <a:srgbClr val="00B846"/>
                </a:solidFill>
                <a:ln w="9525">
                  <a:solidFill>
                    <a:schemeClr val="accent1"/>
                  </a:solidFill>
                </a:ln>
                <a:effectLst/>
              </c:spPr>
            </c:marker>
            <c:bubble3D val="0"/>
            <c:extLst>
              <c:ext xmlns:c16="http://schemas.microsoft.com/office/drawing/2014/chart" uri="{C3380CC4-5D6E-409C-BE32-E72D297353CC}">
                <c16:uniqueId val="{00000025-DA20-49E3-8FA5-D6DB20D927F0}"/>
              </c:ext>
            </c:extLst>
          </c:dPt>
          <c:dPt>
            <c:idx val="38"/>
            <c:marker>
              <c:spPr>
                <a:solidFill>
                  <a:srgbClr val="004BB3"/>
                </a:solidFill>
                <a:ln w="9525">
                  <a:solidFill>
                    <a:schemeClr val="accent1"/>
                  </a:solidFill>
                </a:ln>
                <a:effectLst/>
              </c:spPr>
            </c:marker>
            <c:bubble3D val="0"/>
            <c:extLst>
              <c:ext xmlns:c16="http://schemas.microsoft.com/office/drawing/2014/chart" uri="{C3380CC4-5D6E-409C-BE32-E72D297353CC}">
                <c16:uniqueId val="{00000026-DA20-49E3-8FA5-D6DB20D927F0}"/>
              </c:ext>
            </c:extLst>
          </c:dPt>
          <c:dPt>
            <c:idx val="39"/>
            <c:marker>
              <c:spPr>
                <a:solidFill>
                  <a:srgbClr val="00C13D"/>
                </a:solidFill>
                <a:ln w="9525">
                  <a:solidFill>
                    <a:schemeClr val="accent1"/>
                  </a:solidFill>
                </a:ln>
                <a:effectLst/>
              </c:spPr>
            </c:marker>
            <c:bubble3D val="0"/>
            <c:extLst>
              <c:ext xmlns:c16="http://schemas.microsoft.com/office/drawing/2014/chart" uri="{C3380CC4-5D6E-409C-BE32-E72D297353CC}">
                <c16:uniqueId val="{00000027-DA20-49E3-8FA5-D6DB20D927F0}"/>
              </c:ext>
            </c:extLst>
          </c:dPt>
          <c:dPt>
            <c:idx val="40"/>
            <c:marker>
              <c:spPr>
                <a:solidFill>
                  <a:srgbClr val="007787"/>
                </a:solidFill>
                <a:ln w="9525">
                  <a:solidFill>
                    <a:schemeClr val="accent1"/>
                  </a:solidFill>
                </a:ln>
                <a:effectLst/>
              </c:spPr>
            </c:marker>
            <c:bubble3D val="0"/>
            <c:extLst>
              <c:ext xmlns:c16="http://schemas.microsoft.com/office/drawing/2014/chart" uri="{C3380CC4-5D6E-409C-BE32-E72D297353CC}">
                <c16:uniqueId val="{00000028-DA20-49E3-8FA5-D6DB20D927F0}"/>
              </c:ext>
            </c:extLst>
          </c:dPt>
          <c:dPt>
            <c:idx val="41"/>
            <c:marker>
              <c:spPr>
                <a:solidFill>
                  <a:srgbClr val="006599"/>
                </a:solidFill>
                <a:ln w="9525">
                  <a:solidFill>
                    <a:schemeClr val="accent1"/>
                  </a:solidFill>
                </a:ln>
                <a:effectLst/>
              </c:spPr>
            </c:marker>
            <c:bubble3D val="0"/>
            <c:extLst>
              <c:ext xmlns:c16="http://schemas.microsoft.com/office/drawing/2014/chart" uri="{C3380CC4-5D6E-409C-BE32-E72D297353CC}">
                <c16:uniqueId val="{00000029-DA20-49E3-8FA5-D6DB20D927F0}"/>
              </c:ext>
            </c:extLst>
          </c:dPt>
          <c:dPt>
            <c:idx val="42"/>
            <c:marker>
              <c:spPr>
                <a:solidFill>
                  <a:srgbClr val="0046B8"/>
                </a:solidFill>
                <a:ln w="9525">
                  <a:solidFill>
                    <a:schemeClr val="accent1"/>
                  </a:solidFill>
                </a:ln>
                <a:effectLst/>
              </c:spPr>
            </c:marker>
            <c:bubble3D val="0"/>
            <c:extLst>
              <c:ext xmlns:c16="http://schemas.microsoft.com/office/drawing/2014/chart" uri="{C3380CC4-5D6E-409C-BE32-E72D297353CC}">
                <c16:uniqueId val="{0000002A-DA20-49E3-8FA5-D6DB20D927F0}"/>
              </c:ext>
            </c:extLst>
          </c:dPt>
          <c:dPt>
            <c:idx val="43"/>
            <c:marker>
              <c:spPr>
                <a:solidFill>
                  <a:srgbClr val="008579"/>
                </a:solidFill>
                <a:ln w="9525">
                  <a:solidFill>
                    <a:schemeClr val="accent1"/>
                  </a:solidFill>
                </a:ln>
                <a:effectLst/>
              </c:spPr>
            </c:marker>
            <c:bubble3D val="0"/>
            <c:extLst>
              <c:ext xmlns:c16="http://schemas.microsoft.com/office/drawing/2014/chart" uri="{C3380CC4-5D6E-409C-BE32-E72D297353CC}">
                <c16:uniqueId val="{0000002B-DA20-49E3-8FA5-D6DB20D927F0}"/>
              </c:ext>
            </c:extLst>
          </c:dPt>
          <c:dPt>
            <c:idx val="44"/>
            <c:marker>
              <c:spPr>
                <a:solidFill>
                  <a:srgbClr val="0000FF"/>
                </a:solidFill>
                <a:ln w="9525">
                  <a:solidFill>
                    <a:schemeClr val="accent1"/>
                  </a:solidFill>
                </a:ln>
                <a:effectLst/>
              </c:spPr>
            </c:marker>
            <c:bubble3D val="0"/>
            <c:extLst>
              <c:ext xmlns:c16="http://schemas.microsoft.com/office/drawing/2014/chart" uri="{C3380CC4-5D6E-409C-BE32-E72D297353CC}">
                <c16:uniqueId val="{0000002C-DA20-49E3-8FA5-D6DB20D927F0}"/>
              </c:ext>
            </c:extLst>
          </c:dPt>
          <c:dPt>
            <c:idx val="45"/>
            <c:marker>
              <c:spPr>
                <a:solidFill>
                  <a:srgbClr val="18E600"/>
                </a:solidFill>
                <a:ln w="9525">
                  <a:solidFill>
                    <a:schemeClr val="accent1"/>
                  </a:solidFill>
                </a:ln>
                <a:effectLst/>
              </c:spPr>
            </c:marker>
            <c:bubble3D val="0"/>
            <c:extLst>
              <c:ext xmlns:c16="http://schemas.microsoft.com/office/drawing/2014/chart" uri="{C3380CC4-5D6E-409C-BE32-E72D297353CC}">
                <c16:uniqueId val="{0000002D-DA20-49E3-8FA5-D6DB20D927F0}"/>
              </c:ext>
            </c:extLst>
          </c:dPt>
          <c:dPt>
            <c:idx val="46"/>
            <c:marker>
              <c:spPr>
                <a:solidFill>
                  <a:srgbClr val="00C935"/>
                </a:solidFill>
                <a:ln w="9525">
                  <a:solidFill>
                    <a:schemeClr val="accent1"/>
                  </a:solidFill>
                </a:ln>
                <a:effectLst/>
              </c:spPr>
            </c:marker>
            <c:bubble3D val="0"/>
            <c:extLst>
              <c:ext xmlns:c16="http://schemas.microsoft.com/office/drawing/2014/chart" uri="{C3380CC4-5D6E-409C-BE32-E72D297353CC}">
                <c16:uniqueId val="{0000002E-DA20-49E3-8FA5-D6DB20D927F0}"/>
              </c:ext>
            </c:extLst>
          </c:dPt>
          <c:dPt>
            <c:idx val="47"/>
            <c:marker>
              <c:spPr>
                <a:solidFill>
                  <a:srgbClr val="008777"/>
                </a:solidFill>
                <a:ln w="9525">
                  <a:solidFill>
                    <a:schemeClr val="accent1"/>
                  </a:solidFill>
                </a:ln>
                <a:effectLst/>
              </c:spPr>
            </c:marker>
            <c:bubble3D val="0"/>
            <c:extLst>
              <c:ext xmlns:c16="http://schemas.microsoft.com/office/drawing/2014/chart" uri="{C3380CC4-5D6E-409C-BE32-E72D297353CC}">
                <c16:uniqueId val="{0000002F-DA20-49E3-8FA5-D6DB20D927F0}"/>
              </c:ext>
            </c:extLst>
          </c:dPt>
          <c:dPt>
            <c:idx val="48"/>
            <c:marker>
              <c:spPr>
                <a:solidFill>
                  <a:srgbClr val="003EC0"/>
                </a:solidFill>
                <a:ln w="9525">
                  <a:solidFill>
                    <a:schemeClr val="accent1"/>
                  </a:solidFill>
                </a:ln>
                <a:effectLst/>
              </c:spPr>
            </c:marker>
            <c:bubble3D val="0"/>
            <c:extLst>
              <c:ext xmlns:c16="http://schemas.microsoft.com/office/drawing/2014/chart" uri="{C3380CC4-5D6E-409C-BE32-E72D297353CC}">
                <c16:uniqueId val="{00000030-DA20-49E3-8FA5-D6DB20D927F0}"/>
              </c:ext>
            </c:extLst>
          </c:dPt>
          <c:dPt>
            <c:idx val="49"/>
            <c:marker>
              <c:spPr>
                <a:solidFill>
                  <a:srgbClr val="006698"/>
                </a:solidFill>
                <a:ln w="9525">
                  <a:solidFill>
                    <a:schemeClr val="accent1"/>
                  </a:solidFill>
                </a:ln>
                <a:effectLst/>
              </c:spPr>
            </c:marker>
            <c:bubble3D val="0"/>
            <c:extLst>
              <c:ext xmlns:c16="http://schemas.microsoft.com/office/drawing/2014/chart" uri="{C3380CC4-5D6E-409C-BE32-E72D297353CC}">
                <c16:uniqueId val="{00000031-DA20-49E3-8FA5-D6DB20D927F0}"/>
              </c:ext>
            </c:extLst>
          </c:dPt>
          <c:dPt>
            <c:idx val="50"/>
            <c:marker>
              <c:spPr>
                <a:solidFill>
                  <a:srgbClr val="002FCF"/>
                </a:solidFill>
                <a:ln w="9525">
                  <a:solidFill>
                    <a:schemeClr val="accent1"/>
                  </a:solidFill>
                </a:ln>
                <a:effectLst/>
              </c:spPr>
            </c:marker>
            <c:bubble3D val="0"/>
            <c:extLst>
              <c:ext xmlns:c16="http://schemas.microsoft.com/office/drawing/2014/chart" uri="{C3380CC4-5D6E-409C-BE32-E72D297353CC}">
                <c16:uniqueId val="{00000032-DA20-49E3-8FA5-D6DB20D927F0}"/>
              </c:ext>
            </c:extLst>
          </c:dPt>
          <c:dPt>
            <c:idx val="51"/>
            <c:marker>
              <c:spPr>
                <a:solidFill>
                  <a:srgbClr val="0006F8"/>
                </a:solidFill>
                <a:ln w="9525">
                  <a:solidFill>
                    <a:schemeClr val="accent1"/>
                  </a:solidFill>
                </a:ln>
                <a:effectLst/>
              </c:spPr>
            </c:marker>
            <c:bubble3D val="0"/>
            <c:extLst>
              <c:ext xmlns:c16="http://schemas.microsoft.com/office/drawing/2014/chart" uri="{C3380CC4-5D6E-409C-BE32-E72D297353CC}">
                <c16:uniqueId val="{00000033-DA20-49E3-8FA5-D6DB20D927F0}"/>
              </c:ext>
            </c:extLst>
          </c:dPt>
          <c:dPt>
            <c:idx val="52"/>
            <c:marker>
              <c:spPr>
                <a:solidFill>
                  <a:srgbClr val="008678"/>
                </a:solidFill>
                <a:ln w="9525">
                  <a:solidFill>
                    <a:schemeClr val="accent1"/>
                  </a:solidFill>
                </a:ln>
                <a:effectLst/>
              </c:spPr>
            </c:marker>
            <c:bubble3D val="0"/>
            <c:extLst>
              <c:ext xmlns:c16="http://schemas.microsoft.com/office/drawing/2014/chart" uri="{C3380CC4-5D6E-409C-BE32-E72D297353CC}">
                <c16:uniqueId val="{00000034-DA20-49E3-8FA5-D6DB20D927F0}"/>
              </c:ext>
            </c:extLst>
          </c:dPt>
          <c:dPt>
            <c:idx val="53"/>
            <c:marker>
              <c:spPr>
                <a:solidFill>
                  <a:srgbClr val="00619D"/>
                </a:solidFill>
                <a:ln w="9525">
                  <a:solidFill>
                    <a:schemeClr val="accent1"/>
                  </a:solidFill>
                </a:ln>
                <a:effectLst/>
              </c:spPr>
            </c:marker>
            <c:bubble3D val="0"/>
            <c:extLst>
              <c:ext xmlns:c16="http://schemas.microsoft.com/office/drawing/2014/chart" uri="{C3380CC4-5D6E-409C-BE32-E72D297353CC}">
                <c16:uniqueId val="{00000035-DA20-49E3-8FA5-D6DB20D927F0}"/>
              </c:ext>
            </c:extLst>
          </c:dPt>
          <c:dPt>
            <c:idx val="54"/>
            <c:marker>
              <c:spPr>
                <a:solidFill>
                  <a:srgbClr val="003AC4"/>
                </a:solidFill>
                <a:ln w="9525">
                  <a:solidFill>
                    <a:schemeClr val="accent1"/>
                  </a:solidFill>
                </a:ln>
                <a:effectLst/>
              </c:spPr>
            </c:marker>
            <c:bubble3D val="0"/>
            <c:extLst>
              <c:ext xmlns:c16="http://schemas.microsoft.com/office/drawing/2014/chart" uri="{C3380CC4-5D6E-409C-BE32-E72D297353CC}">
                <c16:uniqueId val="{00000036-DA20-49E3-8FA5-D6DB20D927F0}"/>
              </c:ext>
            </c:extLst>
          </c:dPt>
          <c:dPt>
            <c:idx val="55"/>
            <c:marker>
              <c:spPr>
                <a:solidFill>
                  <a:srgbClr val="0026D8"/>
                </a:solidFill>
                <a:ln w="9525">
                  <a:solidFill>
                    <a:schemeClr val="accent1"/>
                  </a:solidFill>
                </a:ln>
                <a:effectLst/>
              </c:spPr>
            </c:marker>
            <c:bubble3D val="0"/>
            <c:extLst>
              <c:ext xmlns:c16="http://schemas.microsoft.com/office/drawing/2014/chart" uri="{C3380CC4-5D6E-409C-BE32-E72D297353CC}">
                <c16:uniqueId val="{00000037-DA20-49E3-8FA5-D6DB20D927F0}"/>
              </c:ext>
            </c:extLst>
          </c:dPt>
          <c:dPt>
            <c:idx val="56"/>
            <c:marker>
              <c:spPr>
                <a:solidFill>
                  <a:srgbClr val="000FEF"/>
                </a:solidFill>
                <a:ln w="9525">
                  <a:solidFill>
                    <a:schemeClr val="accent1"/>
                  </a:solidFill>
                </a:ln>
                <a:effectLst/>
              </c:spPr>
            </c:marker>
            <c:bubble3D val="0"/>
            <c:extLst>
              <c:ext xmlns:c16="http://schemas.microsoft.com/office/drawing/2014/chart" uri="{C3380CC4-5D6E-409C-BE32-E72D297353CC}">
                <c16:uniqueId val="{00000038-DA20-49E3-8FA5-D6DB20D927F0}"/>
              </c:ext>
            </c:extLst>
          </c:dPt>
          <c:dPt>
            <c:idx val="57"/>
            <c:marker>
              <c:spPr>
                <a:solidFill>
                  <a:srgbClr val="0000FF"/>
                </a:solidFill>
                <a:ln w="9525">
                  <a:solidFill>
                    <a:schemeClr val="accent1"/>
                  </a:solidFill>
                </a:ln>
                <a:effectLst/>
              </c:spPr>
            </c:marker>
            <c:bubble3D val="0"/>
            <c:extLst>
              <c:ext xmlns:c16="http://schemas.microsoft.com/office/drawing/2014/chart" uri="{C3380CC4-5D6E-409C-BE32-E72D297353CC}">
                <c16:uniqueId val="{00000039-DA20-49E3-8FA5-D6DB20D927F0}"/>
              </c:ext>
            </c:extLst>
          </c:dPt>
          <c:dPt>
            <c:idx val="58"/>
            <c:marker>
              <c:spPr>
                <a:solidFill>
                  <a:srgbClr val="0047B7"/>
                </a:solidFill>
                <a:ln w="9525">
                  <a:solidFill>
                    <a:schemeClr val="accent1"/>
                  </a:solidFill>
                </a:ln>
                <a:effectLst/>
              </c:spPr>
            </c:marker>
            <c:bubble3D val="0"/>
            <c:extLst>
              <c:ext xmlns:c16="http://schemas.microsoft.com/office/drawing/2014/chart" uri="{C3380CC4-5D6E-409C-BE32-E72D297353CC}">
                <c16:uniqueId val="{0000003A-DA20-49E3-8FA5-D6DB20D927F0}"/>
              </c:ext>
            </c:extLst>
          </c:dPt>
          <c:dPt>
            <c:idx val="59"/>
            <c:marker>
              <c:spPr>
                <a:solidFill>
                  <a:srgbClr val="00837B"/>
                </a:solidFill>
                <a:ln w="9525">
                  <a:solidFill>
                    <a:schemeClr val="accent1"/>
                  </a:solidFill>
                </a:ln>
                <a:effectLst/>
              </c:spPr>
            </c:marker>
            <c:bubble3D val="0"/>
            <c:extLst>
              <c:ext xmlns:c16="http://schemas.microsoft.com/office/drawing/2014/chart" uri="{C3380CC4-5D6E-409C-BE32-E72D297353CC}">
                <c16:uniqueId val="{0000003B-DA20-49E3-8FA5-D6DB20D927F0}"/>
              </c:ext>
            </c:extLst>
          </c:dPt>
          <c:dPt>
            <c:idx val="60"/>
            <c:marker>
              <c:spPr>
                <a:solidFill>
                  <a:srgbClr val="005BA3"/>
                </a:solidFill>
                <a:ln w="9525">
                  <a:solidFill>
                    <a:schemeClr val="accent1"/>
                  </a:solidFill>
                </a:ln>
                <a:effectLst/>
              </c:spPr>
            </c:marker>
            <c:bubble3D val="0"/>
            <c:extLst>
              <c:ext xmlns:c16="http://schemas.microsoft.com/office/drawing/2014/chart" uri="{C3380CC4-5D6E-409C-BE32-E72D297353CC}">
                <c16:uniqueId val="{0000003C-DA20-49E3-8FA5-D6DB20D927F0}"/>
              </c:ext>
            </c:extLst>
          </c:dPt>
          <c:dPt>
            <c:idx val="61"/>
            <c:marker>
              <c:spPr>
                <a:solidFill>
                  <a:srgbClr val="0020DE"/>
                </a:solidFill>
                <a:ln w="9525">
                  <a:solidFill>
                    <a:schemeClr val="accent1"/>
                  </a:solidFill>
                </a:ln>
                <a:effectLst/>
              </c:spPr>
            </c:marker>
            <c:bubble3D val="0"/>
            <c:extLst>
              <c:ext xmlns:c16="http://schemas.microsoft.com/office/drawing/2014/chart" uri="{C3380CC4-5D6E-409C-BE32-E72D297353CC}">
                <c16:uniqueId val="{0000003D-DA20-49E3-8FA5-D6DB20D927F0}"/>
              </c:ext>
            </c:extLst>
          </c:dPt>
          <c:dPt>
            <c:idx val="62"/>
            <c:marker>
              <c:spPr>
                <a:solidFill>
                  <a:srgbClr val="0024DA"/>
                </a:solidFill>
                <a:ln w="9525">
                  <a:solidFill>
                    <a:schemeClr val="accent1"/>
                  </a:solidFill>
                </a:ln>
                <a:effectLst/>
              </c:spPr>
            </c:marker>
            <c:bubble3D val="0"/>
            <c:extLst>
              <c:ext xmlns:c16="http://schemas.microsoft.com/office/drawing/2014/chart" uri="{C3380CC4-5D6E-409C-BE32-E72D297353CC}">
                <c16:uniqueId val="{0000003E-DA20-49E3-8FA5-D6DB20D927F0}"/>
              </c:ext>
            </c:extLst>
          </c:dPt>
          <c:dPt>
            <c:idx val="63"/>
            <c:marker>
              <c:spPr>
                <a:solidFill>
                  <a:srgbClr val="009569"/>
                </a:solidFill>
                <a:ln w="9525">
                  <a:solidFill>
                    <a:schemeClr val="accent1"/>
                  </a:solidFill>
                </a:ln>
                <a:effectLst/>
              </c:spPr>
            </c:marker>
            <c:bubble3D val="0"/>
            <c:extLst>
              <c:ext xmlns:c16="http://schemas.microsoft.com/office/drawing/2014/chart" uri="{C3380CC4-5D6E-409C-BE32-E72D297353CC}">
                <c16:uniqueId val="{0000003F-DA20-49E3-8FA5-D6DB20D927F0}"/>
              </c:ext>
            </c:extLst>
          </c:dPt>
          <c:dPt>
            <c:idx val="64"/>
            <c:marker>
              <c:spPr>
                <a:solidFill>
                  <a:srgbClr val="0034CA"/>
                </a:solidFill>
                <a:ln w="9525">
                  <a:solidFill>
                    <a:schemeClr val="accent1"/>
                  </a:solidFill>
                </a:ln>
                <a:effectLst/>
              </c:spPr>
            </c:marker>
            <c:bubble3D val="0"/>
            <c:extLst>
              <c:ext xmlns:c16="http://schemas.microsoft.com/office/drawing/2014/chart" uri="{C3380CC4-5D6E-409C-BE32-E72D297353CC}">
                <c16:uniqueId val="{00000040-DA20-49E3-8FA5-D6DB20D927F0}"/>
              </c:ext>
            </c:extLst>
          </c:dPt>
          <c:dPt>
            <c:idx val="65"/>
            <c:marker>
              <c:spPr>
                <a:solidFill>
                  <a:srgbClr val="006995"/>
                </a:solidFill>
                <a:ln w="9525">
                  <a:solidFill>
                    <a:schemeClr val="accent1"/>
                  </a:solidFill>
                </a:ln>
                <a:effectLst/>
              </c:spPr>
            </c:marker>
            <c:bubble3D val="0"/>
            <c:extLst>
              <c:ext xmlns:c16="http://schemas.microsoft.com/office/drawing/2014/chart" uri="{C3380CC4-5D6E-409C-BE32-E72D297353CC}">
                <c16:uniqueId val="{00000041-DA20-49E3-8FA5-D6DB20D927F0}"/>
              </c:ext>
            </c:extLst>
          </c:dPt>
          <c:dPt>
            <c:idx val="66"/>
            <c:marker>
              <c:spPr>
                <a:solidFill>
                  <a:srgbClr val="0020DE"/>
                </a:solidFill>
                <a:ln w="9525">
                  <a:solidFill>
                    <a:schemeClr val="accent1"/>
                  </a:solidFill>
                </a:ln>
                <a:effectLst/>
              </c:spPr>
            </c:marker>
            <c:bubble3D val="0"/>
            <c:extLst>
              <c:ext xmlns:c16="http://schemas.microsoft.com/office/drawing/2014/chart" uri="{C3380CC4-5D6E-409C-BE32-E72D297353CC}">
                <c16:uniqueId val="{00000042-DA20-49E3-8FA5-D6DB20D927F0}"/>
              </c:ext>
            </c:extLst>
          </c:dPt>
          <c:dPt>
            <c:idx val="67"/>
            <c:marker>
              <c:spPr>
                <a:solidFill>
                  <a:srgbClr val="00639B"/>
                </a:solidFill>
                <a:ln w="9525">
                  <a:solidFill>
                    <a:schemeClr val="accent1"/>
                  </a:solidFill>
                </a:ln>
                <a:effectLst/>
              </c:spPr>
            </c:marker>
            <c:bubble3D val="0"/>
            <c:extLst>
              <c:ext xmlns:c16="http://schemas.microsoft.com/office/drawing/2014/chart" uri="{C3380CC4-5D6E-409C-BE32-E72D297353CC}">
                <c16:uniqueId val="{00000043-DA20-49E3-8FA5-D6DB20D927F0}"/>
              </c:ext>
            </c:extLst>
          </c:dPt>
          <c:dPt>
            <c:idx val="68"/>
            <c:marker>
              <c:spPr>
                <a:solidFill>
                  <a:srgbClr val="0030CE"/>
                </a:solidFill>
                <a:ln w="9525">
                  <a:solidFill>
                    <a:schemeClr val="accent1"/>
                  </a:solidFill>
                </a:ln>
                <a:effectLst/>
              </c:spPr>
            </c:marker>
            <c:bubble3D val="0"/>
            <c:extLst>
              <c:ext xmlns:c16="http://schemas.microsoft.com/office/drawing/2014/chart" uri="{C3380CC4-5D6E-409C-BE32-E72D297353CC}">
                <c16:uniqueId val="{00000044-DA20-49E3-8FA5-D6DB20D927F0}"/>
              </c:ext>
            </c:extLst>
          </c:dPt>
          <c:dPt>
            <c:idx val="69"/>
            <c:marker>
              <c:spPr>
                <a:solidFill>
                  <a:srgbClr val="006896"/>
                </a:solidFill>
                <a:ln w="9525">
                  <a:solidFill>
                    <a:schemeClr val="accent1"/>
                  </a:solidFill>
                </a:ln>
                <a:effectLst/>
              </c:spPr>
            </c:marker>
            <c:bubble3D val="0"/>
            <c:extLst>
              <c:ext xmlns:c16="http://schemas.microsoft.com/office/drawing/2014/chart" uri="{C3380CC4-5D6E-409C-BE32-E72D297353CC}">
                <c16:uniqueId val="{00000045-DA20-49E3-8FA5-D6DB20D927F0}"/>
              </c:ext>
            </c:extLst>
          </c:dPt>
          <c:dPt>
            <c:idx val="70"/>
            <c:marker>
              <c:spPr>
                <a:solidFill>
                  <a:srgbClr val="0000FF"/>
                </a:solidFill>
                <a:ln w="9525">
                  <a:solidFill>
                    <a:schemeClr val="accent1"/>
                  </a:solidFill>
                </a:ln>
                <a:effectLst/>
              </c:spPr>
            </c:marker>
            <c:bubble3D val="0"/>
            <c:extLst>
              <c:ext xmlns:c16="http://schemas.microsoft.com/office/drawing/2014/chart" uri="{C3380CC4-5D6E-409C-BE32-E72D297353CC}">
                <c16:uniqueId val="{00000046-DA20-49E3-8FA5-D6DB20D927F0}"/>
              </c:ext>
            </c:extLst>
          </c:dPt>
          <c:dPt>
            <c:idx val="71"/>
            <c:marker>
              <c:spPr>
                <a:solidFill>
                  <a:srgbClr val="007787"/>
                </a:solidFill>
                <a:ln w="9525">
                  <a:solidFill>
                    <a:schemeClr val="accent1"/>
                  </a:solidFill>
                </a:ln>
                <a:effectLst/>
              </c:spPr>
            </c:marker>
            <c:bubble3D val="0"/>
            <c:extLst>
              <c:ext xmlns:c16="http://schemas.microsoft.com/office/drawing/2014/chart" uri="{C3380CC4-5D6E-409C-BE32-E72D297353CC}">
                <c16:uniqueId val="{00000047-DA20-49E3-8FA5-D6DB20D927F0}"/>
              </c:ext>
            </c:extLst>
          </c:dPt>
          <c:dPt>
            <c:idx val="72"/>
            <c:marker>
              <c:spPr>
                <a:solidFill>
                  <a:srgbClr val="0041BD"/>
                </a:solidFill>
                <a:ln w="9525">
                  <a:solidFill>
                    <a:schemeClr val="accent1"/>
                  </a:solidFill>
                </a:ln>
                <a:effectLst/>
              </c:spPr>
            </c:marker>
            <c:bubble3D val="0"/>
            <c:extLst>
              <c:ext xmlns:c16="http://schemas.microsoft.com/office/drawing/2014/chart" uri="{C3380CC4-5D6E-409C-BE32-E72D297353CC}">
                <c16:uniqueId val="{00000048-DA20-49E3-8FA5-D6DB20D927F0}"/>
              </c:ext>
            </c:extLst>
          </c:dPt>
          <c:dPt>
            <c:idx val="73"/>
            <c:marker>
              <c:spPr>
                <a:solidFill>
                  <a:srgbClr val="00936B"/>
                </a:solidFill>
                <a:ln w="9525">
                  <a:solidFill>
                    <a:schemeClr val="accent1"/>
                  </a:solidFill>
                </a:ln>
                <a:effectLst/>
              </c:spPr>
            </c:marker>
            <c:bubble3D val="0"/>
            <c:extLst>
              <c:ext xmlns:c16="http://schemas.microsoft.com/office/drawing/2014/chart" uri="{C3380CC4-5D6E-409C-BE32-E72D297353CC}">
                <c16:uniqueId val="{00000049-DA20-49E3-8FA5-D6DB20D927F0}"/>
              </c:ext>
            </c:extLst>
          </c:dPt>
          <c:dPt>
            <c:idx val="74"/>
            <c:marker>
              <c:spPr>
                <a:solidFill>
                  <a:srgbClr val="001FDF"/>
                </a:solidFill>
                <a:ln w="9525">
                  <a:solidFill>
                    <a:schemeClr val="accent1"/>
                  </a:solidFill>
                </a:ln>
                <a:effectLst/>
              </c:spPr>
            </c:marker>
            <c:bubble3D val="0"/>
            <c:extLst>
              <c:ext xmlns:c16="http://schemas.microsoft.com/office/drawing/2014/chart" uri="{C3380CC4-5D6E-409C-BE32-E72D297353CC}">
                <c16:uniqueId val="{0000004A-DA20-49E3-8FA5-D6DB20D927F0}"/>
              </c:ext>
            </c:extLst>
          </c:dPt>
          <c:dPt>
            <c:idx val="75"/>
            <c:marker>
              <c:spPr>
                <a:solidFill>
                  <a:srgbClr val="0005F9"/>
                </a:solidFill>
                <a:ln w="9525">
                  <a:solidFill>
                    <a:schemeClr val="accent1"/>
                  </a:solidFill>
                </a:ln>
                <a:effectLst/>
              </c:spPr>
            </c:marker>
            <c:bubble3D val="0"/>
            <c:extLst>
              <c:ext xmlns:c16="http://schemas.microsoft.com/office/drawing/2014/chart" uri="{C3380CC4-5D6E-409C-BE32-E72D297353CC}">
                <c16:uniqueId val="{0000004B-DA20-49E3-8FA5-D6DB20D927F0}"/>
              </c:ext>
            </c:extLst>
          </c:dPt>
          <c:dPt>
            <c:idx val="76"/>
            <c:marker>
              <c:spPr>
                <a:solidFill>
                  <a:srgbClr val="00B14D"/>
                </a:solidFill>
                <a:ln w="9525">
                  <a:solidFill>
                    <a:schemeClr val="accent1"/>
                  </a:solidFill>
                </a:ln>
                <a:effectLst/>
              </c:spPr>
            </c:marker>
            <c:bubble3D val="0"/>
            <c:extLst>
              <c:ext xmlns:c16="http://schemas.microsoft.com/office/drawing/2014/chart" uri="{C3380CC4-5D6E-409C-BE32-E72D297353CC}">
                <c16:uniqueId val="{0000004C-DA20-49E3-8FA5-D6DB20D927F0}"/>
              </c:ext>
            </c:extLst>
          </c:dPt>
          <c:dPt>
            <c:idx val="77"/>
            <c:marker>
              <c:spPr>
                <a:solidFill>
                  <a:srgbClr val="007F7F"/>
                </a:solidFill>
                <a:ln w="9525">
                  <a:solidFill>
                    <a:schemeClr val="accent1"/>
                  </a:solidFill>
                </a:ln>
                <a:effectLst/>
              </c:spPr>
            </c:marker>
            <c:bubble3D val="0"/>
            <c:extLst>
              <c:ext xmlns:c16="http://schemas.microsoft.com/office/drawing/2014/chart" uri="{C3380CC4-5D6E-409C-BE32-E72D297353CC}">
                <c16:uniqueId val="{0000004D-DA20-49E3-8FA5-D6DB20D927F0}"/>
              </c:ext>
            </c:extLst>
          </c:dPt>
          <c:dPt>
            <c:idx val="78"/>
            <c:marker>
              <c:spPr>
                <a:solidFill>
                  <a:srgbClr val="0034CA"/>
                </a:solidFill>
                <a:ln w="9525">
                  <a:solidFill>
                    <a:schemeClr val="accent1"/>
                  </a:solidFill>
                </a:ln>
                <a:effectLst/>
              </c:spPr>
            </c:marker>
            <c:bubble3D val="0"/>
            <c:extLst>
              <c:ext xmlns:c16="http://schemas.microsoft.com/office/drawing/2014/chart" uri="{C3380CC4-5D6E-409C-BE32-E72D297353CC}">
                <c16:uniqueId val="{0000004E-DA20-49E3-8FA5-D6DB20D927F0}"/>
              </c:ext>
            </c:extLst>
          </c:dPt>
          <c:dPt>
            <c:idx val="79"/>
            <c:marker>
              <c:spPr>
                <a:solidFill>
                  <a:srgbClr val="006C92"/>
                </a:solidFill>
                <a:ln w="9525">
                  <a:solidFill>
                    <a:schemeClr val="accent1"/>
                  </a:solidFill>
                </a:ln>
                <a:effectLst/>
              </c:spPr>
            </c:marker>
            <c:bubble3D val="0"/>
            <c:extLst>
              <c:ext xmlns:c16="http://schemas.microsoft.com/office/drawing/2014/chart" uri="{C3380CC4-5D6E-409C-BE32-E72D297353CC}">
                <c16:uniqueId val="{0000004F-DA20-49E3-8FA5-D6DB20D927F0}"/>
              </c:ext>
            </c:extLst>
          </c:dPt>
          <c:dPt>
            <c:idx val="80"/>
            <c:marker>
              <c:spPr>
                <a:solidFill>
                  <a:srgbClr val="006896"/>
                </a:solidFill>
                <a:ln w="9525">
                  <a:solidFill>
                    <a:schemeClr val="accent1"/>
                  </a:solidFill>
                </a:ln>
                <a:effectLst/>
              </c:spPr>
            </c:marker>
            <c:bubble3D val="0"/>
            <c:extLst>
              <c:ext xmlns:c16="http://schemas.microsoft.com/office/drawing/2014/chart" uri="{C3380CC4-5D6E-409C-BE32-E72D297353CC}">
                <c16:uniqueId val="{00000050-DA20-49E3-8FA5-D6DB20D927F0}"/>
              </c:ext>
            </c:extLst>
          </c:dPt>
          <c:dPt>
            <c:idx val="81"/>
            <c:marker>
              <c:spPr>
                <a:solidFill>
                  <a:srgbClr val="003BC3"/>
                </a:solidFill>
                <a:ln w="9525">
                  <a:solidFill>
                    <a:schemeClr val="accent1"/>
                  </a:solidFill>
                </a:ln>
                <a:effectLst/>
              </c:spPr>
            </c:marker>
            <c:bubble3D val="0"/>
            <c:extLst>
              <c:ext xmlns:c16="http://schemas.microsoft.com/office/drawing/2014/chart" uri="{C3380CC4-5D6E-409C-BE32-E72D297353CC}">
                <c16:uniqueId val="{00000051-DA20-49E3-8FA5-D6DB20D927F0}"/>
              </c:ext>
            </c:extLst>
          </c:dPt>
          <c:dPt>
            <c:idx val="82"/>
            <c:marker>
              <c:spPr>
                <a:solidFill>
                  <a:srgbClr val="0000FF"/>
                </a:solidFill>
                <a:ln w="9525">
                  <a:solidFill>
                    <a:schemeClr val="accent1"/>
                  </a:solidFill>
                </a:ln>
                <a:effectLst/>
              </c:spPr>
            </c:marker>
            <c:bubble3D val="0"/>
            <c:extLst>
              <c:ext xmlns:c16="http://schemas.microsoft.com/office/drawing/2014/chart" uri="{C3380CC4-5D6E-409C-BE32-E72D297353CC}">
                <c16:uniqueId val="{00000052-DA20-49E3-8FA5-D6DB20D927F0}"/>
              </c:ext>
            </c:extLst>
          </c:dPt>
          <c:dPt>
            <c:idx val="83"/>
            <c:marker>
              <c:spPr>
                <a:solidFill>
                  <a:srgbClr val="0000FF"/>
                </a:solidFill>
                <a:ln w="9525">
                  <a:solidFill>
                    <a:schemeClr val="accent1"/>
                  </a:solidFill>
                </a:ln>
                <a:effectLst/>
              </c:spPr>
            </c:marker>
            <c:bubble3D val="0"/>
            <c:extLst>
              <c:ext xmlns:c16="http://schemas.microsoft.com/office/drawing/2014/chart" uri="{C3380CC4-5D6E-409C-BE32-E72D297353CC}">
                <c16:uniqueId val="{00000053-DA20-49E3-8FA5-D6DB20D927F0}"/>
              </c:ext>
            </c:extLst>
          </c:dPt>
          <c:dPt>
            <c:idx val="84"/>
            <c:marker>
              <c:spPr>
                <a:solidFill>
                  <a:srgbClr val="0000FF"/>
                </a:solidFill>
                <a:ln w="9525">
                  <a:solidFill>
                    <a:schemeClr val="accent1"/>
                  </a:solidFill>
                </a:ln>
                <a:effectLst/>
              </c:spPr>
            </c:marker>
            <c:bubble3D val="0"/>
            <c:extLst>
              <c:ext xmlns:c16="http://schemas.microsoft.com/office/drawing/2014/chart" uri="{C3380CC4-5D6E-409C-BE32-E72D297353CC}">
                <c16:uniqueId val="{00000054-DA20-49E3-8FA5-D6DB20D927F0}"/>
              </c:ext>
            </c:extLst>
          </c:dPt>
          <c:dPt>
            <c:idx val="85"/>
            <c:marker>
              <c:spPr>
                <a:solidFill>
                  <a:srgbClr val="0000FF"/>
                </a:solidFill>
                <a:ln w="9525">
                  <a:solidFill>
                    <a:schemeClr val="accent1"/>
                  </a:solidFill>
                </a:ln>
                <a:effectLst/>
              </c:spPr>
            </c:marker>
            <c:bubble3D val="0"/>
            <c:extLst>
              <c:ext xmlns:c16="http://schemas.microsoft.com/office/drawing/2014/chart" uri="{C3380CC4-5D6E-409C-BE32-E72D297353CC}">
                <c16:uniqueId val="{00000055-DA20-49E3-8FA5-D6DB20D927F0}"/>
              </c:ext>
            </c:extLst>
          </c:dPt>
          <c:dPt>
            <c:idx val="86"/>
            <c:marker>
              <c:spPr>
                <a:solidFill>
                  <a:srgbClr val="877700"/>
                </a:solidFill>
                <a:ln w="9525">
                  <a:solidFill>
                    <a:schemeClr val="accent1"/>
                  </a:solidFill>
                </a:ln>
                <a:effectLst/>
              </c:spPr>
            </c:marker>
            <c:bubble3D val="0"/>
            <c:extLst>
              <c:ext xmlns:c16="http://schemas.microsoft.com/office/drawing/2014/chart" uri="{C3380CC4-5D6E-409C-BE32-E72D297353CC}">
                <c16:uniqueId val="{00000056-DA20-49E3-8FA5-D6DB20D927F0}"/>
              </c:ext>
            </c:extLst>
          </c:dPt>
          <c:dPt>
            <c:idx val="87"/>
            <c:marker>
              <c:spPr>
                <a:solidFill>
                  <a:srgbClr val="0028D6"/>
                </a:solidFill>
                <a:ln w="9525">
                  <a:solidFill>
                    <a:schemeClr val="accent1"/>
                  </a:solidFill>
                </a:ln>
                <a:effectLst/>
              </c:spPr>
            </c:marker>
            <c:bubble3D val="0"/>
            <c:extLst>
              <c:ext xmlns:c16="http://schemas.microsoft.com/office/drawing/2014/chart" uri="{C3380CC4-5D6E-409C-BE32-E72D297353CC}">
                <c16:uniqueId val="{00000057-DA20-49E3-8FA5-D6DB20D927F0}"/>
              </c:ext>
            </c:extLst>
          </c:dPt>
          <c:dPt>
            <c:idx val="88"/>
            <c:marker>
              <c:spPr>
                <a:solidFill>
                  <a:srgbClr val="0033CB"/>
                </a:solidFill>
                <a:ln w="9525">
                  <a:solidFill>
                    <a:schemeClr val="accent1"/>
                  </a:solidFill>
                </a:ln>
                <a:effectLst/>
              </c:spPr>
            </c:marker>
            <c:bubble3D val="0"/>
            <c:extLst>
              <c:ext xmlns:c16="http://schemas.microsoft.com/office/drawing/2014/chart" uri="{C3380CC4-5D6E-409C-BE32-E72D297353CC}">
                <c16:uniqueId val="{00000058-DA20-49E3-8FA5-D6DB20D927F0}"/>
              </c:ext>
            </c:extLst>
          </c:dPt>
          <c:dPt>
            <c:idx val="89"/>
            <c:marker>
              <c:spPr>
                <a:solidFill>
                  <a:srgbClr val="0059A5"/>
                </a:solidFill>
                <a:ln w="9525">
                  <a:solidFill>
                    <a:schemeClr val="accent1"/>
                  </a:solidFill>
                </a:ln>
                <a:effectLst/>
              </c:spPr>
            </c:marker>
            <c:bubble3D val="0"/>
            <c:extLst>
              <c:ext xmlns:c16="http://schemas.microsoft.com/office/drawing/2014/chart" uri="{C3380CC4-5D6E-409C-BE32-E72D297353CC}">
                <c16:uniqueId val="{00000059-DA20-49E3-8FA5-D6DB20D927F0}"/>
              </c:ext>
            </c:extLst>
          </c:dPt>
          <c:dPt>
            <c:idx val="90"/>
            <c:marker>
              <c:spPr>
                <a:solidFill>
                  <a:srgbClr val="004DB1"/>
                </a:solidFill>
                <a:ln w="9525">
                  <a:solidFill>
                    <a:schemeClr val="accent1"/>
                  </a:solidFill>
                </a:ln>
                <a:effectLst/>
              </c:spPr>
            </c:marker>
            <c:bubble3D val="0"/>
            <c:extLst>
              <c:ext xmlns:c16="http://schemas.microsoft.com/office/drawing/2014/chart" uri="{C3380CC4-5D6E-409C-BE32-E72D297353CC}">
                <c16:uniqueId val="{0000005A-DA20-49E3-8FA5-D6DB20D927F0}"/>
              </c:ext>
            </c:extLst>
          </c:dPt>
          <c:dPt>
            <c:idx val="91"/>
            <c:marker>
              <c:spPr>
                <a:solidFill>
                  <a:srgbClr val="0025D9"/>
                </a:solidFill>
                <a:ln w="9525">
                  <a:solidFill>
                    <a:schemeClr val="accent1"/>
                  </a:solidFill>
                </a:ln>
                <a:effectLst/>
              </c:spPr>
            </c:marker>
            <c:bubble3D val="0"/>
            <c:extLst>
              <c:ext xmlns:c16="http://schemas.microsoft.com/office/drawing/2014/chart" uri="{C3380CC4-5D6E-409C-BE32-E72D297353CC}">
                <c16:uniqueId val="{0000005B-DA20-49E3-8FA5-D6DB20D927F0}"/>
              </c:ext>
            </c:extLst>
          </c:dPt>
          <c:dPt>
            <c:idx val="92"/>
            <c:marker>
              <c:spPr>
                <a:solidFill>
                  <a:srgbClr val="00DB23"/>
                </a:solidFill>
                <a:ln w="9525">
                  <a:solidFill>
                    <a:schemeClr val="accent1"/>
                  </a:solidFill>
                </a:ln>
                <a:effectLst/>
              </c:spPr>
            </c:marker>
            <c:bubble3D val="0"/>
            <c:extLst>
              <c:ext xmlns:c16="http://schemas.microsoft.com/office/drawing/2014/chart" uri="{C3380CC4-5D6E-409C-BE32-E72D297353CC}">
                <c16:uniqueId val="{0000005C-DA20-49E3-8FA5-D6DB20D927F0}"/>
              </c:ext>
            </c:extLst>
          </c:dPt>
          <c:dPt>
            <c:idx val="93"/>
            <c:marker>
              <c:spPr>
                <a:solidFill>
                  <a:srgbClr val="004CB2"/>
                </a:solidFill>
                <a:ln w="9525">
                  <a:solidFill>
                    <a:schemeClr val="accent1"/>
                  </a:solidFill>
                </a:ln>
                <a:effectLst/>
              </c:spPr>
            </c:marker>
            <c:bubble3D val="0"/>
            <c:extLst>
              <c:ext xmlns:c16="http://schemas.microsoft.com/office/drawing/2014/chart" uri="{C3380CC4-5D6E-409C-BE32-E72D297353CC}">
                <c16:uniqueId val="{0000005D-DA20-49E3-8FA5-D6DB20D927F0}"/>
              </c:ext>
            </c:extLst>
          </c:dPt>
          <c:dPt>
            <c:idx val="94"/>
            <c:marker>
              <c:spPr>
                <a:solidFill>
                  <a:srgbClr val="008579"/>
                </a:solidFill>
                <a:ln w="9525">
                  <a:solidFill>
                    <a:schemeClr val="accent1"/>
                  </a:solidFill>
                </a:ln>
                <a:effectLst/>
              </c:spPr>
            </c:marker>
            <c:bubble3D val="0"/>
            <c:extLst>
              <c:ext xmlns:c16="http://schemas.microsoft.com/office/drawing/2014/chart" uri="{C3380CC4-5D6E-409C-BE32-E72D297353CC}">
                <c16:uniqueId val="{0000005E-DA20-49E3-8FA5-D6DB20D927F0}"/>
              </c:ext>
            </c:extLst>
          </c:dPt>
          <c:dPt>
            <c:idx val="95"/>
            <c:marker>
              <c:spPr>
                <a:solidFill>
                  <a:srgbClr val="0000FF"/>
                </a:solidFill>
                <a:ln w="9525">
                  <a:solidFill>
                    <a:schemeClr val="accent1"/>
                  </a:solidFill>
                </a:ln>
                <a:effectLst/>
              </c:spPr>
            </c:marker>
            <c:bubble3D val="0"/>
            <c:extLst>
              <c:ext xmlns:c16="http://schemas.microsoft.com/office/drawing/2014/chart" uri="{C3380CC4-5D6E-409C-BE32-E72D297353CC}">
                <c16:uniqueId val="{0000005F-DA20-49E3-8FA5-D6DB20D927F0}"/>
              </c:ext>
            </c:extLst>
          </c:dPt>
          <c:dPt>
            <c:idx val="96"/>
            <c:marker>
              <c:spPr>
                <a:solidFill>
                  <a:srgbClr val="003CC2"/>
                </a:solidFill>
                <a:ln w="9525">
                  <a:solidFill>
                    <a:schemeClr val="accent1"/>
                  </a:solidFill>
                </a:ln>
                <a:effectLst/>
              </c:spPr>
            </c:marker>
            <c:bubble3D val="0"/>
            <c:extLst>
              <c:ext xmlns:c16="http://schemas.microsoft.com/office/drawing/2014/chart" uri="{C3380CC4-5D6E-409C-BE32-E72D297353CC}">
                <c16:uniqueId val="{00000060-DA20-49E3-8FA5-D6DB20D927F0}"/>
              </c:ext>
            </c:extLst>
          </c:dPt>
          <c:dPt>
            <c:idx val="97"/>
            <c:marker>
              <c:spPr>
                <a:solidFill>
                  <a:srgbClr val="0000FF"/>
                </a:solidFill>
                <a:ln w="9525">
                  <a:solidFill>
                    <a:schemeClr val="accent1"/>
                  </a:solidFill>
                </a:ln>
                <a:effectLst/>
              </c:spPr>
            </c:marker>
            <c:bubble3D val="0"/>
            <c:extLst>
              <c:ext xmlns:c16="http://schemas.microsoft.com/office/drawing/2014/chart" uri="{C3380CC4-5D6E-409C-BE32-E72D297353CC}">
                <c16:uniqueId val="{00000061-DA20-49E3-8FA5-D6DB20D927F0}"/>
              </c:ext>
            </c:extLst>
          </c:dPt>
          <c:dPt>
            <c:idx val="98"/>
            <c:marker>
              <c:spPr>
                <a:solidFill>
                  <a:srgbClr val="0000FF"/>
                </a:solidFill>
                <a:ln w="9525">
                  <a:solidFill>
                    <a:schemeClr val="accent1"/>
                  </a:solidFill>
                </a:ln>
                <a:effectLst/>
              </c:spPr>
            </c:marker>
            <c:bubble3D val="0"/>
            <c:extLst>
              <c:ext xmlns:c16="http://schemas.microsoft.com/office/drawing/2014/chart" uri="{C3380CC4-5D6E-409C-BE32-E72D297353CC}">
                <c16:uniqueId val="{00000062-DA20-49E3-8FA5-D6DB20D927F0}"/>
              </c:ext>
            </c:extLst>
          </c:dPt>
          <c:dPt>
            <c:idx val="99"/>
            <c:marker>
              <c:spPr>
                <a:solidFill>
                  <a:srgbClr val="0057A7"/>
                </a:solidFill>
                <a:ln w="9525">
                  <a:solidFill>
                    <a:schemeClr val="accent1"/>
                  </a:solidFill>
                </a:ln>
                <a:effectLst/>
              </c:spPr>
            </c:marker>
            <c:bubble3D val="0"/>
            <c:extLst>
              <c:ext xmlns:c16="http://schemas.microsoft.com/office/drawing/2014/chart" uri="{C3380CC4-5D6E-409C-BE32-E72D297353CC}">
                <c16:uniqueId val="{00000063-DA20-49E3-8FA5-D6DB20D927F0}"/>
              </c:ext>
            </c:extLst>
          </c:dPt>
          <c:dPt>
            <c:idx val="100"/>
            <c:marker>
              <c:spPr>
                <a:solidFill>
                  <a:srgbClr val="0009F5"/>
                </a:solidFill>
                <a:ln w="9525">
                  <a:solidFill>
                    <a:schemeClr val="accent1"/>
                  </a:solidFill>
                </a:ln>
                <a:effectLst/>
              </c:spPr>
            </c:marker>
            <c:bubble3D val="0"/>
            <c:extLst>
              <c:ext xmlns:c16="http://schemas.microsoft.com/office/drawing/2014/chart" uri="{C3380CC4-5D6E-409C-BE32-E72D297353CC}">
                <c16:uniqueId val="{00000064-DA20-49E3-8FA5-D6DB20D927F0}"/>
              </c:ext>
            </c:extLst>
          </c:dPt>
          <c:dPt>
            <c:idx val="101"/>
            <c:marker>
              <c:spPr>
                <a:solidFill>
                  <a:srgbClr val="0000FF"/>
                </a:solidFill>
                <a:ln w="9525">
                  <a:solidFill>
                    <a:schemeClr val="accent1"/>
                  </a:solidFill>
                </a:ln>
                <a:effectLst/>
              </c:spPr>
            </c:marker>
            <c:bubble3D val="0"/>
            <c:extLst>
              <c:ext xmlns:c16="http://schemas.microsoft.com/office/drawing/2014/chart" uri="{C3380CC4-5D6E-409C-BE32-E72D297353CC}">
                <c16:uniqueId val="{00000065-DA20-49E3-8FA5-D6DB20D927F0}"/>
              </c:ext>
            </c:extLst>
          </c:dPt>
          <c:dPt>
            <c:idx val="102"/>
            <c:marker>
              <c:spPr>
                <a:solidFill>
                  <a:srgbClr val="004FAF"/>
                </a:solidFill>
                <a:ln w="9525">
                  <a:solidFill>
                    <a:schemeClr val="accent1"/>
                  </a:solidFill>
                </a:ln>
                <a:effectLst/>
              </c:spPr>
            </c:marker>
            <c:bubble3D val="0"/>
            <c:extLst>
              <c:ext xmlns:c16="http://schemas.microsoft.com/office/drawing/2014/chart" uri="{C3380CC4-5D6E-409C-BE32-E72D297353CC}">
                <c16:uniqueId val="{00000066-DA20-49E3-8FA5-D6DB20D927F0}"/>
              </c:ext>
            </c:extLst>
          </c:dPt>
          <c:dPt>
            <c:idx val="103"/>
            <c:marker>
              <c:spPr>
                <a:solidFill>
                  <a:srgbClr val="0038C6"/>
                </a:solidFill>
                <a:ln w="9525">
                  <a:solidFill>
                    <a:schemeClr val="accent1"/>
                  </a:solidFill>
                </a:ln>
                <a:effectLst/>
              </c:spPr>
            </c:marker>
            <c:bubble3D val="0"/>
            <c:extLst>
              <c:ext xmlns:c16="http://schemas.microsoft.com/office/drawing/2014/chart" uri="{C3380CC4-5D6E-409C-BE32-E72D297353CC}">
                <c16:uniqueId val="{00000067-DA20-49E3-8FA5-D6DB20D927F0}"/>
              </c:ext>
            </c:extLst>
          </c:dPt>
          <c:dPt>
            <c:idx val="104"/>
            <c:marker>
              <c:spPr>
                <a:solidFill>
                  <a:srgbClr val="002AD4"/>
                </a:solidFill>
                <a:ln w="9525">
                  <a:solidFill>
                    <a:schemeClr val="accent1"/>
                  </a:solidFill>
                </a:ln>
                <a:effectLst/>
              </c:spPr>
            </c:marker>
            <c:bubble3D val="0"/>
            <c:extLst>
              <c:ext xmlns:c16="http://schemas.microsoft.com/office/drawing/2014/chart" uri="{C3380CC4-5D6E-409C-BE32-E72D297353CC}">
                <c16:uniqueId val="{00000068-DA20-49E3-8FA5-D6DB20D927F0}"/>
              </c:ext>
            </c:extLst>
          </c:dPt>
          <c:dPt>
            <c:idx val="105"/>
            <c:marker>
              <c:spPr>
                <a:solidFill>
                  <a:srgbClr val="0036C8"/>
                </a:solidFill>
                <a:ln w="9525">
                  <a:solidFill>
                    <a:schemeClr val="accent1"/>
                  </a:solidFill>
                </a:ln>
                <a:effectLst/>
              </c:spPr>
            </c:marker>
            <c:bubble3D val="0"/>
            <c:extLst>
              <c:ext xmlns:c16="http://schemas.microsoft.com/office/drawing/2014/chart" uri="{C3380CC4-5D6E-409C-BE32-E72D297353CC}">
                <c16:uniqueId val="{00000069-DA20-49E3-8FA5-D6DB20D927F0}"/>
              </c:ext>
            </c:extLst>
          </c:dPt>
          <c:dPt>
            <c:idx val="106"/>
            <c:marker>
              <c:spPr>
                <a:solidFill>
                  <a:srgbClr val="0000FF"/>
                </a:solidFill>
                <a:ln w="9525">
                  <a:solidFill>
                    <a:schemeClr val="accent1"/>
                  </a:solidFill>
                </a:ln>
                <a:effectLst/>
              </c:spPr>
            </c:marker>
            <c:bubble3D val="0"/>
            <c:extLst>
              <c:ext xmlns:c16="http://schemas.microsoft.com/office/drawing/2014/chart" uri="{C3380CC4-5D6E-409C-BE32-E72D297353CC}">
                <c16:uniqueId val="{0000006A-DA20-49E3-8FA5-D6DB20D927F0}"/>
              </c:ext>
            </c:extLst>
          </c:dPt>
          <c:dPt>
            <c:idx val="107"/>
            <c:marker>
              <c:spPr>
                <a:solidFill>
                  <a:srgbClr val="0000FF"/>
                </a:solidFill>
                <a:ln w="9525">
                  <a:solidFill>
                    <a:schemeClr val="accent1"/>
                  </a:solidFill>
                </a:ln>
                <a:effectLst/>
              </c:spPr>
            </c:marker>
            <c:bubble3D val="0"/>
            <c:extLst>
              <c:ext xmlns:c16="http://schemas.microsoft.com/office/drawing/2014/chart" uri="{C3380CC4-5D6E-409C-BE32-E72D297353CC}">
                <c16:uniqueId val="{0000006B-DA20-49E3-8FA5-D6DB20D927F0}"/>
              </c:ext>
            </c:extLst>
          </c:dPt>
          <c:dPt>
            <c:idx val="108"/>
            <c:marker>
              <c:spPr>
                <a:solidFill>
                  <a:srgbClr val="0000FF"/>
                </a:solidFill>
                <a:ln w="9525">
                  <a:solidFill>
                    <a:schemeClr val="accent1"/>
                  </a:solidFill>
                </a:ln>
                <a:effectLst/>
              </c:spPr>
            </c:marker>
            <c:bubble3D val="0"/>
            <c:extLst>
              <c:ext xmlns:c16="http://schemas.microsoft.com/office/drawing/2014/chart" uri="{C3380CC4-5D6E-409C-BE32-E72D297353CC}">
                <c16:uniqueId val="{0000006C-DA20-49E3-8FA5-D6DB20D927F0}"/>
              </c:ext>
            </c:extLst>
          </c:dPt>
          <c:dPt>
            <c:idx val="109"/>
            <c:marker>
              <c:spPr>
                <a:solidFill>
                  <a:srgbClr val="728C00"/>
                </a:solidFill>
                <a:ln w="9525">
                  <a:solidFill>
                    <a:schemeClr val="accent1"/>
                  </a:solidFill>
                </a:ln>
                <a:effectLst/>
              </c:spPr>
            </c:marker>
            <c:bubble3D val="0"/>
            <c:extLst>
              <c:ext xmlns:c16="http://schemas.microsoft.com/office/drawing/2014/chart" uri="{C3380CC4-5D6E-409C-BE32-E72D297353CC}">
                <c16:uniqueId val="{0000006D-DA20-49E3-8FA5-D6DB20D927F0}"/>
              </c:ext>
            </c:extLst>
          </c:dPt>
          <c:dPt>
            <c:idx val="110"/>
            <c:marker>
              <c:spPr>
                <a:solidFill>
                  <a:srgbClr val="000AF4"/>
                </a:solidFill>
                <a:ln w="9525">
                  <a:solidFill>
                    <a:schemeClr val="accent1"/>
                  </a:solidFill>
                </a:ln>
                <a:effectLst/>
              </c:spPr>
            </c:marker>
            <c:bubble3D val="0"/>
            <c:extLst>
              <c:ext xmlns:c16="http://schemas.microsoft.com/office/drawing/2014/chart" uri="{C3380CC4-5D6E-409C-BE32-E72D297353CC}">
                <c16:uniqueId val="{0000006E-DA20-49E3-8FA5-D6DB20D927F0}"/>
              </c:ext>
            </c:extLst>
          </c:dPt>
          <c:dPt>
            <c:idx val="111"/>
            <c:marker>
              <c:spPr>
                <a:solidFill>
                  <a:srgbClr val="05F900"/>
                </a:solidFill>
                <a:ln w="9525">
                  <a:solidFill>
                    <a:schemeClr val="accent1"/>
                  </a:solidFill>
                </a:ln>
                <a:effectLst/>
              </c:spPr>
            </c:marker>
            <c:bubble3D val="0"/>
            <c:extLst>
              <c:ext xmlns:c16="http://schemas.microsoft.com/office/drawing/2014/chart" uri="{C3380CC4-5D6E-409C-BE32-E72D297353CC}">
                <c16:uniqueId val="{0000006F-DA20-49E3-8FA5-D6DB20D927F0}"/>
              </c:ext>
            </c:extLst>
          </c:dPt>
          <c:dPt>
            <c:idx val="112"/>
            <c:marker>
              <c:spPr>
                <a:solidFill>
                  <a:srgbClr val="006698"/>
                </a:solidFill>
                <a:ln w="9525">
                  <a:solidFill>
                    <a:schemeClr val="accent1"/>
                  </a:solidFill>
                </a:ln>
                <a:effectLst/>
              </c:spPr>
            </c:marker>
            <c:bubble3D val="0"/>
            <c:extLst>
              <c:ext xmlns:c16="http://schemas.microsoft.com/office/drawing/2014/chart" uri="{C3380CC4-5D6E-409C-BE32-E72D297353CC}">
                <c16:uniqueId val="{00000070-DA20-49E3-8FA5-D6DB20D927F0}"/>
              </c:ext>
            </c:extLst>
          </c:dPt>
          <c:dPt>
            <c:idx val="113"/>
            <c:marker>
              <c:spPr>
                <a:solidFill>
                  <a:srgbClr val="0042BC"/>
                </a:solidFill>
                <a:ln w="9525">
                  <a:solidFill>
                    <a:schemeClr val="accent1"/>
                  </a:solidFill>
                </a:ln>
                <a:effectLst/>
              </c:spPr>
            </c:marker>
            <c:bubble3D val="0"/>
            <c:extLst>
              <c:ext xmlns:c16="http://schemas.microsoft.com/office/drawing/2014/chart" uri="{C3380CC4-5D6E-409C-BE32-E72D297353CC}">
                <c16:uniqueId val="{00000071-DA20-49E3-8FA5-D6DB20D927F0}"/>
              </c:ext>
            </c:extLst>
          </c:dPt>
          <c:dPt>
            <c:idx val="114"/>
            <c:marker>
              <c:spPr>
                <a:solidFill>
                  <a:srgbClr val="0017E7"/>
                </a:solidFill>
                <a:ln w="9525">
                  <a:solidFill>
                    <a:schemeClr val="accent1"/>
                  </a:solidFill>
                </a:ln>
                <a:effectLst/>
              </c:spPr>
            </c:marker>
            <c:bubble3D val="0"/>
            <c:extLst>
              <c:ext xmlns:c16="http://schemas.microsoft.com/office/drawing/2014/chart" uri="{C3380CC4-5D6E-409C-BE32-E72D297353CC}">
                <c16:uniqueId val="{00000072-DA20-49E3-8FA5-D6DB20D927F0}"/>
              </c:ext>
            </c:extLst>
          </c:dPt>
          <c:dPt>
            <c:idx val="115"/>
            <c:marker>
              <c:spPr>
                <a:solidFill>
                  <a:srgbClr val="002DD1"/>
                </a:solidFill>
                <a:ln w="9525">
                  <a:solidFill>
                    <a:schemeClr val="accent1"/>
                  </a:solidFill>
                </a:ln>
                <a:effectLst/>
              </c:spPr>
            </c:marker>
            <c:bubble3D val="0"/>
            <c:extLst>
              <c:ext xmlns:c16="http://schemas.microsoft.com/office/drawing/2014/chart" uri="{C3380CC4-5D6E-409C-BE32-E72D297353CC}">
                <c16:uniqueId val="{00000073-DA20-49E3-8FA5-D6DB20D927F0}"/>
              </c:ext>
            </c:extLst>
          </c:dPt>
          <c:dPt>
            <c:idx val="116"/>
            <c:marker>
              <c:spPr>
                <a:solidFill>
                  <a:srgbClr val="0006F8"/>
                </a:solidFill>
                <a:ln w="9525">
                  <a:solidFill>
                    <a:schemeClr val="accent1"/>
                  </a:solidFill>
                </a:ln>
                <a:effectLst/>
              </c:spPr>
            </c:marker>
            <c:bubble3D val="0"/>
            <c:extLst>
              <c:ext xmlns:c16="http://schemas.microsoft.com/office/drawing/2014/chart" uri="{C3380CC4-5D6E-409C-BE32-E72D297353CC}">
                <c16:uniqueId val="{00000074-DA20-49E3-8FA5-D6DB20D927F0}"/>
              </c:ext>
            </c:extLst>
          </c:dPt>
          <c:dPt>
            <c:idx val="117"/>
            <c:marker>
              <c:spPr>
                <a:solidFill>
                  <a:srgbClr val="00718D"/>
                </a:solidFill>
                <a:ln w="9525">
                  <a:solidFill>
                    <a:schemeClr val="accent1"/>
                  </a:solidFill>
                </a:ln>
                <a:effectLst/>
              </c:spPr>
            </c:marker>
            <c:bubble3D val="0"/>
            <c:extLst>
              <c:ext xmlns:c16="http://schemas.microsoft.com/office/drawing/2014/chart" uri="{C3380CC4-5D6E-409C-BE32-E72D297353CC}">
                <c16:uniqueId val="{00000075-DA20-49E3-8FA5-D6DB20D927F0}"/>
              </c:ext>
            </c:extLst>
          </c:dPt>
          <c:dPt>
            <c:idx val="118"/>
            <c:marker>
              <c:spPr>
                <a:solidFill>
                  <a:srgbClr val="00DE20"/>
                </a:solidFill>
                <a:ln w="9525">
                  <a:solidFill>
                    <a:schemeClr val="accent1"/>
                  </a:solidFill>
                </a:ln>
                <a:effectLst/>
              </c:spPr>
            </c:marker>
            <c:bubble3D val="0"/>
            <c:extLst>
              <c:ext xmlns:c16="http://schemas.microsoft.com/office/drawing/2014/chart" uri="{C3380CC4-5D6E-409C-BE32-E72D297353CC}">
                <c16:uniqueId val="{00000076-DA20-49E3-8FA5-D6DB20D927F0}"/>
              </c:ext>
            </c:extLst>
          </c:dPt>
          <c:dPt>
            <c:idx val="119"/>
            <c:marker>
              <c:spPr>
                <a:solidFill>
                  <a:srgbClr val="0000FF"/>
                </a:solidFill>
                <a:ln w="9525">
                  <a:solidFill>
                    <a:schemeClr val="accent1"/>
                  </a:solidFill>
                </a:ln>
                <a:effectLst/>
              </c:spPr>
            </c:marker>
            <c:bubble3D val="0"/>
            <c:extLst>
              <c:ext xmlns:c16="http://schemas.microsoft.com/office/drawing/2014/chart" uri="{C3380CC4-5D6E-409C-BE32-E72D297353CC}">
                <c16:uniqueId val="{00000077-DA20-49E3-8FA5-D6DB20D927F0}"/>
              </c:ext>
            </c:extLst>
          </c:dPt>
          <c:dPt>
            <c:idx val="120"/>
            <c:marker>
              <c:spPr>
                <a:solidFill>
                  <a:srgbClr val="0045B9"/>
                </a:solidFill>
                <a:ln w="9525">
                  <a:solidFill>
                    <a:schemeClr val="accent1"/>
                  </a:solidFill>
                </a:ln>
                <a:effectLst/>
              </c:spPr>
            </c:marker>
            <c:bubble3D val="0"/>
            <c:extLst>
              <c:ext xmlns:c16="http://schemas.microsoft.com/office/drawing/2014/chart" uri="{C3380CC4-5D6E-409C-BE32-E72D297353CC}">
                <c16:uniqueId val="{00000078-DA20-49E3-8FA5-D6DB20D927F0}"/>
              </c:ext>
            </c:extLst>
          </c:dPt>
          <c:dPt>
            <c:idx val="121"/>
            <c:marker>
              <c:spPr>
                <a:solidFill>
                  <a:srgbClr val="00807E"/>
                </a:solidFill>
                <a:ln w="9525">
                  <a:solidFill>
                    <a:schemeClr val="accent1"/>
                  </a:solidFill>
                </a:ln>
                <a:effectLst/>
              </c:spPr>
            </c:marker>
            <c:bubble3D val="0"/>
            <c:extLst>
              <c:ext xmlns:c16="http://schemas.microsoft.com/office/drawing/2014/chart" uri="{C3380CC4-5D6E-409C-BE32-E72D297353CC}">
                <c16:uniqueId val="{00000079-DA20-49E3-8FA5-D6DB20D927F0}"/>
              </c:ext>
            </c:extLst>
          </c:dPt>
          <c:dPt>
            <c:idx val="122"/>
            <c:marker>
              <c:spPr>
                <a:solidFill>
                  <a:srgbClr val="0002FC"/>
                </a:solidFill>
                <a:ln w="9525">
                  <a:solidFill>
                    <a:schemeClr val="accent1"/>
                  </a:solidFill>
                </a:ln>
                <a:effectLst/>
              </c:spPr>
            </c:marker>
            <c:bubble3D val="0"/>
            <c:extLst>
              <c:ext xmlns:c16="http://schemas.microsoft.com/office/drawing/2014/chart" uri="{C3380CC4-5D6E-409C-BE32-E72D297353CC}">
                <c16:uniqueId val="{0000007A-DA20-49E3-8FA5-D6DB20D927F0}"/>
              </c:ext>
            </c:extLst>
          </c:dPt>
          <c:dPt>
            <c:idx val="123"/>
            <c:marker>
              <c:spPr>
                <a:solidFill>
                  <a:srgbClr val="A75700"/>
                </a:solidFill>
                <a:ln w="9525">
                  <a:solidFill>
                    <a:schemeClr val="accent1"/>
                  </a:solidFill>
                </a:ln>
                <a:effectLst/>
              </c:spPr>
            </c:marker>
            <c:bubble3D val="0"/>
            <c:extLst>
              <c:ext xmlns:c16="http://schemas.microsoft.com/office/drawing/2014/chart" uri="{C3380CC4-5D6E-409C-BE32-E72D297353CC}">
                <c16:uniqueId val="{0000007B-DA20-49E3-8FA5-D6DB20D927F0}"/>
              </c:ext>
            </c:extLst>
          </c:dPt>
          <c:dPt>
            <c:idx val="124"/>
            <c:marker>
              <c:spPr>
                <a:solidFill>
                  <a:srgbClr val="00F509"/>
                </a:solidFill>
                <a:ln w="9525">
                  <a:solidFill>
                    <a:schemeClr val="accent1"/>
                  </a:solidFill>
                </a:ln>
                <a:effectLst/>
              </c:spPr>
            </c:marker>
            <c:bubble3D val="0"/>
            <c:extLst>
              <c:ext xmlns:c16="http://schemas.microsoft.com/office/drawing/2014/chart" uri="{C3380CC4-5D6E-409C-BE32-E72D297353CC}">
                <c16:uniqueId val="{0000007C-DA20-49E3-8FA5-D6DB20D927F0}"/>
              </c:ext>
            </c:extLst>
          </c:dPt>
          <c:dPt>
            <c:idx val="125"/>
            <c:marker>
              <c:spPr>
                <a:solidFill>
                  <a:srgbClr val="007E80"/>
                </a:solidFill>
                <a:ln w="9525">
                  <a:solidFill>
                    <a:schemeClr val="accent1"/>
                  </a:solidFill>
                </a:ln>
                <a:effectLst/>
              </c:spPr>
            </c:marker>
            <c:bubble3D val="0"/>
            <c:extLst>
              <c:ext xmlns:c16="http://schemas.microsoft.com/office/drawing/2014/chart" uri="{C3380CC4-5D6E-409C-BE32-E72D297353CC}">
                <c16:uniqueId val="{0000007D-DA20-49E3-8FA5-D6DB20D927F0}"/>
              </c:ext>
            </c:extLst>
          </c:dPt>
          <c:dPt>
            <c:idx val="126"/>
            <c:marker>
              <c:spPr>
                <a:solidFill>
                  <a:srgbClr val="0015E9"/>
                </a:solidFill>
                <a:ln w="9525">
                  <a:solidFill>
                    <a:schemeClr val="accent1"/>
                  </a:solidFill>
                </a:ln>
                <a:effectLst/>
              </c:spPr>
            </c:marker>
            <c:bubble3D val="0"/>
            <c:extLst>
              <c:ext xmlns:c16="http://schemas.microsoft.com/office/drawing/2014/chart" uri="{C3380CC4-5D6E-409C-BE32-E72D297353CC}">
                <c16:uniqueId val="{0000007E-DA20-49E3-8FA5-D6DB20D927F0}"/>
              </c:ext>
            </c:extLst>
          </c:dPt>
          <c:dPt>
            <c:idx val="127"/>
            <c:marker>
              <c:spPr>
                <a:solidFill>
                  <a:srgbClr val="00FE00"/>
                </a:solidFill>
                <a:ln w="9525">
                  <a:solidFill>
                    <a:schemeClr val="accent1"/>
                  </a:solidFill>
                </a:ln>
                <a:effectLst/>
              </c:spPr>
            </c:marker>
            <c:bubble3D val="0"/>
            <c:extLst>
              <c:ext xmlns:c16="http://schemas.microsoft.com/office/drawing/2014/chart" uri="{C3380CC4-5D6E-409C-BE32-E72D297353CC}">
                <c16:uniqueId val="{0000007F-DA20-49E3-8FA5-D6DB20D927F0}"/>
              </c:ext>
            </c:extLst>
          </c:dPt>
          <c:dPt>
            <c:idx val="128"/>
            <c:marker>
              <c:spPr>
                <a:solidFill>
                  <a:srgbClr val="00807E"/>
                </a:solidFill>
                <a:ln w="9525">
                  <a:solidFill>
                    <a:schemeClr val="accent1"/>
                  </a:solidFill>
                </a:ln>
                <a:effectLst/>
              </c:spPr>
            </c:marker>
            <c:bubble3D val="0"/>
            <c:extLst>
              <c:ext xmlns:c16="http://schemas.microsoft.com/office/drawing/2014/chart" uri="{C3380CC4-5D6E-409C-BE32-E72D297353CC}">
                <c16:uniqueId val="{00000080-DA20-49E3-8FA5-D6DB20D927F0}"/>
              </c:ext>
            </c:extLst>
          </c:dPt>
          <c:dPt>
            <c:idx val="129"/>
            <c:marker>
              <c:spPr>
                <a:solidFill>
                  <a:srgbClr val="00807E"/>
                </a:solidFill>
                <a:ln w="9525">
                  <a:solidFill>
                    <a:schemeClr val="accent1"/>
                  </a:solidFill>
                </a:ln>
                <a:effectLst/>
              </c:spPr>
            </c:marker>
            <c:bubble3D val="0"/>
            <c:extLst>
              <c:ext xmlns:c16="http://schemas.microsoft.com/office/drawing/2014/chart" uri="{C3380CC4-5D6E-409C-BE32-E72D297353CC}">
                <c16:uniqueId val="{00000081-DA20-49E3-8FA5-D6DB20D927F0}"/>
              </c:ext>
            </c:extLst>
          </c:dPt>
          <c:dPt>
            <c:idx val="130"/>
            <c:marker>
              <c:spPr>
                <a:solidFill>
                  <a:srgbClr val="0000FF"/>
                </a:solidFill>
                <a:ln w="9525">
                  <a:solidFill>
                    <a:schemeClr val="accent1"/>
                  </a:solidFill>
                </a:ln>
                <a:effectLst/>
              </c:spPr>
            </c:marker>
            <c:bubble3D val="0"/>
            <c:extLst>
              <c:ext xmlns:c16="http://schemas.microsoft.com/office/drawing/2014/chart" uri="{C3380CC4-5D6E-409C-BE32-E72D297353CC}">
                <c16:uniqueId val="{00000082-DA20-49E3-8FA5-D6DB20D927F0}"/>
              </c:ext>
            </c:extLst>
          </c:dPt>
          <c:dPt>
            <c:idx val="131"/>
            <c:marker>
              <c:spPr>
                <a:solidFill>
                  <a:srgbClr val="0000FF"/>
                </a:solidFill>
                <a:ln w="9525">
                  <a:solidFill>
                    <a:schemeClr val="accent1"/>
                  </a:solidFill>
                </a:ln>
                <a:effectLst/>
              </c:spPr>
            </c:marker>
            <c:bubble3D val="0"/>
            <c:extLst>
              <c:ext xmlns:c16="http://schemas.microsoft.com/office/drawing/2014/chart" uri="{C3380CC4-5D6E-409C-BE32-E72D297353CC}">
                <c16:uniqueId val="{00000083-DA20-49E3-8FA5-D6DB20D927F0}"/>
              </c:ext>
            </c:extLst>
          </c:dPt>
          <c:dPt>
            <c:idx val="132"/>
            <c:marker>
              <c:spPr>
                <a:solidFill>
                  <a:srgbClr val="0000FF"/>
                </a:solidFill>
                <a:ln w="9525">
                  <a:solidFill>
                    <a:schemeClr val="accent1"/>
                  </a:solidFill>
                </a:ln>
                <a:effectLst/>
              </c:spPr>
            </c:marker>
            <c:bubble3D val="0"/>
            <c:extLst>
              <c:ext xmlns:c16="http://schemas.microsoft.com/office/drawing/2014/chart" uri="{C3380CC4-5D6E-409C-BE32-E72D297353CC}">
                <c16:uniqueId val="{00000084-DA20-49E3-8FA5-D6DB20D927F0}"/>
              </c:ext>
            </c:extLst>
          </c:dPt>
          <c:dPt>
            <c:idx val="133"/>
            <c:marker>
              <c:spPr>
                <a:solidFill>
                  <a:srgbClr val="0000FF"/>
                </a:solidFill>
                <a:ln w="9525">
                  <a:solidFill>
                    <a:schemeClr val="accent1"/>
                  </a:solidFill>
                </a:ln>
                <a:effectLst/>
              </c:spPr>
            </c:marker>
            <c:bubble3D val="0"/>
            <c:extLst>
              <c:ext xmlns:c16="http://schemas.microsoft.com/office/drawing/2014/chart" uri="{C3380CC4-5D6E-409C-BE32-E72D297353CC}">
                <c16:uniqueId val="{00000085-DA20-49E3-8FA5-D6DB20D927F0}"/>
              </c:ext>
            </c:extLst>
          </c:dPt>
          <c:dPt>
            <c:idx val="134"/>
            <c:marker>
              <c:spPr>
                <a:solidFill>
                  <a:srgbClr val="0000FF"/>
                </a:solidFill>
                <a:ln w="9525">
                  <a:solidFill>
                    <a:schemeClr val="accent1"/>
                  </a:solidFill>
                </a:ln>
                <a:effectLst/>
              </c:spPr>
            </c:marker>
            <c:bubble3D val="0"/>
            <c:extLst>
              <c:ext xmlns:c16="http://schemas.microsoft.com/office/drawing/2014/chart" uri="{C3380CC4-5D6E-409C-BE32-E72D297353CC}">
                <c16:uniqueId val="{00000086-DA20-49E3-8FA5-D6DB20D927F0}"/>
              </c:ext>
            </c:extLst>
          </c:dPt>
          <c:dPt>
            <c:idx val="135"/>
            <c:marker>
              <c:spPr>
                <a:solidFill>
                  <a:srgbClr val="004FAF"/>
                </a:solidFill>
                <a:ln w="9525">
                  <a:solidFill>
                    <a:schemeClr val="accent1"/>
                  </a:solidFill>
                </a:ln>
                <a:effectLst/>
              </c:spPr>
            </c:marker>
            <c:bubble3D val="0"/>
            <c:extLst>
              <c:ext xmlns:c16="http://schemas.microsoft.com/office/drawing/2014/chart" uri="{C3380CC4-5D6E-409C-BE32-E72D297353CC}">
                <c16:uniqueId val="{00000087-DA20-49E3-8FA5-D6DB20D927F0}"/>
              </c:ext>
            </c:extLst>
          </c:dPt>
          <c:dPt>
            <c:idx val="136"/>
            <c:marker>
              <c:spPr>
                <a:solidFill>
                  <a:srgbClr val="01FD00"/>
                </a:solidFill>
                <a:ln w="9525">
                  <a:solidFill>
                    <a:schemeClr val="accent1"/>
                  </a:solidFill>
                </a:ln>
                <a:effectLst/>
              </c:spPr>
            </c:marker>
            <c:bubble3D val="0"/>
            <c:extLst>
              <c:ext xmlns:c16="http://schemas.microsoft.com/office/drawing/2014/chart" uri="{C3380CC4-5D6E-409C-BE32-E72D297353CC}">
                <c16:uniqueId val="{00000088-DA20-49E3-8FA5-D6DB20D927F0}"/>
              </c:ext>
            </c:extLst>
          </c:dPt>
          <c:dPt>
            <c:idx val="137"/>
            <c:marker>
              <c:spPr>
                <a:solidFill>
                  <a:srgbClr val="0057A7"/>
                </a:solidFill>
                <a:ln w="9525">
                  <a:solidFill>
                    <a:schemeClr val="accent1"/>
                  </a:solidFill>
                </a:ln>
                <a:effectLst/>
              </c:spPr>
            </c:marker>
            <c:bubble3D val="0"/>
            <c:extLst>
              <c:ext xmlns:c16="http://schemas.microsoft.com/office/drawing/2014/chart" uri="{C3380CC4-5D6E-409C-BE32-E72D297353CC}">
                <c16:uniqueId val="{00000089-DA20-49E3-8FA5-D6DB20D927F0}"/>
              </c:ext>
            </c:extLst>
          </c:dPt>
          <c:dPt>
            <c:idx val="138"/>
            <c:marker>
              <c:spPr>
                <a:solidFill>
                  <a:srgbClr val="0000FF"/>
                </a:solidFill>
                <a:ln w="9525">
                  <a:solidFill>
                    <a:schemeClr val="accent1"/>
                  </a:solidFill>
                </a:ln>
                <a:effectLst/>
              </c:spPr>
            </c:marker>
            <c:bubble3D val="0"/>
            <c:extLst>
              <c:ext xmlns:c16="http://schemas.microsoft.com/office/drawing/2014/chart" uri="{C3380CC4-5D6E-409C-BE32-E72D297353CC}">
                <c16:uniqueId val="{0000008A-DA20-49E3-8FA5-D6DB20D927F0}"/>
              </c:ext>
            </c:extLst>
          </c:dPt>
          <c:dPt>
            <c:idx val="139"/>
            <c:marker>
              <c:spPr>
                <a:solidFill>
                  <a:srgbClr val="00F905"/>
                </a:solidFill>
                <a:ln w="9525">
                  <a:solidFill>
                    <a:schemeClr val="accent1"/>
                  </a:solidFill>
                </a:ln>
                <a:effectLst/>
              </c:spPr>
            </c:marker>
            <c:bubble3D val="0"/>
            <c:extLst>
              <c:ext xmlns:c16="http://schemas.microsoft.com/office/drawing/2014/chart" uri="{C3380CC4-5D6E-409C-BE32-E72D297353CC}">
                <c16:uniqueId val="{0000008B-DA20-49E3-8FA5-D6DB20D927F0}"/>
              </c:ext>
            </c:extLst>
          </c:dPt>
          <c:dPt>
            <c:idx val="140"/>
            <c:marker>
              <c:spPr>
                <a:solidFill>
                  <a:srgbClr val="00609E"/>
                </a:solidFill>
                <a:ln w="9525">
                  <a:solidFill>
                    <a:schemeClr val="accent1"/>
                  </a:solidFill>
                </a:ln>
                <a:effectLst/>
              </c:spPr>
            </c:marker>
            <c:bubble3D val="0"/>
            <c:extLst>
              <c:ext xmlns:c16="http://schemas.microsoft.com/office/drawing/2014/chart" uri="{C3380CC4-5D6E-409C-BE32-E72D297353CC}">
                <c16:uniqueId val="{0000008C-DA20-49E3-8FA5-D6DB20D927F0}"/>
              </c:ext>
            </c:extLst>
          </c:dPt>
          <c:dPt>
            <c:idx val="141"/>
            <c:marker>
              <c:spPr>
                <a:solidFill>
                  <a:srgbClr val="B34B00"/>
                </a:solidFill>
                <a:ln w="9525">
                  <a:solidFill>
                    <a:schemeClr val="accent1"/>
                  </a:solidFill>
                </a:ln>
                <a:effectLst/>
              </c:spPr>
            </c:marker>
            <c:bubble3D val="0"/>
            <c:extLst>
              <c:ext xmlns:c16="http://schemas.microsoft.com/office/drawing/2014/chart" uri="{C3380CC4-5D6E-409C-BE32-E72D297353CC}">
                <c16:uniqueId val="{0000008D-DA20-49E3-8FA5-D6DB20D927F0}"/>
              </c:ext>
            </c:extLst>
          </c:dPt>
          <c:dPt>
            <c:idx val="142"/>
            <c:marker>
              <c:spPr>
                <a:solidFill>
                  <a:srgbClr val="DA2400"/>
                </a:solidFill>
                <a:ln w="9525">
                  <a:solidFill>
                    <a:schemeClr val="accent1"/>
                  </a:solidFill>
                </a:ln>
                <a:effectLst/>
              </c:spPr>
            </c:marker>
            <c:bubble3D val="0"/>
            <c:extLst>
              <c:ext xmlns:c16="http://schemas.microsoft.com/office/drawing/2014/chart" uri="{C3380CC4-5D6E-409C-BE32-E72D297353CC}">
                <c16:uniqueId val="{0000008E-DA20-49E3-8FA5-D6DB20D927F0}"/>
              </c:ext>
            </c:extLst>
          </c:dPt>
          <c:dPt>
            <c:idx val="143"/>
            <c:marker>
              <c:spPr>
                <a:solidFill>
                  <a:srgbClr val="0000FF"/>
                </a:solidFill>
                <a:ln w="9525">
                  <a:solidFill>
                    <a:schemeClr val="accent1"/>
                  </a:solidFill>
                </a:ln>
                <a:effectLst/>
              </c:spPr>
            </c:marker>
            <c:bubble3D val="0"/>
            <c:extLst>
              <c:ext xmlns:c16="http://schemas.microsoft.com/office/drawing/2014/chart" uri="{C3380CC4-5D6E-409C-BE32-E72D297353CC}">
                <c16:uniqueId val="{0000008F-DA20-49E3-8FA5-D6DB20D927F0}"/>
              </c:ext>
            </c:extLst>
          </c:dPt>
          <c:dPt>
            <c:idx val="144"/>
            <c:marker>
              <c:spPr>
                <a:solidFill>
                  <a:srgbClr val="0000FF"/>
                </a:solidFill>
                <a:ln w="9525">
                  <a:solidFill>
                    <a:schemeClr val="accent1"/>
                  </a:solidFill>
                </a:ln>
                <a:effectLst/>
              </c:spPr>
            </c:marker>
            <c:bubble3D val="0"/>
            <c:extLst>
              <c:ext xmlns:c16="http://schemas.microsoft.com/office/drawing/2014/chart" uri="{C3380CC4-5D6E-409C-BE32-E72D297353CC}">
                <c16:uniqueId val="{00000090-DA20-49E3-8FA5-D6DB20D927F0}"/>
              </c:ext>
            </c:extLst>
          </c:dPt>
          <c:dPt>
            <c:idx val="145"/>
            <c:marker>
              <c:spPr>
                <a:solidFill>
                  <a:srgbClr val="0000FF"/>
                </a:solidFill>
                <a:ln w="9525">
                  <a:solidFill>
                    <a:schemeClr val="accent1"/>
                  </a:solidFill>
                </a:ln>
                <a:effectLst/>
              </c:spPr>
            </c:marker>
            <c:bubble3D val="0"/>
            <c:extLst>
              <c:ext xmlns:c16="http://schemas.microsoft.com/office/drawing/2014/chart" uri="{C3380CC4-5D6E-409C-BE32-E72D297353CC}">
                <c16:uniqueId val="{00000091-DA20-49E3-8FA5-D6DB20D927F0}"/>
              </c:ext>
            </c:extLst>
          </c:dPt>
          <c:dPt>
            <c:idx val="146"/>
            <c:marker>
              <c:spPr>
                <a:solidFill>
                  <a:srgbClr val="0000FF"/>
                </a:solidFill>
                <a:ln w="9525">
                  <a:solidFill>
                    <a:schemeClr val="accent1"/>
                  </a:solidFill>
                </a:ln>
                <a:effectLst/>
              </c:spPr>
            </c:marker>
            <c:bubble3D val="0"/>
            <c:extLst>
              <c:ext xmlns:c16="http://schemas.microsoft.com/office/drawing/2014/chart" uri="{C3380CC4-5D6E-409C-BE32-E72D297353CC}">
                <c16:uniqueId val="{00000092-DA20-49E3-8FA5-D6DB20D927F0}"/>
              </c:ext>
            </c:extLst>
          </c:dPt>
          <c:dPt>
            <c:idx val="147"/>
            <c:marker>
              <c:spPr>
                <a:solidFill>
                  <a:srgbClr val="0000FF"/>
                </a:solidFill>
                <a:ln w="9525">
                  <a:solidFill>
                    <a:schemeClr val="accent1"/>
                  </a:solidFill>
                </a:ln>
                <a:effectLst/>
              </c:spPr>
            </c:marker>
            <c:bubble3D val="0"/>
            <c:extLst>
              <c:ext xmlns:c16="http://schemas.microsoft.com/office/drawing/2014/chart" uri="{C3380CC4-5D6E-409C-BE32-E72D297353CC}">
                <c16:uniqueId val="{00000093-DA20-49E3-8FA5-D6DB20D927F0}"/>
              </c:ext>
            </c:extLst>
          </c:dPt>
          <c:dPt>
            <c:idx val="148"/>
            <c:marker>
              <c:spPr>
                <a:solidFill>
                  <a:srgbClr val="00EE10"/>
                </a:solidFill>
                <a:ln w="9525">
                  <a:solidFill>
                    <a:schemeClr val="accent1"/>
                  </a:solidFill>
                </a:ln>
                <a:effectLst/>
              </c:spPr>
            </c:marker>
            <c:bubble3D val="0"/>
            <c:extLst>
              <c:ext xmlns:c16="http://schemas.microsoft.com/office/drawing/2014/chart" uri="{C3380CC4-5D6E-409C-BE32-E72D297353CC}">
                <c16:uniqueId val="{00000094-DA20-49E3-8FA5-D6DB20D927F0}"/>
              </c:ext>
            </c:extLst>
          </c:dPt>
          <c:dPt>
            <c:idx val="149"/>
            <c:marker>
              <c:spPr>
                <a:solidFill>
                  <a:srgbClr val="0013EB"/>
                </a:solidFill>
                <a:ln w="9525">
                  <a:solidFill>
                    <a:schemeClr val="accent1"/>
                  </a:solidFill>
                </a:ln>
                <a:effectLst/>
              </c:spPr>
            </c:marker>
            <c:bubble3D val="0"/>
            <c:extLst>
              <c:ext xmlns:c16="http://schemas.microsoft.com/office/drawing/2014/chart" uri="{C3380CC4-5D6E-409C-BE32-E72D297353CC}">
                <c16:uniqueId val="{00000095-DA20-49E3-8FA5-D6DB20D927F0}"/>
              </c:ext>
            </c:extLst>
          </c:dPt>
          <c:dPt>
            <c:idx val="150"/>
            <c:marker>
              <c:spPr>
                <a:solidFill>
                  <a:srgbClr val="0013EB"/>
                </a:solidFill>
                <a:ln w="9525">
                  <a:solidFill>
                    <a:schemeClr val="accent1"/>
                  </a:solidFill>
                </a:ln>
                <a:effectLst/>
              </c:spPr>
            </c:marker>
            <c:bubble3D val="0"/>
            <c:extLst>
              <c:ext xmlns:c16="http://schemas.microsoft.com/office/drawing/2014/chart" uri="{C3380CC4-5D6E-409C-BE32-E72D297353CC}">
                <c16:uniqueId val="{00000096-DA20-49E3-8FA5-D6DB20D927F0}"/>
              </c:ext>
            </c:extLst>
          </c:dPt>
          <c:dPt>
            <c:idx val="151"/>
            <c:marker>
              <c:spPr>
                <a:solidFill>
                  <a:srgbClr val="34CA00"/>
                </a:solidFill>
                <a:ln w="9525">
                  <a:solidFill>
                    <a:schemeClr val="accent1"/>
                  </a:solidFill>
                </a:ln>
                <a:effectLst/>
              </c:spPr>
            </c:marker>
            <c:bubble3D val="0"/>
            <c:extLst>
              <c:ext xmlns:c16="http://schemas.microsoft.com/office/drawing/2014/chart" uri="{C3380CC4-5D6E-409C-BE32-E72D297353CC}">
                <c16:uniqueId val="{00000097-DA20-49E3-8FA5-D6DB20D927F0}"/>
              </c:ext>
            </c:extLst>
          </c:dPt>
          <c:dPt>
            <c:idx val="152"/>
            <c:marker>
              <c:spPr>
                <a:solidFill>
                  <a:srgbClr val="0000FF"/>
                </a:solidFill>
                <a:ln w="9525">
                  <a:solidFill>
                    <a:schemeClr val="accent1"/>
                  </a:solidFill>
                </a:ln>
                <a:effectLst/>
              </c:spPr>
            </c:marker>
            <c:bubble3D val="0"/>
            <c:extLst>
              <c:ext xmlns:c16="http://schemas.microsoft.com/office/drawing/2014/chart" uri="{C3380CC4-5D6E-409C-BE32-E72D297353CC}">
                <c16:uniqueId val="{00000098-DA20-49E3-8FA5-D6DB20D927F0}"/>
              </c:ext>
            </c:extLst>
          </c:dPt>
          <c:dPt>
            <c:idx val="153"/>
            <c:marker>
              <c:spPr>
                <a:solidFill>
                  <a:srgbClr val="0000FF"/>
                </a:solidFill>
                <a:ln w="9525">
                  <a:solidFill>
                    <a:schemeClr val="accent1"/>
                  </a:solidFill>
                </a:ln>
                <a:effectLst/>
              </c:spPr>
            </c:marker>
            <c:bubble3D val="0"/>
            <c:extLst>
              <c:ext xmlns:c16="http://schemas.microsoft.com/office/drawing/2014/chart" uri="{C3380CC4-5D6E-409C-BE32-E72D297353CC}">
                <c16:uniqueId val="{00000099-DA20-49E3-8FA5-D6DB20D927F0}"/>
              </c:ext>
            </c:extLst>
          </c:dPt>
          <c:dPt>
            <c:idx val="154"/>
            <c:marker>
              <c:spPr>
                <a:solidFill>
                  <a:srgbClr val="0000FF"/>
                </a:solidFill>
                <a:ln w="9525">
                  <a:solidFill>
                    <a:schemeClr val="accent1"/>
                  </a:solidFill>
                </a:ln>
                <a:effectLst/>
              </c:spPr>
            </c:marker>
            <c:bubble3D val="0"/>
            <c:extLst>
              <c:ext xmlns:c16="http://schemas.microsoft.com/office/drawing/2014/chart" uri="{C3380CC4-5D6E-409C-BE32-E72D297353CC}">
                <c16:uniqueId val="{0000009A-DA20-49E3-8FA5-D6DB20D927F0}"/>
              </c:ext>
            </c:extLst>
          </c:dPt>
          <c:dPt>
            <c:idx val="155"/>
            <c:marker>
              <c:spPr>
                <a:solidFill>
                  <a:srgbClr val="006D91"/>
                </a:solidFill>
                <a:ln w="9525">
                  <a:solidFill>
                    <a:schemeClr val="accent1"/>
                  </a:solidFill>
                </a:ln>
                <a:effectLst/>
              </c:spPr>
            </c:marker>
            <c:bubble3D val="0"/>
            <c:extLst>
              <c:ext xmlns:c16="http://schemas.microsoft.com/office/drawing/2014/chart" uri="{C3380CC4-5D6E-409C-BE32-E72D297353CC}">
                <c16:uniqueId val="{0000009B-DA20-49E3-8FA5-D6DB20D927F0}"/>
              </c:ext>
            </c:extLst>
          </c:dPt>
          <c:dPt>
            <c:idx val="156"/>
            <c:marker>
              <c:spPr>
                <a:solidFill>
                  <a:srgbClr val="0000FF"/>
                </a:solidFill>
                <a:ln w="9525">
                  <a:solidFill>
                    <a:schemeClr val="accent1"/>
                  </a:solidFill>
                </a:ln>
                <a:effectLst/>
              </c:spPr>
            </c:marker>
            <c:bubble3D val="0"/>
            <c:extLst>
              <c:ext xmlns:c16="http://schemas.microsoft.com/office/drawing/2014/chart" uri="{C3380CC4-5D6E-409C-BE32-E72D297353CC}">
                <c16:uniqueId val="{0000009C-DA20-49E3-8FA5-D6DB20D927F0}"/>
              </c:ext>
            </c:extLst>
          </c:dPt>
          <c:dPt>
            <c:idx val="157"/>
            <c:marker>
              <c:spPr>
                <a:solidFill>
                  <a:srgbClr val="0000FF"/>
                </a:solidFill>
                <a:ln w="9525">
                  <a:solidFill>
                    <a:schemeClr val="accent1"/>
                  </a:solidFill>
                </a:ln>
                <a:effectLst/>
              </c:spPr>
            </c:marker>
            <c:bubble3D val="0"/>
            <c:extLst>
              <c:ext xmlns:c16="http://schemas.microsoft.com/office/drawing/2014/chart" uri="{C3380CC4-5D6E-409C-BE32-E72D297353CC}">
                <c16:uniqueId val="{0000009D-DA20-49E3-8FA5-D6DB20D927F0}"/>
              </c:ext>
            </c:extLst>
          </c:dPt>
          <c:dPt>
            <c:idx val="158"/>
            <c:marker>
              <c:spPr>
                <a:solidFill>
                  <a:srgbClr val="0000FF"/>
                </a:solidFill>
                <a:ln w="9525">
                  <a:solidFill>
                    <a:schemeClr val="accent1"/>
                  </a:solidFill>
                </a:ln>
                <a:effectLst/>
              </c:spPr>
            </c:marker>
            <c:bubble3D val="0"/>
            <c:extLst>
              <c:ext xmlns:c16="http://schemas.microsoft.com/office/drawing/2014/chart" uri="{C3380CC4-5D6E-409C-BE32-E72D297353CC}">
                <c16:uniqueId val="{0000009E-DA20-49E3-8FA5-D6DB20D927F0}"/>
              </c:ext>
            </c:extLst>
          </c:dPt>
          <c:dPt>
            <c:idx val="159"/>
            <c:marker>
              <c:spPr>
                <a:solidFill>
                  <a:srgbClr val="0000FF"/>
                </a:solidFill>
                <a:ln w="9525">
                  <a:solidFill>
                    <a:schemeClr val="accent1"/>
                  </a:solidFill>
                </a:ln>
                <a:effectLst/>
              </c:spPr>
            </c:marker>
            <c:bubble3D val="0"/>
            <c:extLst>
              <c:ext xmlns:c16="http://schemas.microsoft.com/office/drawing/2014/chart" uri="{C3380CC4-5D6E-409C-BE32-E72D297353CC}">
                <c16:uniqueId val="{0000009F-DA20-49E3-8FA5-D6DB20D927F0}"/>
              </c:ext>
            </c:extLst>
          </c:dPt>
          <c:dPt>
            <c:idx val="160"/>
            <c:marker>
              <c:spPr>
                <a:solidFill>
                  <a:srgbClr val="0000FF"/>
                </a:solidFill>
                <a:ln w="9525">
                  <a:solidFill>
                    <a:schemeClr val="accent1"/>
                  </a:solidFill>
                </a:ln>
                <a:effectLst/>
              </c:spPr>
            </c:marker>
            <c:bubble3D val="0"/>
            <c:extLst>
              <c:ext xmlns:c16="http://schemas.microsoft.com/office/drawing/2014/chart" uri="{C3380CC4-5D6E-409C-BE32-E72D297353CC}">
                <c16:uniqueId val="{000000A0-DA20-49E3-8FA5-D6DB20D927F0}"/>
              </c:ext>
            </c:extLst>
          </c:dPt>
          <c:dPt>
            <c:idx val="161"/>
            <c:marker>
              <c:spPr>
                <a:solidFill>
                  <a:srgbClr val="007B83"/>
                </a:solidFill>
                <a:ln w="9525">
                  <a:solidFill>
                    <a:schemeClr val="accent1"/>
                  </a:solidFill>
                </a:ln>
                <a:effectLst/>
              </c:spPr>
            </c:marker>
            <c:bubble3D val="0"/>
            <c:extLst>
              <c:ext xmlns:c16="http://schemas.microsoft.com/office/drawing/2014/chart" uri="{C3380CC4-5D6E-409C-BE32-E72D297353CC}">
                <c16:uniqueId val="{000000A1-DA20-49E3-8FA5-D6DB20D927F0}"/>
              </c:ext>
            </c:extLst>
          </c:dPt>
          <c:dPt>
            <c:idx val="162"/>
            <c:marker>
              <c:spPr>
                <a:solidFill>
                  <a:srgbClr val="59A500"/>
                </a:solidFill>
                <a:ln w="9525">
                  <a:solidFill>
                    <a:schemeClr val="accent1"/>
                  </a:solidFill>
                </a:ln>
                <a:effectLst/>
              </c:spPr>
            </c:marker>
            <c:bubble3D val="0"/>
            <c:extLst>
              <c:ext xmlns:c16="http://schemas.microsoft.com/office/drawing/2014/chart" uri="{C3380CC4-5D6E-409C-BE32-E72D297353CC}">
                <c16:uniqueId val="{000000A2-DA20-49E3-8FA5-D6DB20D927F0}"/>
              </c:ext>
            </c:extLst>
          </c:dPt>
          <c:dPt>
            <c:idx val="163"/>
            <c:marker>
              <c:spPr>
                <a:solidFill>
                  <a:srgbClr val="2BD300"/>
                </a:solidFill>
                <a:ln w="9525">
                  <a:solidFill>
                    <a:schemeClr val="accent1"/>
                  </a:solidFill>
                </a:ln>
                <a:effectLst/>
              </c:spPr>
            </c:marker>
            <c:bubble3D val="0"/>
            <c:extLst>
              <c:ext xmlns:c16="http://schemas.microsoft.com/office/drawing/2014/chart" uri="{C3380CC4-5D6E-409C-BE32-E72D297353CC}">
                <c16:uniqueId val="{000000A3-DA20-49E3-8FA5-D6DB20D927F0}"/>
              </c:ext>
            </c:extLst>
          </c:dPt>
          <c:dPt>
            <c:idx val="164"/>
            <c:marker>
              <c:spPr>
                <a:solidFill>
                  <a:srgbClr val="1FDF00"/>
                </a:solidFill>
                <a:ln w="9525">
                  <a:solidFill>
                    <a:schemeClr val="accent1"/>
                  </a:solidFill>
                </a:ln>
                <a:effectLst/>
              </c:spPr>
            </c:marker>
            <c:bubble3D val="0"/>
            <c:extLst>
              <c:ext xmlns:c16="http://schemas.microsoft.com/office/drawing/2014/chart" uri="{C3380CC4-5D6E-409C-BE32-E72D297353CC}">
                <c16:uniqueId val="{000000A4-DA20-49E3-8FA5-D6DB20D927F0}"/>
              </c:ext>
            </c:extLst>
          </c:dPt>
          <c:dPt>
            <c:idx val="165"/>
            <c:marker>
              <c:spPr>
                <a:solidFill>
                  <a:srgbClr val="0000FF"/>
                </a:solidFill>
                <a:ln w="9525">
                  <a:solidFill>
                    <a:schemeClr val="accent1"/>
                  </a:solidFill>
                </a:ln>
                <a:effectLst/>
              </c:spPr>
            </c:marker>
            <c:bubble3D val="0"/>
            <c:extLst>
              <c:ext xmlns:c16="http://schemas.microsoft.com/office/drawing/2014/chart" uri="{C3380CC4-5D6E-409C-BE32-E72D297353CC}">
                <c16:uniqueId val="{000000A5-DA20-49E3-8FA5-D6DB20D927F0}"/>
              </c:ext>
            </c:extLst>
          </c:dPt>
          <c:dPt>
            <c:idx val="166"/>
            <c:marker>
              <c:spPr>
                <a:solidFill>
                  <a:srgbClr val="0000FF"/>
                </a:solidFill>
                <a:ln w="9525">
                  <a:solidFill>
                    <a:schemeClr val="accent1"/>
                  </a:solidFill>
                </a:ln>
                <a:effectLst/>
              </c:spPr>
            </c:marker>
            <c:bubble3D val="0"/>
            <c:extLst>
              <c:ext xmlns:c16="http://schemas.microsoft.com/office/drawing/2014/chart" uri="{C3380CC4-5D6E-409C-BE32-E72D297353CC}">
                <c16:uniqueId val="{000000A6-DA20-49E3-8FA5-D6DB20D927F0}"/>
              </c:ext>
            </c:extLst>
          </c:dPt>
          <c:dPt>
            <c:idx val="167"/>
            <c:marker>
              <c:spPr>
                <a:solidFill>
                  <a:srgbClr val="0000FF"/>
                </a:solidFill>
                <a:ln w="9525">
                  <a:solidFill>
                    <a:schemeClr val="accent1"/>
                  </a:solidFill>
                </a:ln>
                <a:effectLst/>
              </c:spPr>
            </c:marker>
            <c:bubble3D val="0"/>
            <c:extLst>
              <c:ext xmlns:c16="http://schemas.microsoft.com/office/drawing/2014/chart" uri="{C3380CC4-5D6E-409C-BE32-E72D297353CC}">
                <c16:uniqueId val="{000000A7-DA20-49E3-8FA5-D6DB20D927F0}"/>
              </c:ext>
            </c:extLst>
          </c:dPt>
          <c:dPt>
            <c:idx val="168"/>
            <c:marker>
              <c:spPr>
                <a:solidFill>
                  <a:srgbClr val="0000FF"/>
                </a:solidFill>
                <a:ln w="9525">
                  <a:solidFill>
                    <a:schemeClr val="accent1"/>
                  </a:solidFill>
                </a:ln>
                <a:effectLst/>
              </c:spPr>
            </c:marker>
            <c:bubble3D val="0"/>
            <c:extLst>
              <c:ext xmlns:c16="http://schemas.microsoft.com/office/drawing/2014/chart" uri="{C3380CC4-5D6E-409C-BE32-E72D297353CC}">
                <c16:uniqueId val="{000000A8-DA20-49E3-8FA5-D6DB20D927F0}"/>
              </c:ext>
            </c:extLst>
          </c:dPt>
          <c:dPt>
            <c:idx val="169"/>
            <c:marker>
              <c:spPr>
                <a:solidFill>
                  <a:srgbClr val="0000FF"/>
                </a:solidFill>
                <a:ln w="9525">
                  <a:solidFill>
                    <a:schemeClr val="accent1"/>
                  </a:solidFill>
                </a:ln>
                <a:effectLst/>
              </c:spPr>
            </c:marker>
            <c:bubble3D val="0"/>
            <c:extLst>
              <c:ext xmlns:c16="http://schemas.microsoft.com/office/drawing/2014/chart" uri="{C3380CC4-5D6E-409C-BE32-E72D297353CC}">
                <c16:uniqueId val="{000000A9-DA20-49E3-8FA5-D6DB20D927F0}"/>
              </c:ext>
            </c:extLst>
          </c:dPt>
          <c:dPt>
            <c:idx val="170"/>
            <c:marker>
              <c:spPr>
                <a:solidFill>
                  <a:srgbClr val="0000FF"/>
                </a:solidFill>
                <a:ln w="9525">
                  <a:solidFill>
                    <a:schemeClr val="accent1"/>
                  </a:solidFill>
                </a:ln>
                <a:effectLst/>
              </c:spPr>
            </c:marker>
            <c:bubble3D val="0"/>
            <c:extLst>
              <c:ext xmlns:c16="http://schemas.microsoft.com/office/drawing/2014/chart" uri="{C3380CC4-5D6E-409C-BE32-E72D297353CC}">
                <c16:uniqueId val="{000000AA-DA20-49E3-8FA5-D6DB20D927F0}"/>
              </c:ext>
            </c:extLst>
          </c:dPt>
          <c:dPt>
            <c:idx val="171"/>
            <c:marker>
              <c:spPr>
                <a:solidFill>
                  <a:srgbClr val="0000FF"/>
                </a:solidFill>
                <a:ln w="9525">
                  <a:solidFill>
                    <a:schemeClr val="accent1"/>
                  </a:solidFill>
                </a:ln>
                <a:effectLst/>
              </c:spPr>
            </c:marker>
            <c:bubble3D val="0"/>
            <c:extLst>
              <c:ext xmlns:c16="http://schemas.microsoft.com/office/drawing/2014/chart" uri="{C3380CC4-5D6E-409C-BE32-E72D297353CC}">
                <c16:uniqueId val="{000000AB-DA20-49E3-8FA5-D6DB20D927F0}"/>
              </c:ext>
            </c:extLst>
          </c:dPt>
          <c:dPt>
            <c:idx val="172"/>
            <c:marker>
              <c:spPr>
                <a:solidFill>
                  <a:srgbClr val="31CD00"/>
                </a:solidFill>
                <a:ln w="9525">
                  <a:solidFill>
                    <a:schemeClr val="accent1"/>
                  </a:solidFill>
                </a:ln>
                <a:effectLst/>
              </c:spPr>
            </c:marker>
            <c:bubble3D val="0"/>
            <c:extLst>
              <c:ext xmlns:c16="http://schemas.microsoft.com/office/drawing/2014/chart" uri="{C3380CC4-5D6E-409C-BE32-E72D297353CC}">
                <c16:uniqueId val="{000000AC-DA20-49E3-8FA5-D6DB20D927F0}"/>
              </c:ext>
            </c:extLst>
          </c:dPt>
          <c:dPt>
            <c:idx val="173"/>
            <c:marker>
              <c:spPr>
                <a:solidFill>
                  <a:srgbClr val="0000FF"/>
                </a:solidFill>
                <a:ln w="9525">
                  <a:solidFill>
                    <a:schemeClr val="accent1"/>
                  </a:solidFill>
                </a:ln>
                <a:effectLst/>
              </c:spPr>
            </c:marker>
            <c:bubble3D val="0"/>
            <c:extLst>
              <c:ext xmlns:c16="http://schemas.microsoft.com/office/drawing/2014/chart" uri="{C3380CC4-5D6E-409C-BE32-E72D297353CC}">
                <c16:uniqueId val="{000000AD-DA20-49E3-8FA5-D6DB20D927F0}"/>
              </c:ext>
            </c:extLst>
          </c:dPt>
          <c:dPt>
            <c:idx val="174"/>
            <c:marker>
              <c:spPr>
                <a:solidFill>
                  <a:srgbClr val="7F7F00"/>
                </a:solidFill>
                <a:ln w="9525">
                  <a:solidFill>
                    <a:schemeClr val="accent1"/>
                  </a:solidFill>
                </a:ln>
                <a:effectLst/>
              </c:spPr>
            </c:marker>
            <c:bubble3D val="0"/>
            <c:extLst>
              <c:ext xmlns:c16="http://schemas.microsoft.com/office/drawing/2014/chart" uri="{C3380CC4-5D6E-409C-BE32-E72D297353CC}">
                <c16:uniqueId val="{000000AE-DA20-49E3-8FA5-D6DB20D927F0}"/>
              </c:ext>
            </c:extLst>
          </c:dPt>
          <c:dPt>
            <c:idx val="175"/>
            <c:marker>
              <c:spPr>
                <a:solidFill>
                  <a:srgbClr val="4AB400"/>
                </a:solidFill>
                <a:ln w="9525">
                  <a:solidFill>
                    <a:schemeClr val="accent1"/>
                  </a:solidFill>
                </a:ln>
                <a:effectLst/>
              </c:spPr>
            </c:marker>
            <c:bubble3D val="0"/>
            <c:extLst>
              <c:ext xmlns:c16="http://schemas.microsoft.com/office/drawing/2014/chart" uri="{C3380CC4-5D6E-409C-BE32-E72D297353CC}">
                <c16:uniqueId val="{000000AF-DA20-49E3-8FA5-D6DB20D927F0}"/>
              </c:ext>
            </c:extLst>
          </c:dPt>
          <c:dPt>
            <c:idx val="176"/>
            <c:marker>
              <c:spPr>
                <a:solidFill>
                  <a:srgbClr val="5AA400"/>
                </a:solidFill>
                <a:ln w="9525">
                  <a:solidFill>
                    <a:schemeClr val="accent1"/>
                  </a:solidFill>
                </a:ln>
                <a:effectLst/>
              </c:spPr>
            </c:marker>
            <c:bubble3D val="0"/>
            <c:extLst>
              <c:ext xmlns:c16="http://schemas.microsoft.com/office/drawing/2014/chart" uri="{C3380CC4-5D6E-409C-BE32-E72D297353CC}">
                <c16:uniqueId val="{000000B0-DA20-49E3-8FA5-D6DB20D927F0}"/>
              </c:ext>
            </c:extLst>
          </c:dPt>
          <c:dPt>
            <c:idx val="177"/>
            <c:marker>
              <c:spPr>
                <a:solidFill>
                  <a:srgbClr val="609E00"/>
                </a:solidFill>
                <a:ln w="9525">
                  <a:solidFill>
                    <a:schemeClr val="accent1"/>
                  </a:solidFill>
                </a:ln>
                <a:effectLst/>
              </c:spPr>
            </c:marker>
            <c:bubble3D val="0"/>
            <c:extLst>
              <c:ext xmlns:c16="http://schemas.microsoft.com/office/drawing/2014/chart" uri="{C3380CC4-5D6E-409C-BE32-E72D297353CC}">
                <c16:uniqueId val="{000000B1-DA20-49E3-8FA5-D6DB20D927F0}"/>
              </c:ext>
            </c:extLst>
          </c:dPt>
          <c:dPt>
            <c:idx val="178"/>
            <c:marker>
              <c:spPr>
                <a:solidFill>
                  <a:srgbClr val="008579"/>
                </a:solidFill>
                <a:ln w="9525">
                  <a:solidFill>
                    <a:schemeClr val="accent1"/>
                  </a:solidFill>
                </a:ln>
                <a:effectLst/>
              </c:spPr>
            </c:marker>
            <c:bubble3D val="0"/>
            <c:extLst>
              <c:ext xmlns:c16="http://schemas.microsoft.com/office/drawing/2014/chart" uri="{C3380CC4-5D6E-409C-BE32-E72D297353CC}">
                <c16:uniqueId val="{000000B2-DA20-49E3-8FA5-D6DB20D927F0}"/>
              </c:ext>
            </c:extLst>
          </c:dPt>
          <c:dPt>
            <c:idx val="179"/>
            <c:marker>
              <c:spPr>
                <a:solidFill>
                  <a:srgbClr val="0000FF"/>
                </a:solidFill>
                <a:ln w="9525">
                  <a:solidFill>
                    <a:schemeClr val="accent1"/>
                  </a:solidFill>
                </a:ln>
                <a:effectLst/>
              </c:spPr>
            </c:marker>
            <c:bubble3D val="0"/>
            <c:extLst>
              <c:ext xmlns:c16="http://schemas.microsoft.com/office/drawing/2014/chart" uri="{C3380CC4-5D6E-409C-BE32-E72D297353CC}">
                <c16:uniqueId val="{000000B3-DA20-49E3-8FA5-D6DB20D927F0}"/>
              </c:ext>
            </c:extLst>
          </c:dPt>
          <c:dPt>
            <c:idx val="180"/>
            <c:marker>
              <c:spPr>
                <a:solidFill>
                  <a:srgbClr val="0000FF"/>
                </a:solidFill>
                <a:ln w="9525">
                  <a:solidFill>
                    <a:schemeClr val="accent1"/>
                  </a:solidFill>
                </a:ln>
                <a:effectLst/>
              </c:spPr>
            </c:marker>
            <c:bubble3D val="0"/>
            <c:extLst>
              <c:ext xmlns:c16="http://schemas.microsoft.com/office/drawing/2014/chart" uri="{C3380CC4-5D6E-409C-BE32-E72D297353CC}">
                <c16:uniqueId val="{000000B4-DA20-49E3-8FA5-D6DB20D927F0}"/>
              </c:ext>
            </c:extLst>
          </c:dPt>
          <c:dPt>
            <c:idx val="181"/>
            <c:marker>
              <c:spPr>
                <a:solidFill>
                  <a:srgbClr val="0000FF"/>
                </a:solidFill>
                <a:ln w="9525">
                  <a:solidFill>
                    <a:schemeClr val="accent1"/>
                  </a:solidFill>
                </a:ln>
                <a:effectLst/>
              </c:spPr>
            </c:marker>
            <c:bubble3D val="0"/>
            <c:extLst>
              <c:ext xmlns:c16="http://schemas.microsoft.com/office/drawing/2014/chart" uri="{C3380CC4-5D6E-409C-BE32-E72D297353CC}">
                <c16:uniqueId val="{000000B5-DA20-49E3-8FA5-D6DB20D927F0}"/>
              </c:ext>
            </c:extLst>
          </c:dPt>
          <c:dPt>
            <c:idx val="182"/>
            <c:marker>
              <c:spPr>
                <a:solidFill>
                  <a:srgbClr val="0030CE"/>
                </a:solidFill>
                <a:ln w="9525">
                  <a:solidFill>
                    <a:schemeClr val="accent1"/>
                  </a:solidFill>
                </a:ln>
                <a:effectLst/>
              </c:spPr>
            </c:marker>
            <c:bubble3D val="0"/>
            <c:extLst>
              <c:ext xmlns:c16="http://schemas.microsoft.com/office/drawing/2014/chart" uri="{C3380CC4-5D6E-409C-BE32-E72D297353CC}">
                <c16:uniqueId val="{000000B6-DA20-49E3-8FA5-D6DB20D927F0}"/>
              </c:ext>
            </c:extLst>
          </c:dPt>
          <c:dPt>
            <c:idx val="183"/>
            <c:marker>
              <c:spPr>
                <a:solidFill>
                  <a:srgbClr val="0000FF"/>
                </a:solidFill>
                <a:ln w="9525">
                  <a:solidFill>
                    <a:schemeClr val="accent1"/>
                  </a:solidFill>
                </a:ln>
                <a:effectLst/>
              </c:spPr>
            </c:marker>
            <c:bubble3D val="0"/>
            <c:extLst>
              <c:ext xmlns:c16="http://schemas.microsoft.com/office/drawing/2014/chart" uri="{C3380CC4-5D6E-409C-BE32-E72D297353CC}">
                <c16:uniqueId val="{000000B7-DA20-49E3-8FA5-D6DB20D927F0}"/>
              </c:ext>
            </c:extLst>
          </c:dPt>
          <c:dPt>
            <c:idx val="184"/>
            <c:marker>
              <c:spPr>
                <a:solidFill>
                  <a:srgbClr val="004FAF"/>
                </a:solidFill>
                <a:ln w="9525">
                  <a:solidFill>
                    <a:schemeClr val="accent1"/>
                  </a:solidFill>
                </a:ln>
                <a:effectLst/>
              </c:spPr>
            </c:marker>
            <c:bubble3D val="0"/>
            <c:extLst>
              <c:ext xmlns:c16="http://schemas.microsoft.com/office/drawing/2014/chart" uri="{C3380CC4-5D6E-409C-BE32-E72D297353CC}">
                <c16:uniqueId val="{000000B8-DA20-49E3-8FA5-D6DB20D927F0}"/>
              </c:ext>
            </c:extLst>
          </c:dPt>
          <c:dPt>
            <c:idx val="185"/>
            <c:marker>
              <c:spPr>
                <a:solidFill>
                  <a:srgbClr val="00CA34"/>
                </a:solidFill>
                <a:ln w="9525">
                  <a:solidFill>
                    <a:schemeClr val="accent1"/>
                  </a:solidFill>
                </a:ln>
                <a:effectLst/>
              </c:spPr>
            </c:marker>
            <c:bubble3D val="0"/>
            <c:extLst>
              <c:ext xmlns:c16="http://schemas.microsoft.com/office/drawing/2014/chart" uri="{C3380CC4-5D6E-409C-BE32-E72D297353CC}">
                <c16:uniqueId val="{000000B9-DA20-49E3-8FA5-D6DB20D927F0}"/>
              </c:ext>
            </c:extLst>
          </c:dPt>
          <c:dPt>
            <c:idx val="186"/>
            <c:marker>
              <c:spPr>
                <a:solidFill>
                  <a:srgbClr val="0000FF"/>
                </a:solidFill>
                <a:ln w="9525">
                  <a:solidFill>
                    <a:schemeClr val="accent1"/>
                  </a:solidFill>
                </a:ln>
                <a:effectLst/>
              </c:spPr>
            </c:marker>
            <c:bubble3D val="0"/>
            <c:extLst>
              <c:ext xmlns:c16="http://schemas.microsoft.com/office/drawing/2014/chart" uri="{C3380CC4-5D6E-409C-BE32-E72D297353CC}">
                <c16:uniqueId val="{000000BA-DA20-49E3-8FA5-D6DB20D927F0}"/>
              </c:ext>
            </c:extLst>
          </c:dPt>
          <c:dPt>
            <c:idx val="187"/>
            <c:marker>
              <c:spPr>
                <a:solidFill>
                  <a:srgbClr val="0000FF"/>
                </a:solidFill>
                <a:ln w="9525">
                  <a:solidFill>
                    <a:schemeClr val="accent1"/>
                  </a:solidFill>
                </a:ln>
                <a:effectLst/>
              </c:spPr>
            </c:marker>
            <c:bubble3D val="0"/>
            <c:extLst>
              <c:ext xmlns:c16="http://schemas.microsoft.com/office/drawing/2014/chart" uri="{C3380CC4-5D6E-409C-BE32-E72D297353CC}">
                <c16:uniqueId val="{000000BB-DA20-49E3-8FA5-D6DB20D927F0}"/>
              </c:ext>
            </c:extLst>
          </c:dPt>
          <c:dPt>
            <c:idx val="188"/>
            <c:marker>
              <c:spPr>
                <a:solidFill>
                  <a:srgbClr val="0000FF"/>
                </a:solidFill>
                <a:ln w="9525">
                  <a:solidFill>
                    <a:schemeClr val="accent1"/>
                  </a:solidFill>
                </a:ln>
                <a:effectLst/>
              </c:spPr>
            </c:marker>
            <c:bubble3D val="0"/>
            <c:extLst>
              <c:ext xmlns:c16="http://schemas.microsoft.com/office/drawing/2014/chart" uri="{C3380CC4-5D6E-409C-BE32-E72D297353CC}">
                <c16:uniqueId val="{000000BC-DA20-49E3-8FA5-D6DB20D927F0}"/>
              </c:ext>
            </c:extLst>
          </c:dPt>
          <c:dPt>
            <c:idx val="189"/>
            <c:marker>
              <c:spPr>
                <a:solidFill>
                  <a:srgbClr val="0000FF"/>
                </a:solidFill>
                <a:ln w="9525">
                  <a:solidFill>
                    <a:schemeClr val="accent1"/>
                  </a:solidFill>
                </a:ln>
                <a:effectLst/>
              </c:spPr>
            </c:marker>
            <c:bubble3D val="0"/>
            <c:extLst>
              <c:ext xmlns:c16="http://schemas.microsoft.com/office/drawing/2014/chart" uri="{C3380CC4-5D6E-409C-BE32-E72D297353CC}">
                <c16:uniqueId val="{000000BD-DA20-49E3-8FA5-D6DB20D927F0}"/>
              </c:ext>
            </c:extLst>
          </c:dPt>
          <c:dPt>
            <c:idx val="190"/>
            <c:marker>
              <c:spPr>
                <a:solidFill>
                  <a:srgbClr val="0000FF"/>
                </a:solidFill>
                <a:ln w="9525">
                  <a:solidFill>
                    <a:schemeClr val="accent1"/>
                  </a:solidFill>
                </a:ln>
                <a:effectLst/>
              </c:spPr>
            </c:marker>
            <c:bubble3D val="0"/>
            <c:extLst>
              <c:ext xmlns:c16="http://schemas.microsoft.com/office/drawing/2014/chart" uri="{C3380CC4-5D6E-409C-BE32-E72D297353CC}">
                <c16:uniqueId val="{000000BE-DA20-49E3-8FA5-D6DB20D927F0}"/>
              </c:ext>
            </c:extLst>
          </c:dPt>
          <c:dPt>
            <c:idx val="191"/>
            <c:marker>
              <c:spPr>
                <a:solidFill>
                  <a:srgbClr val="000EF0"/>
                </a:solidFill>
                <a:ln w="9525">
                  <a:solidFill>
                    <a:schemeClr val="accent1"/>
                  </a:solidFill>
                </a:ln>
                <a:effectLst/>
              </c:spPr>
            </c:marker>
            <c:bubble3D val="0"/>
            <c:extLst>
              <c:ext xmlns:c16="http://schemas.microsoft.com/office/drawing/2014/chart" uri="{C3380CC4-5D6E-409C-BE32-E72D297353CC}">
                <c16:uniqueId val="{000000BF-DA20-49E3-8FA5-D6DB20D927F0}"/>
              </c:ext>
            </c:extLst>
          </c:dPt>
          <c:dPt>
            <c:idx val="192"/>
            <c:marker>
              <c:spPr>
                <a:solidFill>
                  <a:srgbClr val="0000FF"/>
                </a:solidFill>
                <a:ln w="9525">
                  <a:solidFill>
                    <a:schemeClr val="accent1"/>
                  </a:solidFill>
                </a:ln>
                <a:effectLst/>
              </c:spPr>
            </c:marker>
            <c:bubble3D val="0"/>
            <c:extLst>
              <c:ext xmlns:c16="http://schemas.microsoft.com/office/drawing/2014/chart" uri="{C3380CC4-5D6E-409C-BE32-E72D297353CC}">
                <c16:uniqueId val="{000000C0-DA20-49E3-8FA5-D6DB20D927F0}"/>
              </c:ext>
            </c:extLst>
          </c:dPt>
          <c:dPt>
            <c:idx val="193"/>
            <c:marker>
              <c:spPr>
                <a:solidFill>
                  <a:srgbClr val="1FDF00"/>
                </a:solidFill>
                <a:ln w="9525">
                  <a:solidFill>
                    <a:schemeClr val="accent1"/>
                  </a:solidFill>
                </a:ln>
                <a:effectLst/>
              </c:spPr>
            </c:marker>
            <c:bubble3D val="0"/>
            <c:extLst>
              <c:ext xmlns:c16="http://schemas.microsoft.com/office/drawing/2014/chart" uri="{C3380CC4-5D6E-409C-BE32-E72D297353CC}">
                <c16:uniqueId val="{000000C1-DA20-49E3-8FA5-D6DB20D927F0}"/>
              </c:ext>
            </c:extLst>
          </c:dPt>
          <c:dPt>
            <c:idx val="194"/>
            <c:marker>
              <c:spPr>
                <a:solidFill>
                  <a:srgbClr val="00F20C"/>
                </a:solidFill>
                <a:ln w="9525">
                  <a:solidFill>
                    <a:schemeClr val="accent1"/>
                  </a:solidFill>
                </a:ln>
                <a:effectLst/>
              </c:spPr>
            </c:marker>
            <c:bubble3D val="0"/>
            <c:extLst>
              <c:ext xmlns:c16="http://schemas.microsoft.com/office/drawing/2014/chart" uri="{C3380CC4-5D6E-409C-BE32-E72D297353CC}">
                <c16:uniqueId val="{000000C2-DA20-49E3-8FA5-D6DB20D927F0}"/>
              </c:ext>
            </c:extLst>
          </c:dPt>
          <c:dPt>
            <c:idx val="195"/>
            <c:marker>
              <c:spPr>
                <a:solidFill>
                  <a:srgbClr val="008579"/>
                </a:solidFill>
                <a:ln w="9525">
                  <a:solidFill>
                    <a:schemeClr val="accent1"/>
                  </a:solidFill>
                </a:ln>
                <a:effectLst/>
              </c:spPr>
            </c:marker>
            <c:bubble3D val="0"/>
            <c:extLst>
              <c:ext xmlns:c16="http://schemas.microsoft.com/office/drawing/2014/chart" uri="{C3380CC4-5D6E-409C-BE32-E72D297353CC}">
                <c16:uniqueId val="{000000C3-DA20-49E3-8FA5-D6DB20D927F0}"/>
              </c:ext>
            </c:extLst>
          </c:dPt>
          <c:dPt>
            <c:idx val="196"/>
            <c:marker>
              <c:spPr>
                <a:solidFill>
                  <a:srgbClr val="13EB00"/>
                </a:solidFill>
                <a:ln w="9525">
                  <a:solidFill>
                    <a:schemeClr val="accent1"/>
                  </a:solidFill>
                </a:ln>
                <a:effectLst/>
              </c:spPr>
            </c:marker>
            <c:bubble3D val="0"/>
            <c:extLst>
              <c:ext xmlns:c16="http://schemas.microsoft.com/office/drawing/2014/chart" uri="{C3380CC4-5D6E-409C-BE32-E72D297353CC}">
                <c16:uniqueId val="{000000C4-DA20-49E3-8FA5-D6DB20D927F0}"/>
              </c:ext>
            </c:extLst>
          </c:dPt>
          <c:dPt>
            <c:idx val="197"/>
            <c:marker>
              <c:spPr>
                <a:solidFill>
                  <a:srgbClr val="A75700"/>
                </a:solidFill>
                <a:ln w="9525">
                  <a:solidFill>
                    <a:schemeClr val="accent1"/>
                  </a:solidFill>
                </a:ln>
                <a:effectLst/>
              </c:spPr>
            </c:marker>
            <c:bubble3D val="0"/>
            <c:extLst>
              <c:ext xmlns:c16="http://schemas.microsoft.com/office/drawing/2014/chart" uri="{C3380CC4-5D6E-409C-BE32-E72D297353CC}">
                <c16:uniqueId val="{000000C5-DA20-49E3-8FA5-D6DB20D927F0}"/>
              </c:ext>
            </c:extLst>
          </c:dPt>
          <c:dPt>
            <c:idx val="198"/>
            <c:marker>
              <c:spPr>
                <a:solidFill>
                  <a:srgbClr val="788600"/>
                </a:solidFill>
                <a:ln w="9525">
                  <a:solidFill>
                    <a:schemeClr val="accent1"/>
                  </a:solidFill>
                </a:ln>
                <a:effectLst/>
              </c:spPr>
            </c:marker>
            <c:bubble3D val="0"/>
            <c:extLst>
              <c:ext xmlns:c16="http://schemas.microsoft.com/office/drawing/2014/chart" uri="{C3380CC4-5D6E-409C-BE32-E72D297353CC}">
                <c16:uniqueId val="{000000C6-DA20-49E3-8FA5-D6DB20D927F0}"/>
              </c:ext>
            </c:extLst>
          </c:dPt>
          <c:dPt>
            <c:idx val="199"/>
            <c:marker>
              <c:spPr>
                <a:solidFill>
                  <a:srgbClr val="007985"/>
                </a:solidFill>
                <a:ln w="9525">
                  <a:solidFill>
                    <a:schemeClr val="accent1"/>
                  </a:solidFill>
                </a:ln>
                <a:effectLst/>
              </c:spPr>
            </c:marker>
            <c:bubble3D val="0"/>
            <c:extLst>
              <c:ext xmlns:c16="http://schemas.microsoft.com/office/drawing/2014/chart" uri="{C3380CC4-5D6E-409C-BE32-E72D297353CC}">
                <c16:uniqueId val="{000000C7-DA20-49E3-8FA5-D6DB20D927F0}"/>
              </c:ext>
            </c:extLst>
          </c:dPt>
          <c:dLbls>
            <c:dLbl>
              <c:idx val="0"/>
              <c:tx>
                <c:rich>
                  <a:bodyPr wrap="square" lIns="38100" tIns="19050" rIns="38100" bIns="19050" anchor="ctr">
                    <a:spAutoFit/>
                  </a:bodyPr>
                  <a:lstStyle/>
                  <a:p>
                    <a:pPr>
                      <a:defRPr sz="800" b="1">
                        <a:solidFill>
                          <a:srgbClr val="000000"/>
                        </a:solidFill>
                      </a:defRPr>
                    </a:pPr>
                    <a:r>
                      <a:rPr lang="en-US"/>
                      <a:t>A01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DA20-49E3-8FA5-D6DB20D927F0}"/>
                </c:ext>
              </c:extLst>
            </c:dLbl>
            <c:dLbl>
              <c:idx val="1"/>
              <c:tx>
                <c:rich>
                  <a:bodyPr wrap="square" lIns="38100" tIns="19050" rIns="38100" bIns="19050" anchor="ctr">
                    <a:spAutoFit/>
                  </a:bodyPr>
                  <a:lstStyle/>
                  <a:p>
                    <a:pPr>
                      <a:defRPr sz="800" b="1">
                        <a:solidFill>
                          <a:srgbClr val="000000"/>
                        </a:solidFill>
                      </a:defRPr>
                    </a:pPr>
                    <a:r>
                      <a:rPr lang="en-US"/>
                      <a:t>A02</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DA20-49E3-8FA5-D6DB20D927F0}"/>
                </c:ext>
              </c:extLst>
            </c:dLbl>
            <c:dLbl>
              <c:idx val="2"/>
              <c:tx>
                <c:rich>
                  <a:bodyPr wrap="square" lIns="38100" tIns="19050" rIns="38100" bIns="19050" anchor="ctr">
                    <a:spAutoFit/>
                  </a:bodyPr>
                  <a:lstStyle/>
                  <a:p>
                    <a:pPr>
                      <a:defRPr sz="800" b="1">
                        <a:solidFill>
                          <a:srgbClr val="000000"/>
                        </a:solidFill>
                      </a:defRPr>
                    </a:pPr>
                    <a:r>
                      <a:rPr lang="en-US"/>
                      <a:t>A03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DA20-49E3-8FA5-D6DB20D927F0}"/>
                </c:ext>
              </c:extLst>
            </c:dLbl>
            <c:dLbl>
              <c:idx val="3"/>
              <c:tx>
                <c:rich>
                  <a:bodyPr wrap="square" lIns="38100" tIns="19050" rIns="38100" bIns="19050" anchor="ctr">
                    <a:spAutoFit/>
                  </a:bodyPr>
                  <a:lstStyle/>
                  <a:p>
                    <a:pPr>
                      <a:defRPr sz="800" b="1">
                        <a:solidFill>
                          <a:srgbClr val="000000"/>
                        </a:solidFill>
                      </a:defRPr>
                    </a:pPr>
                    <a:r>
                      <a:rPr lang="en-US"/>
                      <a:t>A04</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DA20-49E3-8FA5-D6DB20D927F0}"/>
                </c:ext>
              </c:extLst>
            </c:dLbl>
            <c:dLbl>
              <c:idx val="4"/>
              <c:tx>
                <c:rich>
                  <a:bodyPr wrap="square" lIns="38100" tIns="19050" rIns="38100" bIns="19050" anchor="ctr">
                    <a:spAutoFit/>
                  </a:bodyPr>
                  <a:lstStyle/>
                  <a:p>
                    <a:pPr>
                      <a:defRPr sz="800" b="1">
                        <a:solidFill>
                          <a:srgbClr val="000000"/>
                        </a:solidFill>
                      </a:defRPr>
                    </a:pPr>
                    <a:r>
                      <a:rPr lang="en-US"/>
                      <a:t>A06</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DA20-49E3-8FA5-D6DB20D927F0}"/>
                </c:ext>
              </c:extLst>
            </c:dLbl>
            <c:dLbl>
              <c:idx val="5"/>
              <c:tx>
                <c:rich>
                  <a:bodyPr wrap="square" lIns="38100" tIns="19050" rIns="38100" bIns="19050" anchor="ctr">
                    <a:spAutoFit/>
                  </a:bodyPr>
                  <a:lstStyle/>
                  <a:p>
                    <a:pPr>
                      <a:defRPr sz="800" b="1">
                        <a:solidFill>
                          <a:srgbClr val="000000"/>
                        </a:solidFill>
                      </a:defRPr>
                    </a:pPr>
                    <a:r>
                      <a:rPr lang="en-US"/>
                      <a:t>A07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DA20-49E3-8FA5-D6DB20D927F0}"/>
                </c:ext>
              </c:extLst>
            </c:dLbl>
            <c:dLbl>
              <c:idx val="6"/>
              <c:tx>
                <c:rich>
                  <a:bodyPr wrap="square" lIns="38100" tIns="19050" rIns="38100" bIns="19050" anchor="ctr">
                    <a:spAutoFit/>
                  </a:bodyPr>
                  <a:lstStyle/>
                  <a:p>
                    <a:pPr>
                      <a:defRPr sz="800" b="1">
                        <a:solidFill>
                          <a:srgbClr val="000000"/>
                        </a:solidFill>
                      </a:defRPr>
                    </a:pPr>
                    <a:r>
                      <a:rPr lang="en-US"/>
                      <a:t>A08</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DA20-49E3-8FA5-D6DB20D927F0}"/>
                </c:ext>
              </c:extLst>
            </c:dLbl>
            <c:dLbl>
              <c:idx val="7"/>
              <c:tx>
                <c:rich>
                  <a:bodyPr wrap="square" lIns="38100" tIns="19050" rIns="38100" bIns="19050" anchor="ctr">
                    <a:spAutoFit/>
                  </a:bodyPr>
                  <a:lstStyle/>
                  <a:p>
                    <a:pPr>
                      <a:defRPr sz="800" b="1">
                        <a:solidFill>
                          <a:srgbClr val="000000"/>
                        </a:solidFill>
                      </a:defRPr>
                    </a:pPr>
                    <a:r>
                      <a:rPr lang="en-US"/>
                      <a:t>A09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DA20-49E3-8FA5-D6DB20D927F0}"/>
                </c:ext>
              </c:extLst>
            </c:dLbl>
            <c:dLbl>
              <c:idx val="8"/>
              <c:tx>
                <c:rich>
                  <a:bodyPr wrap="square" lIns="38100" tIns="19050" rIns="38100" bIns="19050" anchor="ctr">
                    <a:spAutoFit/>
                  </a:bodyPr>
                  <a:lstStyle/>
                  <a:p>
                    <a:pPr>
                      <a:defRPr sz="800" b="1">
                        <a:solidFill>
                          <a:srgbClr val="000000"/>
                        </a:solidFill>
                      </a:defRPr>
                    </a:pPr>
                    <a:r>
                      <a:rPr lang="en-US"/>
                      <a:t>A10</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DA20-49E3-8FA5-D6DB20D927F0}"/>
                </c:ext>
              </c:extLst>
            </c:dLbl>
            <c:dLbl>
              <c:idx val="9"/>
              <c:tx>
                <c:rich>
                  <a:bodyPr wrap="square" lIns="38100" tIns="19050" rIns="38100" bIns="19050" anchor="ctr">
                    <a:spAutoFit/>
                  </a:bodyPr>
                  <a:lstStyle/>
                  <a:p>
                    <a:pPr>
                      <a:defRPr sz="800" b="1">
                        <a:solidFill>
                          <a:srgbClr val="000000"/>
                        </a:solidFill>
                      </a:defRPr>
                    </a:pPr>
                    <a:r>
                      <a:rPr lang="en-US"/>
                      <a:t>A11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DA20-49E3-8FA5-D6DB20D927F0}"/>
                </c:ext>
              </c:extLst>
            </c:dLbl>
            <c:dLbl>
              <c:idx val="10"/>
              <c:tx>
                <c:rich>
                  <a:bodyPr wrap="square" lIns="38100" tIns="19050" rIns="38100" bIns="19050" anchor="ctr">
                    <a:spAutoFit/>
                  </a:bodyPr>
                  <a:lstStyle/>
                  <a:p>
                    <a:pPr>
                      <a:defRPr sz="800" b="1">
                        <a:solidFill>
                          <a:srgbClr val="000000"/>
                        </a:solidFill>
                      </a:defRPr>
                    </a:pPr>
                    <a:r>
                      <a:rPr lang="en-US"/>
                      <a:t>A12</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DA20-49E3-8FA5-D6DB20D927F0}"/>
                </c:ext>
              </c:extLst>
            </c:dLbl>
            <c:dLbl>
              <c:idx val="11"/>
              <c:tx>
                <c:rich>
                  <a:bodyPr wrap="square" lIns="38100" tIns="19050" rIns="38100" bIns="19050" anchor="ctr">
                    <a:spAutoFit/>
                  </a:bodyPr>
                  <a:lstStyle/>
                  <a:p>
                    <a:pPr>
                      <a:defRPr sz="800" b="1">
                        <a:solidFill>
                          <a:srgbClr val="000000"/>
                        </a:solidFill>
                      </a:defRPr>
                    </a:pPr>
                    <a:r>
                      <a:rPr lang="en-US"/>
                      <a:t>A13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DA20-49E3-8FA5-D6DB20D927F0}"/>
                </c:ext>
              </c:extLst>
            </c:dLbl>
            <c:dLbl>
              <c:idx val="12"/>
              <c:tx>
                <c:rich>
                  <a:bodyPr wrap="square" lIns="38100" tIns="19050" rIns="38100" bIns="19050" anchor="ctr">
                    <a:spAutoFit/>
                  </a:bodyPr>
                  <a:lstStyle/>
                  <a:p>
                    <a:pPr>
                      <a:defRPr sz="800" b="1">
                        <a:solidFill>
                          <a:srgbClr val="000000"/>
                        </a:solidFill>
                      </a:defRPr>
                    </a:pPr>
                    <a:r>
                      <a:rPr lang="en-US"/>
                      <a:t>A14</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DA20-49E3-8FA5-D6DB20D927F0}"/>
                </c:ext>
              </c:extLst>
            </c:dLbl>
            <c:dLbl>
              <c:idx val="13"/>
              <c:tx>
                <c:rich>
                  <a:bodyPr wrap="square" lIns="38100" tIns="19050" rIns="38100" bIns="19050" anchor="ctr">
                    <a:spAutoFit/>
                  </a:bodyPr>
                  <a:lstStyle/>
                  <a:p>
                    <a:pPr>
                      <a:defRPr sz="800" b="1">
                        <a:solidFill>
                          <a:srgbClr val="000000"/>
                        </a:solidFill>
                      </a:defRPr>
                    </a:pPr>
                    <a:r>
                      <a:rPr lang="en-US"/>
                      <a:t>A15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DA20-49E3-8FA5-D6DB20D927F0}"/>
                </c:ext>
              </c:extLst>
            </c:dLbl>
            <c:dLbl>
              <c:idx val="14"/>
              <c:tx>
                <c:rich>
                  <a:bodyPr wrap="square" lIns="38100" tIns="19050" rIns="38100" bIns="19050" anchor="ctr">
                    <a:spAutoFit/>
                  </a:bodyPr>
                  <a:lstStyle/>
                  <a:p>
                    <a:pPr>
                      <a:defRPr sz="800" b="1">
                        <a:solidFill>
                          <a:srgbClr val="000000"/>
                        </a:solidFill>
                      </a:defRPr>
                    </a:pPr>
                    <a:r>
                      <a:rPr lang="en-US"/>
                      <a:t>A16</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DA20-49E3-8FA5-D6DB20D927F0}"/>
                </c:ext>
              </c:extLst>
            </c:dLbl>
            <c:dLbl>
              <c:idx val="15"/>
              <c:tx>
                <c:rich>
                  <a:bodyPr wrap="square" lIns="38100" tIns="19050" rIns="38100" bIns="19050" anchor="ctr">
                    <a:spAutoFit/>
                  </a:bodyPr>
                  <a:lstStyle/>
                  <a:p>
                    <a:pPr>
                      <a:defRPr sz="800" b="1">
                        <a:solidFill>
                          <a:srgbClr val="000000"/>
                        </a:solidFill>
                      </a:defRPr>
                    </a:pPr>
                    <a:r>
                      <a:rPr lang="en-US"/>
                      <a:t>A17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DA20-49E3-8FA5-D6DB20D927F0}"/>
                </c:ext>
              </c:extLst>
            </c:dLbl>
            <c:dLbl>
              <c:idx val="16"/>
              <c:tx>
                <c:rich>
                  <a:bodyPr wrap="square" lIns="38100" tIns="19050" rIns="38100" bIns="19050" anchor="ctr">
                    <a:spAutoFit/>
                  </a:bodyPr>
                  <a:lstStyle/>
                  <a:p>
                    <a:pPr>
                      <a:defRPr sz="800" b="1">
                        <a:solidFill>
                          <a:srgbClr val="000000"/>
                        </a:solidFill>
                      </a:defRPr>
                    </a:pPr>
                    <a:r>
                      <a:rPr lang="en-US"/>
                      <a:t>A19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DA20-49E3-8FA5-D6DB20D927F0}"/>
                </c:ext>
              </c:extLst>
            </c:dLbl>
            <c:dLbl>
              <c:idx val="17"/>
              <c:tx>
                <c:rich>
                  <a:bodyPr wrap="square" lIns="38100" tIns="19050" rIns="38100" bIns="19050" anchor="ctr">
                    <a:spAutoFit/>
                  </a:bodyPr>
                  <a:lstStyle/>
                  <a:p>
                    <a:pPr>
                      <a:defRPr sz="800" b="1">
                        <a:solidFill>
                          <a:srgbClr val="000000"/>
                        </a:solidFill>
                      </a:defRPr>
                    </a:pPr>
                    <a:r>
                      <a:rPr lang="en-US"/>
                      <a:t>A21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DA20-49E3-8FA5-D6DB20D927F0}"/>
                </c:ext>
              </c:extLst>
            </c:dLbl>
            <c:dLbl>
              <c:idx val="18"/>
              <c:tx>
                <c:rich>
                  <a:bodyPr wrap="square" lIns="38100" tIns="19050" rIns="38100" bIns="19050" anchor="ctr">
                    <a:spAutoFit/>
                  </a:bodyPr>
                  <a:lstStyle/>
                  <a:p>
                    <a:pPr>
                      <a:defRPr sz="800" b="1">
                        <a:solidFill>
                          <a:srgbClr val="000000"/>
                        </a:solidFill>
                      </a:defRPr>
                    </a:pPr>
                    <a:r>
                      <a:rPr lang="en-US"/>
                      <a:t>A22</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DA20-49E3-8FA5-D6DB20D927F0}"/>
                </c:ext>
              </c:extLst>
            </c:dLbl>
            <c:dLbl>
              <c:idx val="19"/>
              <c:tx>
                <c:rich>
                  <a:bodyPr wrap="square" lIns="38100" tIns="19050" rIns="38100" bIns="19050" anchor="ctr">
                    <a:spAutoFit/>
                  </a:bodyPr>
                  <a:lstStyle/>
                  <a:p>
                    <a:pPr>
                      <a:defRPr sz="800" b="1">
                        <a:solidFill>
                          <a:srgbClr val="000000"/>
                        </a:solidFill>
                      </a:defRPr>
                    </a:pPr>
                    <a:r>
                      <a:rPr lang="en-US"/>
                      <a:t>A23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DA20-49E3-8FA5-D6DB20D927F0}"/>
                </c:ext>
              </c:extLst>
            </c:dLbl>
            <c:dLbl>
              <c:idx val="20"/>
              <c:tx>
                <c:rich>
                  <a:bodyPr wrap="square" lIns="38100" tIns="19050" rIns="38100" bIns="19050" anchor="ctr">
                    <a:spAutoFit/>
                  </a:bodyPr>
                  <a:lstStyle/>
                  <a:p>
                    <a:pPr>
                      <a:defRPr sz="800" b="1">
                        <a:solidFill>
                          <a:srgbClr val="000000"/>
                        </a:solidFill>
                      </a:defRPr>
                    </a:pPr>
                    <a:r>
                      <a:rPr lang="en-US"/>
                      <a:t>A24</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DA20-49E3-8FA5-D6DB20D927F0}"/>
                </c:ext>
              </c:extLst>
            </c:dLbl>
            <c:dLbl>
              <c:idx val="21"/>
              <c:tx>
                <c:rich>
                  <a:bodyPr wrap="square" lIns="38100" tIns="19050" rIns="38100" bIns="19050" anchor="ctr">
                    <a:spAutoFit/>
                  </a:bodyPr>
                  <a:lstStyle/>
                  <a:p>
                    <a:pPr>
                      <a:defRPr sz="800" b="1">
                        <a:solidFill>
                          <a:srgbClr val="000000"/>
                        </a:solidFill>
                      </a:defRPr>
                    </a:pPr>
                    <a:r>
                      <a:rPr lang="en-US"/>
                      <a:t>B01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DA20-49E3-8FA5-D6DB20D927F0}"/>
                </c:ext>
              </c:extLst>
            </c:dLbl>
            <c:dLbl>
              <c:idx val="22"/>
              <c:tx>
                <c:rich>
                  <a:bodyPr wrap="square" lIns="38100" tIns="19050" rIns="38100" bIns="19050" anchor="ctr">
                    <a:spAutoFit/>
                  </a:bodyPr>
                  <a:lstStyle/>
                  <a:p>
                    <a:pPr>
                      <a:defRPr sz="800" b="1">
                        <a:solidFill>
                          <a:srgbClr val="000000"/>
                        </a:solidFill>
                      </a:defRPr>
                    </a:pPr>
                    <a:r>
                      <a:rPr lang="en-US"/>
                      <a:t>B03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DA20-49E3-8FA5-D6DB20D927F0}"/>
                </c:ext>
              </c:extLst>
            </c:dLbl>
            <c:dLbl>
              <c:idx val="23"/>
              <c:tx>
                <c:rich>
                  <a:bodyPr wrap="square" lIns="38100" tIns="19050" rIns="38100" bIns="19050" anchor="ctr">
                    <a:spAutoFit/>
                  </a:bodyPr>
                  <a:lstStyle/>
                  <a:p>
                    <a:pPr>
                      <a:defRPr sz="800" b="1">
                        <a:solidFill>
                          <a:srgbClr val="000000"/>
                        </a:solidFill>
                      </a:defRPr>
                    </a:pPr>
                    <a:r>
                      <a:rPr lang="en-US"/>
                      <a:t>B05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DA20-49E3-8FA5-D6DB20D927F0}"/>
                </c:ext>
              </c:extLst>
            </c:dLbl>
            <c:dLbl>
              <c:idx val="24"/>
              <c:tx>
                <c:rich>
                  <a:bodyPr wrap="square" lIns="38100" tIns="19050" rIns="38100" bIns="19050" anchor="ctr">
                    <a:spAutoFit/>
                  </a:bodyPr>
                  <a:lstStyle/>
                  <a:p>
                    <a:pPr>
                      <a:defRPr sz="800" b="1">
                        <a:solidFill>
                          <a:srgbClr val="000000"/>
                        </a:solidFill>
                      </a:defRPr>
                    </a:pPr>
                    <a:r>
                      <a:rPr lang="en-US"/>
                      <a:t>B07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DA20-49E3-8FA5-D6DB20D927F0}"/>
                </c:ext>
              </c:extLst>
            </c:dLbl>
            <c:dLbl>
              <c:idx val="25"/>
              <c:tx>
                <c:rich>
                  <a:bodyPr wrap="square" lIns="38100" tIns="19050" rIns="38100" bIns="19050" anchor="ctr">
                    <a:spAutoFit/>
                  </a:bodyPr>
                  <a:lstStyle/>
                  <a:p>
                    <a:pPr>
                      <a:defRPr sz="800" b="1">
                        <a:solidFill>
                          <a:srgbClr val="000000"/>
                        </a:solidFill>
                      </a:defRPr>
                    </a:pPr>
                    <a:r>
                      <a:rPr lang="en-US"/>
                      <a:t>B17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DA20-49E3-8FA5-D6DB20D927F0}"/>
                </c:ext>
              </c:extLst>
            </c:dLbl>
            <c:dLbl>
              <c:idx val="26"/>
              <c:tx>
                <c:rich>
                  <a:bodyPr wrap="square" lIns="38100" tIns="19050" rIns="38100" bIns="19050" anchor="ctr">
                    <a:spAutoFit/>
                  </a:bodyPr>
                  <a:lstStyle/>
                  <a:p>
                    <a:pPr>
                      <a:defRPr sz="800" b="1">
                        <a:solidFill>
                          <a:srgbClr val="000000"/>
                        </a:solidFill>
                      </a:defRPr>
                    </a:pPr>
                    <a:r>
                      <a:rPr lang="en-US"/>
                      <a:t>B19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DA20-49E3-8FA5-D6DB20D927F0}"/>
                </c:ext>
              </c:extLst>
            </c:dLbl>
            <c:dLbl>
              <c:idx val="27"/>
              <c:tx>
                <c:rich>
                  <a:bodyPr wrap="square" lIns="38100" tIns="19050" rIns="38100" bIns="19050" anchor="ctr">
                    <a:spAutoFit/>
                  </a:bodyPr>
                  <a:lstStyle/>
                  <a:p>
                    <a:pPr>
                      <a:defRPr sz="800" b="1">
                        <a:solidFill>
                          <a:srgbClr val="000000"/>
                        </a:solidFill>
                      </a:defRPr>
                    </a:pPr>
                    <a:r>
                      <a:rPr lang="en-US"/>
                      <a:t>B21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DA20-49E3-8FA5-D6DB20D927F0}"/>
                </c:ext>
              </c:extLst>
            </c:dLbl>
            <c:dLbl>
              <c:idx val="28"/>
              <c:tx>
                <c:rich>
                  <a:bodyPr wrap="square" lIns="38100" tIns="19050" rIns="38100" bIns="19050" anchor="ctr">
                    <a:spAutoFit/>
                  </a:bodyPr>
                  <a:lstStyle/>
                  <a:p>
                    <a:pPr>
                      <a:defRPr sz="800" b="1">
                        <a:solidFill>
                          <a:srgbClr val="000000"/>
                        </a:solidFill>
                      </a:defRPr>
                    </a:pPr>
                    <a:r>
                      <a:rPr lang="en-US"/>
                      <a:t>B22</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DA20-49E3-8FA5-D6DB20D927F0}"/>
                </c:ext>
              </c:extLst>
            </c:dLbl>
            <c:dLbl>
              <c:idx val="29"/>
              <c:tx>
                <c:rich>
                  <a:bodyPr wrap="square" lIns="38100" tIns="19050" rIns="38100" bIns="19050" anchor="ctr">
                    <a:spAutoFit/>
                  </a:bodyPr>
                  <a:lstStyle/>
                  <a:p>
                    <a:pPr>
                      <a:defRPr sz="800" b="1">
                        <a:solidFill>
                          <a:srgbClr val="000000"/>
                        </a:solidFill>
                      </a:defRPr>
                    </a:pPr>
                    <a:r>
                      <a:rPr lang="en-US"/>
                      <a:t>B23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DA20-49E3-8FA5-D6DB20D927F0}"/>
                </c:ext>
              </c:extLst>
            </c:dLbl>
            <c:dLbl>
              <c:idx val="30"/>
              <c:tx>
                <c:rich>
                  <a:bodyPr wrap="square" lIns="38100" tIns="19050" rIns="38100" bIns="19050" anchor="ctr">
                    <a:spAutoFit/>
                  </a:bodyPr>
                  <a:lstStyle/>
                  <a:p>
                    <a:pPr>
                      <a:defRPr sz="800" b="1">
                        <a:solidFill>
                          <a:srgbClr val="000000"/>
                        </a:solidFill>
                      </a:defRPr>
                    </a:pPr>
                    <a:r>
                      <a:rPr lang="en-US"/>
                      <a:t>B24</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DA20-49E3-8FA5-D6DB20D927F0}"/>
                </c:ext>
              </c:extLst>
            </c:dLbl>
            <c:dLbl>
              <c:idx val="31"/>
              <c:tx>
                <c:rich>
                  <a:bodyPr wrap="square" lIns="38100" tIns="19050" rIns="38100" bIns="19050" anchor="ctr">
                    <a:spAutoFit/>
                  </a:bodyPr>
                  <a:lstStyle/>
                  <a:p>
                    <a:pPr>
                      <a:defRPr sz="800" b="1">
                        <a:solidFill>
                          <a:srgbClr val="000000"/>
                        </a:solidFill>
                      </a:defRPr>
                    </a:pPr>
                    <a:r>
                      <a:rPr lang="en-US"/>
                      <a:t>C01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F-DA20-49E3-8FA5-D6DB20D927F0}"/>
                </c:ext>
              </c:extLst>
            </c:dLbl>
            <c:dLbl>
              <c:idx val="32"/>
              <c:tx>
                <c:rich>
                  <a:bodyPr wrap="square" lIns="38100" tIns="19050" rIns="38100" bIns="19050" anchor="ctr">
                    <a:spAutoFit/>
                  </a:bodyPr>
                  <a:lstStyle/>
                  <a:p>
                    <a:pPr>
                      <a:defRPr sz="800" b="1">
                        <a:solidFill>
                          <a:srgbClr val="000000"/>
                        </a:solidFill>
                      </a:defRPr>
                    </a:pPr>
                    <a:r>
                      <a:rPr lang="en-US"/>
                      <a:t>C03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DA20-49E3-8FA5-D6DB20D927F0}"/>
                </c:ext>
              </c:extLst>
            </c:dLbl>
            <c:dLbl>
              <c:idx val="33"/>
              <c:tx>
                <c:rich>
                  <a:bodyPr wrap="square" lIns="38100" tIns="19050" rIns="38100" bIns="19050" anchor="ctr">
                    <a:spAutoFit/>
                  </a:bodyPr>
                  <a:lstStyle/>
                  <a:p>
                    <a:pPr>
                      <a:defRPr sz="800" b="1">
                        <a:solidFill>
                          <a:srgbClr val="000000"/>
                        </a:solidFill>
                      </a:defRPr>
                    </a:pPr>
                    <a:r>
                      <a:rPr lang="en-US"/>
                      <a:t>C05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1-DA20-49E3-8FA5-D6DB20D927F0}"/>
                </c:ext>
              </c:extLst>
            </c:dLbl>
            <c:dLbl>
              <c:idx val="34"/>
              <c:tx>
                <c:rich>
                  <a:bodyPr wrap="square" lIns="38100" tIns="19050" rIns="38100" bIns="19050" anchor="ctr">
                    <a:spAutoFit/>
                  </a:bodyPr>
                  <a:lstStyle/>
                  <a:p>
                    <a:pPr>
                      <a:defRPr sz="800" b="1">
                        <a:solidFill>
                          <a:srgbClr val="000000"/>
                        </a:solidFill>
                      </a:defRPr>
                    </a:pPr>
                    <a:r>
                      <a:rPr lang="en-US"/>
                      <a:t>C07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DA20-49E3-8FA5-D6DB20D927F0}"/>
                </c:ext>
              </c:extLst>
            </c:dLbl>
            <c:dLbl>
              <c:idx val="35"/>
              <c:tx>
                <c:rich>
                  <a:bodyPr wrap="square" lIns="38100" tIns="19050" rIns="38100" bIns="19050" anchor="ctr">
                    <a:spAutoFit/>
                  </a:bodyPr>
                  <a:lstStyle/>
                  <a:p>
                    <a:pPr>
                      <a:defRPr sz="800" b="1">
                        <a:solidFill>
                          <a:srgbClr val="000000"/>
                        </a:solidFill>
                      </a:defRPr>
                    </a:pPr>
                    <a:r>
                      <a:rPr lang="en-US"/>
                      <a:t>C09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3-DA20-49E3-8FA5-D6DB20D927F0}"/>
                </c:ext>
              </c:extLst>
            </c:dLbl>
            <c:dLbl>
              <c:idx val="36"/>
              <c:tx>
                <c:rich>
                  <a:bodyPr wrap="square" lIns="38100" tIns="19050" rIns="38100" bIns="19050" anchor="ctr">
                    <a:spAutoFit/>
                  </a:bodyPr>
                  <a:lstStyle/>
                  <a:p>
                    <a:pPr>
                      <a:defRPr sz="800" b="1">
                        <a:solidFill>
                          <a:srgbClr val="000000"/>
                        </a:solidFill>
                      </a:defRPr>
                    </a:pPr>
                    <a:r>
                      <a:rPr lang="en-US"/>
                      <a:t>C11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4-DA20-49E3-8FA5-D6DB20D927F0}"/>
                </c:ext>
              </c:extLst>
            </c:dLbl>
            <c:dLbl>
              <c:idx val="37"/>
              <c:tx>
                <c:rich>
                  <a:bodyPr wrap="square" lIns="38100" tIns="19050" rIns="38100" bIns="19050" anchor="ctr">
                    <a:spAutoFit/>
                  </a:bodyPr>
                  <a:lstStyle/>
                  <a:p>
                    <a:pPr>
                      <a:defRPr sz="800" b="1">
                        <a:solidFill>
                          <a:srgbClr val="000000"/>
                        </a:solidFill>
                      </a:defRPr>
                    </a:pPr>
                    <a:r>
                      <a:rPr lang="en-US"/>
                      <a:t>C13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5-DA20-49E3-8FA5-D6DB20D927F0}"/>
                </c:ext>
              </c:extLst>
            </c:dLbl>
            <c:dLbl>
              <c:idx val="38"/>
              <c:tx>
                <c:rich>
                  <a:bodyPr wrap="square" lIns="38100" tIns="19050" rIns="38100" bIns="19050" anchor="ctr">
                    <a:spAutoFit/>
                  </a:bodyPr>
                  <a:lstStyle/>
                  <a:p>
                    <a:pPr>
                      <a:defRPr sz="800" b="1">
                        <a:solidFill>
                          <a:srgbClr val="000000"/>
                        </a:solidFill>
                      </a:defRPr>
                    </a:pPr>
                    <a:r>
                      <a:rPr lang="en-US"/>
                      <a:t>C15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6-DA20-49E3-8FA5-D6DB20D927F0}"/>
                </c:ext>
              </c:extLst>
            </c:dLbl>
            <c:dLbl>
              <c:idx val="39"/>
              <c:tx>
                <c:rich>
                  <a:bodyPr wrap="square" lIns="38100" tIns="19050" rIns="38100" bIns="19050" anchor="ctr">
                    <a:spAutoFit/>
                  </a:bodyPr>
                  <a:lstStyle/>
                  <a:p>
                    <a:pPr>
                      <a:defRPr sz="800" b="1">
                        <a:solidFill>
                          <a:srgbClr val="000000"/>
                        </a:solidFill>
                      </a:defRPr>
                    </a:pPr>
                    <a:r>
                      <a:rPr lang="en-US"/>
                      <a:t>C17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7-DA20-49E3-8FA5-D6DB20D927F0}"/>
                </c:ext>
              </c:extLst>
            </c:dLbl>
            <c:dLbl>
              <c:idx val="40"/>
              <c:tx>
                <c:rich>
                  <a:bodyPr wrap="square" lIns="38100" tIns="19050" rIns="38100" bIns="19050" anchor="ctr">
                    <a:spAutoFit/>
                  </a:bodyPr>
                  <a:lstStyle/>
                  <a:p>
                    <a:pPr>
                      <a:defRPr sz="800" b="1">
                        <a:solidFill>
                          <a:srgbClr val="000000"/>
                        </a:solidFill>
                      </a:defRPr>
                    </a:pPr>
                    <a:r>
                      <a:rPr lang="en-US"/>
                      <a:t>C19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8-DA20-49E3-8FA5-D6DB20D927F0}"/>
                </c:ext>
              </c:extLst>
            </c:dLbl>
            <c:dLbl>
              <c:idx val="41"/>
              <c:tx>
                <c:rich>
                  <a:bodyPr wrap="square" lIns="38100" tIns="19050" rIns="38100" bIns="19050" anchor="ctr">
                    <a:spAutoFit/>
                  </a:bodyPr>
                  <a:lstStyle/>
                  <a:p>
                    <a:pPr>
                      <a:defRPr sz="800" b="1">
                        <a:solidFill>
                          <a:srgbClr val="000000"/>
                        </a:solidFill>
                      </a:defRPr>
                    </a:pPr>
                    <a:r>
                      <a:rPr lang="en-US"/>
                      <a:t>C21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9-DA20-49E3-8FA5-D6DB20D927F0}"/>
                </c:ext>
              </c:extLst>
            </c:dLbl>
            <c:dLbl>
              <c:idx val="42"/>
              <c:tx>
                <c:rich>
                  <a:bodyPr wrap="square" lIns="38100" tIns="19050" rIns="38100" bIns="19050" anchor="ctr">
                    <a:spAutoFit/>
                  </a:bodyPr>
                  <a:lstStyle/>
                  <a:p>
                    <a:pPr>
                      <a:defRPr sz="800" b="1">
                        <a:solidFill>
                          <a:srgbClr val="000000"/>
                        </a:solidFill>
                      </a:defRPr>
                    </a:pPr>
                    <a:r>
                      <a:rPr lang="en-US"/>
                      <a:t>C22</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A-DA20-49E3-8FA5-D6DB20D927F0}"/>
                </c:ext>
              </c:extLst>
            </c:dLbl>
            <c:dLbl>
              <c:idx val="43"/>
              <c:tx>
                <c:rich>
                  <a:bodyPr wrap="square" lIns="38100" tIns="19050" rIns="38100" bIns="19050" anchor="ctr">
                    <a:spAutoFit/>
                  </a:bodyPr>
                  <a:lstStyle/>
                  <a:p>
                    <a:pPr>
                      <a:defRPr sz="800" b="1">
                        <a:solidFill>
                          <a:srgbClr val="000000"/>
                        </a:solidFill>
                      </a:defRPr>
                    </a:pPr>
                    <a:r>
                      <a:rPr lang="en-US"/>
                      <a:t>C23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B-DA20-49E3-8FA5-D6DB20D927F0}"/>
                </c:ext>
              </c:extLst>
            </c:dLbl>
            <c:dLbl>
              <c:idx val="44"/>
              <c:tx>
                <c:rich>
                  <a:bodyPr wrap="square" lIns="38100" tIns="19050" rIns="38100" bIns="19050" anchor="ctr">
                    <a:spAutoFit/>
                  </a:bodyPr>
                  <a:lstStyle/>
                  <a:p>
                    <a:pPr>
                      <a:defRPr sz="800" b="1">
                        <a:solidFill>
                          <a:srgbClr val="000000"/>
                        </a:solidFill>
                      </a:defRPr>
                    </a:pPr>
                    <a:r>
                      <a:rPr lang="en-US"/>
                      <a:t>C24</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C-DA20-49E3-8FA5-D6DB20D927F0}"/>
                </c:ext>
              </c:extLst>
            </c:dLbl>
            <c:dLbl>
              <c:idx val="45"/>
              <c:tx>
                <c:rich>
                  <a:bodyPr wrap="square" lIns="38100" tIns="19050" rIns="38100" bIns="19050" anchor="ctr">
                    <a:spAutoFit/>
                  </a:bodyPr>
                  <a:lstStyle/>
                  <a:p>
                    <a:pPr>
                      <a:defRPr sz="800" b="1">
                        <a:solidFill>
                          <a:srgbClr val="000000"/>
                        </a:solidFill>
                      </a:defRPr>
                    </a:pPr>
                    <a:r>
                      <a:rPr lang="en-US"/>
                      <a:t>D01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D-DA20-49E3-8FA5-D6DB20D927F0}"/>
                </c:ext>
              </c:extLst>
            </c:dLbl>
            <c:dLbl>
              <c:idx val="46"/>
              <c:tx>
                <c:rich>
                  <a:bodyPr wrap="square" lIns="38100" tIns="19050" rIns="38100" bIns="19050" anchor="ctr">
                    <a:spAutoFit/>
                  </a:bodyPr>
                  <a:lstStyle/>
                  <a:p>
                    <a:pPr>
                      <a:defRPr sz="800" b="1">
                        <a:solidFill>
                          <a:srgbClr val="000000"/>
                        </a:solidFill>
                      </a:defRPr>
                    </a:pPr>
                    <a:r>
                      <a:rPr lang="en-US"/>
                      <a:t>D05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E-DA20-49E3-8FA5-D6DB20D927F0}"/>
                </c:ext>
              </c:extLst>
            </c:dLbl>
            <c:dLbl>
              <c:idx val="47"/>
              <c:tx>
                <c:rich>
                  <a:bodyPr wrap="square" lIns="38100" tIns="19050" rIns="38100" bIns="19050" anchor="ctr">
                    <a:spAutoFit/>
                  </a:bodyPr>
                  <a:lstStyle/>
                  <a:p>
                    <a:pPr>
                      <a:defRPr sz="800" b="1">
                        <a:solidFill>
                          <a:srgbClr val="000000"/>
                        </a:solidFill>
                      </a:defRPr>
                    </a:pPr>
                    <a:r>
                      <a:rPr lang="en-US"/>
                      <a:t>D07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F-DA20-49E3-8FA5-D6DB20D927F0}"/>
                </c:ext>
              </c:extLst>
            </c:dLbl>
            <c:dLbl>
              <c:idx val="48"/>
              <c:tx>
                <c:rich>
                  <a:bodyPr wrap="square" lIns="38100" tIns="19050" rIns="38100" bIns="19050" anchor="ctr">
                    <a:spAutoFit/>
                  </a:bodyPr>
                  <a:lstStyle/>
                  <a:p>
                    <a:pPr>
                      <a:defRPr sz="800" b="1">
                        <a:solidFill>
                          <a:srgbClr val="000000"/>
                        </a:solidFill>
                      </a:defRPr>
                    </a:pPr>
                    <a:r>
                      <a:rPr lang="en-US"/>
                      <a:t>D09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0-DA20-49E3-8FA5-D6DB20D927F0}"/>
                </c:ext>
              </c:extLst>
            </c:dLbl>
            <c:dLbl>
              <c:idx val="49"/>
              <c:tx>
                <c:rich>
                  <a:bodyPr wrap="square" lIns="38100" tIns="19050" rIns="38100" bIns="19050" anchor="ctr">
                    <a:spAutoFit/>
                  </a:bodyPr>
                  <a:lstStyle/>
                  <a:p>
                    <a:pPr>
                      <a:defRPr sz="800" b="1">
                        <a:solidFill>
                          <a:srgbClr val="000000"/>
                        </a:solidFill>
                      </a:defRPr>
                    </a:pPr>
                    <a:r>
                      <a:rPr lang="en-US"/>
                      <a:t>D11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1-DA20-49E3-8FA5-D6DB20D927F0}"/>
                </c:ext>
              </c:extLst>
            </c:dLbl>
            <c:dLbl>
              <c:idx val="50"/>
              <c:tx>
                <c:rich>
                  <a:bodyPr wrap="square" lIns="38100" tIns="19050" rIns="38100" bIns="19050" anchor="ctr">
                    <a:spAutoFit/>
                  </a:bodyPr>
                  <a:lstStyle/>
                  <a:p>
                    <a:pPr>
                      <a:defRPr sz="800" b="1">
                        <a:solidFill>
                          <a:srgbClr val="000000"/>
                        </a:solidFill>
                      </a:defRPr>
                    </a:pPr>
                    <a:r>
                      <a:rPr lang="en-US"/>
                      <a:t>D13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2-DA20-49E3-8FA5-D6DB20D927F0}"/>
                </c:ext>
              </c:extLst>
            </c:dLbl>
            <c:dLbl>
              <c:idx val="51"/>
              <c:tx>
                <c:rich>
                  <a:bodyPr wrap="square" lIns="38100" tIns="19050" rIns="38100" bIns="19050" anchor="ctr">
                    <a:spAutoFit/>
                  </a:bodyPr>
                  <a:lstStyle/>
                  <a:p>
                    <a:pPr>
                      <a:defRPr sz="800" b="1">
                        <a:solidFill>
                          <a:srgbClr val="000000"/>
                        </a:solidFill>
                      </a:defRPr>
                    </a:pPr>
                    <a:r>
                      <a:rPr lang="en-US"/>
                      <a:t>D15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3-DA20-49E3-8FA5-D6DB20D927F0}"/>
                </c:ext>
              </c:extLst>
            </c:dLbl>
            <c:dLbl>
              <c:idx val="52"/>
              <c:tx>
                <c:rich>
                  <a:bodyPr wrap="square" lIns="38100" tIns="19050" rIns="38100" bIns="19050" anchor="ctr">
                    <a:spAutoFit/>
                  </a:bodyPr>
                  <a:lstStyle/>
                  <a:p>
                    <a:pPr>
                      <a:defRPr sz="800" b="1">
                        <a:solidFill>
                          <a:srgbClr val="000000"/>
                        </a:solidFill>
                      </a:defRPr>
                    </a:pPr>
                    <a:r>
                      <a:rPr lang="en-US"/>
                      <a:t>D17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4-DA20-49E3-8FA5-D6DB20D927F0}"/>
                </c:ext>
              </c:extLst>
            </c:dLbl>
            <c:dLbl>
              <c:idx val="53"/>
              <c:tx>
                <c:rich>
                  <a:bodyPr wrap="square" lIns="38100" tIns="19050" rIns="38100" bIns="19050" anchor="ctr">
                    <a:spAutoFit/>
                  </a:bodyPr>
                  <a:lstStyle/>
                  <a:p>
                    <a:pPr>
                      <a:defRPr sz="800" b="1">
                        <a:solidFill>
                          <a:srgbClr val="000000"/>
                        </a:solidFill>
                      </a:defRPr>
                    </a:pPr>
                    <a:r>
                      <a:rPr lang="en-US"/>
                      <a:t>D19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5-DA20-49E3-8FA5-D6DB20D927F0}"/>
                </c:ext>
              </c:extLst>
            </c:dLbl>
            <c:dLbl>
              <c:idx val="54"/>
              <c:tx>
                <c:rich>
                  <a:bodyPr wrap="square" lIns="38100" tIns="19050" rIns="38100" bIns="19050" anchor="ctr">
                    <a:spAutoFit/>
                  </a:bodyPr>
                  <a:lstStyle/>
                  <a:p>
                    <a:pPr>
                      <a:defRPr sz="800" b="1">
                        <a:solidFill>
                          <a:srgbClr val="000000"/>
                        </a:solidFill>
                      </a:defRPr>
                    </a:pPr>
                    <a:r>
                      <a:rPr lang="en-US"/>
                      <a:t>D21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6-DA20-49E3-8FA5-D6DB20D927F0}"/>
                </c:ext>
              </c:extLst>
            </c:dLbl>
            <c:dLbl>
              <c:idx val="55"/>
              <c:tx>
                <c:rich>
                  <a:bodyPr wrap="square" lIns="38100" tIns="19050" rIns="38100" bIns="19050" anchor="ctr">
                    <a:spAutoFit/>
                  </a:bodyPr>
                  <a:lstStyle/>
                  <a:p>
                    <a:pPr>
                      <a:defRPr sz="800" b="1">
                        <a:solidFill>
                          <a:srgbClr val="000000"/>
                        </a:solidFill>
                      </a:defRPr>
                    </a:pPr>
                    <a:r>
                      <a:rPr lang="en-US"/>
                      <a:t>D22</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7-DA20-49E3-8FA5-D6DB20D927F0}"/>
                </c:ext>
              </c:extLst>
            </c:dLbl>
            <c:dLbl>
              <c:idx val="56"/>
              <c:tx>
                <c:rich>
                  <a:bodyPr wrap="square" lIns="38100" tIns="19050" rIns="38100" bIns="19050" anchor="ctr">
                    <a:spAutoFit/>
                  </a:bodyPr>
                  <a:lstStyle/>
                  <a:p>
                    <a:pPr>
                      <a:defRPr sz="800" b="1">
                        <a:solidFill>
                          <a:srgbClr val="000000"/>
                        </a:solidFill>
                      </a:defRPr>
                    </a:pPr>
                    <a:r>
                      <a:rPr lang="en-US"/>
                      <a:t>D23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8-DA20-49E3-8FA5-D6DB20D927F0}"/>
                </c:ext>
              </c:extLst>
            </c:dLbl>
            <c:dLbl>
              <c:idx val="57"/>
              <c:tx>
                <c:rich>
                  <a:bodyPr wrap="square" lIns="38100" tIns="19050" rIns="38100" bIns="19050" anchor="ctr">
                    <a:spAutoFit/>
                  </a:bodyPr>
                  <a:lstStyle/>
                  <a:p>
                    <a:pPr>
                      <a:defRPr sz="800" b="1">
                        <a:solidFill>
                          <a:srgbClr val="000000"/>
                        </a:solidFill>
                      </a:defRPr>
                    </a:pPr>
                    <a:r>
                      <a:rPr lang="en-US"/>
                      <a:t>E01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9-DA20-49E3-8FA5-D6DB20D927F0}"/>
                </c:ext>
              </c:extLst>
            </c:dLbl>
            <c:dLbl>
              <c:idx val="58"/>
              <c:tx>
                <c:rich>
                  <a:bodyPr wrap="square" lIns="38100" tIns="19050" rIns="38100" bIns="19050" anchor="ctr">
                    <a:spAutoFit/>
                  </a:bodyPr>
                  <a:lstStyle/>
                  <a:p>
                    <a:pPr>
                      <a:defRPr sz="800" b="1">
                        <a:solidFill>
                          <a:srgbClr val="000000"/>
                        </a:solidFill>
                      </a:defRPr>
                    </a:pPr>
                    <a:r>
                      <a:rPr lang="en-US"/>
                      <a:t>E03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A-DA20-49E3-8FA5-D6DB20D927F0}"/>
                </c:ext>
              </c:extLst>
            </c:dLbl>
            <c:dLbl>
              <c:idx val="59"/>
              <c:tx>
                <c:rich>
                  <a:bodyPr wrap="square" lIns="38100" tIns="19050" rIns="38100" bIns="19050" anchor="ctr">
                    <a:spAutoFit/>
                  </a:bodyPr>
                  <a:lstStyle/>
                  <a:p>
                    <a:pPr>
                      <a:defRPr sz="800" b="1">
                        <a:solidFill>
                          <a:srgbClr val="000000"/>
                        </a:solidFill>
                      </a:defRPr>
                    </a:pPr>
                    <a:r>
                      <a:rPr lang="en-US"/>
                      <a:t>E05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B-DA20-49E3-8FA5-D6DB20D927F0}"/>
                </c:ext>
              </c:extLst>
            </c:dLbl>
            <c:dLbl>
              <c:idx val="60"/>
              <c:tx>
                <c:rich>
                  <a:bodyPr wrap="square" lIns="38100" tIns="19050" rIns="38100" bIns="19050" anchor="ctr">
                    <a:spAutoFit/>
                  </a:bodyPr>
                  <a:lstStyle/>
                  <a:p>
                    <a:pPr>
                      <a:defRPr sz="800" b="1">
                        <a:solidFill>
                          <a:srgbClr val="000000"/>
                        </a:solidFill>
                      </a:defRPr>
                    </a:pPr>
                    <a:r>
                      <a:rPr lang="en-US"/>
                      <a:t>E07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C-DA20-49E3-8FA5-D6DB20D927F0}"/>
                </c:ext>
              </c:extLst>
            </c:dLbl>
            <c:dLbl>
              <c:idx val="61"/>
              <c:tx>
                <c:rich>
                  <a:bodyPr wrap="square" lIns="38100" tIns="19050" rIns="38100" bIns="19050" anchor="ctr">
                    <a:spAutoFit/>
                  </a:bodyPr>
                  <a:lstStyle/>
                  <a:p>
                    <a:pPr>
                      <a:defRPr sz="800" b="1">
                        <a:solidFill>
                          <a:srgbClr val="000000"/>
                        </a:solidFill>
                      </a:defRPr>
                    </a:pPr>
                    <a:r>
                      <a:rPr lang="en-US"/>
                      <a:t>E09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D-DA20-49E3-8FA5-D6DB20D927F0}"/>
                </c:ext>
              </c:extLst>
            </c:dLbl>
            <c:dLbl>
              <c:idx val="62"/>
              <c:tx>
                <c:rich>
                  <a:bodyPr wrap="square" lIns="38100" tIns="19050" rIns="38100" bIns="19050" anchor="ctr">
                    <a:spAutoFit/>
                  </a:bodyPr>
                  <a:lstStyle/>
                  <a:p>
                    <a:pPr>
                      <a:defRPr sz="800" b="1">
                        <a:solidFill>
                          <a:srgbClr val="000000"/>
                        </a:solidFill>
                      </a:defRPr>
                    </a:pPr>
                    <a:r>
                      <a:rPr lang="en-US"/>
                      <a:t>E11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E-DA20-49E3-8FA5-D6DB20D927F0}"/>
                </c:ext>
              </c:extLst>
            </c:dLbl>
            <c:dLbl>
              <c:idx val="63"/>
              <c:tx>
                <c:rich>
                  <a:bodyPr wrap="square" lIns="38100" tIns="19050" rIns="38100" bIns="19050" anchor="ctr">
                    <a:spAutoFit/>
                  </a:bodyPr>
                  <a:lstStyle/>
                  <a:p>
                    <a:pPr>
                      <a:defRPr sz="800" b="1">
                        <a:solidFill>
                          <a:srgbClr val="000000"/>
                        </a:solidFill>
                      </a:defRPr>
                    </a:pPr>
                    <a:r>
                      <a:rPr lang="en-US"/>
                      <a:t>E13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F-DA20-49E3-8FA5-D6DB20D927F0}"/>
                </c:ext>
              </c:extLst>
            </c:dLbl>
            <c:dLbl>
              <c:idx val="64"/>
              <c:tx>
                <c:rich>
                  <a:bodyPr wrap="square" lIns="38100" tIns="19050" rIns="38100" bIns="19050" anchor="ctr">
                    <a:spAutoFit/>
                  </a:bodyPr>
                  <a:lstStyle/>
                  <a:p>
                    <a:pPr>
                      <a:defRPr sz="800" b="1">
                        <a:solidFill>
                          <a:srgbClr val="000000"/>
                        </a:solidFill>
                      </a:defRPr>
                    </a:pPr>
                    <a:r>
                      <a:rPr lang="en-US"/>
                      <a:t>E15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0-DA20-49E3-8FA5-D6DB20D927F0}"/>
                </c:ext>
              </c:extLst>
            </c:dLbl>
            <c:dLbl>
              <c:idx val="65"/>
              <c:tx>
                <c:rich>
                  <a:bodyPr wrap="square" lIns="38100" tIns="19050" rIns="38100" bIns="19050" anchor="ctr">
                    <a:spAutoFit/>
                  </a:bodyPr>
                  <a:lstStyle/>
                  <a:p>
                    <a:pPr>
                      <a:defRPr sz="800" b="1">
                        <a:solidFill>
                          <a:srgbClr val="000000"/>
                        </a:solidFill>
                      </a:defRPr>
                    </a:pPr>
                    <a:r>
                      <a:rPr lang="en-US"/>
                      <a:t>E17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1-DA20-49E3-8FA5-D6DB20D927F0}"/>
                </c:ext>
              </c:extLst>
            </c:dLbl>
            <c:dLbl>
              <c:idx val="66"/>
              <c:tx>
                <c:rich>
                  <a:bodyPr wrap="square" lIns="38100" tIns="19050" rIns="38100" bIns="19050" anchor="ctr">
                    <a:spAutoFit/>
                  </a:bodyPr>
                  <a:lstStyle/>
                  <a:p>
                    <a:pPr>
                      <a:defRPr sz="800" b="1">
                        <a:solidFill>
                          <a:srgbClr val="000000"/>
                        </a:solidFill>
                      </a:defRPr>
                    </a:pPr>
                    <a:r>
                      <a:rPr lang="en-US"/>
                      <a:t>E19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2-DA20-49E3-8FA5-D6DB20D927F0}"/>
                </c:ext>
              </c:extLst>
            </c:dLbl>
            <c:dLbl>
              <c:idx val="67"/>
              <c:tx>
                <c:rich>
                  <a:bodyPr wrap="square" lIns="38100" tIns="19050" rIns="38100" bIns="19050" anchor="ctr">
                    <a:spAutoFit/>
                  </a:bodyPr>
                  <a:lstStyle/>
                  <a:p>
                    <a:pPr>
                      <a:defRPr sz="800" b="1">
                        <a:solidFill>
                          <a:srgbClr val="000000"/>
                        </a:solidFill>
                      </a:defRPr>
                    </a:pPr>
                    <a:r>
                      <a:rPr lang="en-US"/>
                      <a:t>E21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3-DA20-49E3-8FA5-D6DB20D927F0}"/>
                </c:ext>
              </c:extLst>
            </c:dLbl>
            <c:dLbl>
              <c:idx val="68"/>
              <c:tx>
                <c:rich>
                  <a:bodyPr wrap="square" lIns="38100" tIns="19050" rIns="38100" bIns="19050" anchor="ctr">
                    <a:spAutoFit/>
                  </a:bodyPr>
                  <a:lstStyle/>
                  <a:p>
                    <a:pPr>
                      <a:defRPr sz="800" b="1">
                        <a:solidFill>
                          <a:srgbClr val="000000"/>
                        </a:solidFill>
                      </a:defRPr>
                    </a:pPr>
                    <a:r>
                      <a:rPr lang="en-US"/>
                      <a:t>E22</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4-DA20-49E3-8FA5-D6DB20D927F0}"/>
                </c:ext>
              </c:extLst>
            </c:dLbl>
            <c:dLbl>
              <c:idx val="69"/>
              <c:tx>
                <c:rich>
                  <a:bodyPr wrap="square" lIns="38100" tIns="19050" rIns="38100" bIns="19050" anchor="ctr">
                    <a:spAutoFit/>
                  </a:bodyPr>
                  <a:lstStyle/>
                  <a:p>
                    <a:pPr>
                      <a:defRPr sz="800" b="1">
                        <a:solidFill>
                          <a:srgbClr val="000000"/>
                        </a:solidFill>
                      </a:defRPr>
                    </a:pPr>
                    <a:r>
                      <a:rPr lang="en-US"/>
                      <a:t>E23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5-DA20-49E3-8FA5-D6DB20D927F0}"/>
                </c:ext>
              </c:extLst>
            </c:dLbl>
            <c:dLbl>
              <c:idx val="70"/>
              <c:tx>
                <c:rich>
                  <a:bodyPr wrap="square" lIns="38100" tIns="19050" rIns="38100" bIns="19050" anchor="ctr">
                    <a:spAutoFit/>
                  </a:bodyPr>
                  <a:lstStyle/>
                  <a:p>
                    <a:pPr>
                      <a:defRPr sz="800" b="1">
                        <a:solidFill>
                          <a:srgbClr val="000000"/>
                        </a:solidFill>
                      </a:defRPr>
                    </a:pPr>
                    <a:r>
                      <a:rPr lang="en-US"/>
                      <a:t>F01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6-DA20-49E3-8FA5-D6DB20D927F0}"/>
                </c:ext>
              </c:extLst>
            </c:dLbl>
            <c:dLbl>
              <c:idx val="71"/>
              <c:tx>
                <c:rich>
                  <a:bodyPr wrap="square" lIns="38100" tIns="19050" rIns="38100" bIns="19050" anchor="ctr">
                    <a:spAutoFit/>
                  </a:bodyPr>
                  <a:lstStyle/>
                  <a:p>
                    <a:pPr>
                      <a:defRPr sz="800" b="1">
                        <a:solidFill>
                          <a:srgbClr val="000000"/>
                        </a:solidFill>
                      </a:defRPr>
                    </a:pPr>
                    <a:r>
                      <a:rPr lang="en-US"/>
                      <a:t>F03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7-DA20-49E3-8FA5-D6DB20D927F0}"/>
                </c:ext>
              </c:extLst>
            </c:dLbl>
            <c:dLbl>
              <c:idx val="72"/>
              <c:tx>
                <c:rich>
                  <a:bodyPr wrap="square" lIns="38100" tIns="19050" rIns="38100" bIns="19050" anchor="ctr">
                    <a:spAutoFit/>
                  </a:bodyPr>
                  <a:lstStyle/>
                  <a:p>
                    <a:pPr>
                      <a:defRPr sz="800" b="1">
                        <a:solidFill>
                          <a:srgbClr val="000000"/>
                        </a:solidFill>
                      </a:defRPr>
                    </a:pPr>
                    <a:r>
                      <a:rPr lang="en-US"/>
                      <a:t>F05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8-DA20-49E3-8FA5-D6DB20D927F0}"/>
                </c:ext>
              </c:extLst>
            </c:dLbl>
            <c:dLbl>
              <c:idx val="73"/>
              <c:tx>
                <c:rich>
                  <a:bodyPr wrap="square" lIns="38100" tIns="19050" rIns="38100" bIns="19050" anchor="ctr">
                    <a:spAutoFit/>
                  </a:bodyPr>
                  <a:lstStyle/>
                  <a:p>
                    <a:pPr>
                      <a:defRPr sz="800" b="1">
                        <a:solidFill>
                          <a:srgbClr val="000000"/>
                        </a:solidFill>
                      </a:defRPr>
                    </a:pPr>
                    <a:r>
                      <a:rPr lang="en-US"/>
                      <a:t>F07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9-DA20-49E3-8FA5-D6DB20D927F0}"/>
                </c:ext>
              </c:extLst>
            </c:dLbl>
            <c:dLbl>
              <c:idx val="74"/>
              <c:tx>
                <c:rich>
                  <a:bodyPr wrap="square" lIns="38100" tIns="19050" rIns="38100" bIns="19050" anchor="ctr">
                    <a:spAutoFit/>
                  </a:bodyPr>
                  <a:lstStyle/>
                  <a:p>
                    <a:pPr>
                      <a:defRPr sz="800" b="1">
                        <a:solidFill>
                          <a:srgbClr val="000000"/>
                        </a:solidFill>
                      </a:defRPr>
                    </a:pPr>
                    <a:r>
                      <a:rPr lang="en-US"/>
                      <a:t>F09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A-DA20-49E3-8FA5-D6DB20D927F0}"/>
                </c:ext>
              </c:extLst>
            </c:dLbl>
            <c:dLbl>
              <c:idx val="75"/>
              <c:tx>
                <c:rich>
                  <a:bodyPr wrap="square" lIns="38100" tIns="19050" rIns="38100" bIns="19050" anchor="ctr">
                    <a:spAutoFit/>
                  </a:bodyPr>
                  <a:lstStyle/>
                  <a:p>
                    <a:pPr>
                      <a:defRPr sz="800" b="1">
                        <a:solidFill>
                          <a:srgbClr val="000000"/>
                        </a:solidFill>
                      </a:defRPr>
                    </a:pPr>
                    <a:r>
                      <a:rPr lang="en-US"/>
                      <a:t>F11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B-DA20-49E3-8FA5-D6DB20D927F0}"/>
                </c:ext>
              </c:extLst>
            </c:dLbl>
            <c:dLbl>
              <c:idx val="76"/>
              <c:tx>
                <c:rich>
                  <a:bodyPr wrap="square" lIns="38100" tIns="19050" rIns="38100" bIns="19050" anchor="ctr">
                    <a:spAutoFit/>
                  </a:bodyPr>
                  <a:lstStyle/>
                  <a:p>
                    <a:pPr>
                      <a:defRPr sz="800" b="1">
                        <a:solidFill>
                          <a:srgbClr val="000000"/>
                        </a:solidFill>
                      </a:defRPr>
                    </a:pPr>
                    <a:r>
                      <a:rPr lang="en-US"/>
                      <a:t>F13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C-DA20-49E3-8FA5-D6DB20D927F0}"/>
                </c:ext>
              </c:extLst>
            </c:dLbl>
            <c:dLbl>
              <c:idx val="77"/>
              <c:tx>
                <c:rich>
                  <a:bodyPr wrap="square" lIns="38100" tIns="19050" rIns="38100" bIns="19050" anchor="ctr">
                    <a:spAutoFit/>
                  </a:bodyPr>
                  <a:lstStyle/>
                  <a:p>
                    <a:pPr>
                      <a:defRPr sz="800" b="1">
                        <a:solidFill>
                          <a:srgbClr val="000000"/>
                        </a:solidFill>
                      </a:defRPr>
                    </a:pPr>
                    <a:r>
                      <a:rPr lang="en-US"/>
                      <a:t>F15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D-DA20-49E3-8FA5-D6DB20D927F0}"/>
                </c:ext>
              </c:extLst>
            </c:dLbl>
            <c:dLbl>
              <c:idx val="78"/>
              <c:tx>
                <c:rich>
                  <a:bodyPr wrap="square" lIns="38100" tIns="19050" rIns="38100" bIns="19050" anchor="ctr">
                    <a:spAutoFit/>
                  </a:bodyPr>
                  <a:lstStyle/>
                  <a:p>
                    <a:pPr>
                      <a:defRPr sz="800" b="1">
                        <a:solidFill>
                          <a:srgbClr val="000000"/>
                        </a:solidFill>
                      </a:defRPr>
                    </a:pPr>
                    <a:r>
                      <a:rPr lang="en-US"/>
                      <a:t>F17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E-DA20-49E3-8FA5-D6DB20D927F0}"/>
                </c:ext>
              </c:extLst>
            </c:dLbl>
            <c:dLbl>
              <c:idx val="79"/>
              <c:tx>
                <c:rich>
                  <a:bodyPr wrap="square" lIns="38100" tIns="19050" rIns="38100" bIns="19050" anchor="ctr">
                    <a:spAutoFit/>
                  </a:bodyPr>
                  <a:lstStyle/>
                  <a:p>
                    <a:pPr>
                      <a:defRPr sz="800" b="1">
                        <a:solidFill>
                          <a:srgbClr val="000000"/>
                        </a:solidFill>
                      </a:defRPr>
                    </a:pPr>
                    <a:r>
                      <a:rPr lang="en-US"/>
                      <a:t>F19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F-DA20-49E3-8FA5-D6DB20D927F0}"/>
                </c:ext>
              </c:extLst>
            </c:dLbl>
            <c:dLbl>
              <c:idx val="80"/>
              <c:tx>
                <c:rich>
                  <a:bodyPr wrap="square" lIns="38100" tIns="19050" rIns="38100" bIns="19050" anchor="ctr">
                    <a:spAutoFit/>
                  </a:bodyPr>
                  <a:lstStyle/>
                  <a:p>
                    <a:pPr>
                      <a:defRPr sz="800" b="1">
                        <a:solidFill>
                          <a:srgbClr val="000000"/>
                        </a:solidFill>
                      </a:defRPr>
                    </a:pPr>
                    <a:r>
                      <a:rPr lang="en-US"/>
                      <a:t>F21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0-DA20-49E3-8FA5-D6DB20D927F0}"/>
                </c:ext>
              </c:extLst>
            </c:dLbl>
            <c:dLbl>
              <c:idx val="81"/>
              <c:tx>
                <c:rich>
                  <a:bodyPr wrap="square" lIns="38100" tIns="19050" rIns="38100" bIns="19050" anchor="ctr">
                    <a:spAutoFit/>
                  </a:bodyPr>
                  <a:lstStyle/>
                  <a:p>
                    <a:pPr>
                      <a:defRPr sz="800" b="1">
                        <a:solidFill>
                          <a:srgbClr val="000000"/>
                        </a:solidFill>
                      </a:defRPr>
                    </a:pPr>
                    <a:r>
                      <a:rPr lang="en-US"/>
                      <a:t>F22</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1-DA20-49E3-8FA5-D6DB20D927F0}"/>
                </c:ext>
              </c:extLst>
            </c:dLbl>
            <c:dLbl>
              <c:idx val="82"/>
              <c:tx>
                <c:rich>
                  <a:bodyPr wrap="square" lIns="38100" tIns="19050" rIns="38100" bIns="19050" anchor="ctr">
                    <a:spAutoFit/>
                  </a:bodyPr>
                  <a:lstStyle/>
                  <a:p>
                    <a:pPr>
                      <a:defRPr sz="800" b="1">
                        <a:solidFill>
                          <a:srgbClr val="000000"/>
                        </a:solidFill>
                      </a:defRPr>
                    </a:pPr>
                    <a:r>
                      <a:rPr lang="en-US"/>
                      <a:t>F23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2-DA20-49E3-8FA5-D6DB20D927F0}"/>
                </c:ext>
              </c:extLst>
            </c:dLbl>
            <c:dLbl>
              <c:idx val="83"/>
              <c:tx>
                <c:rich>
                  <a:bodyPr wrap="square" lIns="38100" tIns="19050" rIns="38100" bIns="19050" anchor="ctr">
                    <a:spAutoFit/>
                  </a:bodyPr>
                  <a:lstStyle/>
                  <a:p>
                    <a:pPr>
                      <a:defRPr sz="800" b="1">
                        <a:solidFill>
                          <a:srgbClr val="000000"/>
                        </a:solidFill>
                      </a:defRPr>
                    </a:pPr>
                    <a:r>
                      <a:rPr lang="en-US"/>
                      <a:t>G01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3-DA20-49E3-8FA5-D6DB20D927F0}"/>
                </c:ext>
              </c:extLst>
            </c:dLbl>
            <c:dLbl>
              <c:idx val="84"/>
              <c:tx>
                <c:rich>
                  <a:bodyPr wrap="square" lIns="38100" tIns="19050" rIns="38100" bIns="19050" anchor="ctr">
                    <a:spAutoFit/>
                  </a:bodyPr>
                  <a:lstStyle/>
                  <a:p>
                    <a:pPr>
                      <a:defRPr sz="800" b="1">
                        <a:solidFill>
                          <a:srgbClr val="000000"/>
                        </a:solidFill>
                      </a:defRPr>
                    </a:pPr>
                    <a:r>
                      <a:rPr lang="en-US"/>
                      <a:t>G03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4-DA20-49E3-8FA5-D6DB20D927F0}"/>
                </c:ext>
              </c:extLst>
            </c:dLbl>
            <c:dLbl>
              <c:idx val="85"/>
              <c:tx>
                <c:rich>
                  <a:bodyPr wrap="square" lIns="38100" tIns="19050" rIns="38100" bIns="19050" anchor="ctr">
                    <a:spAutoFit/>
                  </a:bodyPr>
                  <a:lstStyle/>
                  <a:p>
                    <a:pPr>
                      <a:defRPr sz="800" b="1">
                        <a:solidFill>
                          <a:srgbClr val="000000"/>
                        </a:solidFill>
                      </a:defRPr>
                    </a:pPr>
                    <a:r>
                      <a:rPr lang="en-US"/>
                      <a:t>G05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5-DA20-49E3-8FA5-D6DB20D927F0}"/>
                </c:ext>
              </c:extLst>
            </c:dLbl>
            <c:dLbl>
              <c:idx val="86"/>
              <c:tx>
                <c:rich>
                  <a:bodyPr wrap="square" lIns="38100" tIns="19050" rIns="38100" bIns="19050" anchor="ctr">
                    <a:spAutoFit/>
                  </a:bodyPr>
                  <a:lstStyle/>
                  <a:p>
                    <a:pPr>
                      <a:defRPr sz="800" b="1">
                        <a:solidFill>
                          <a:srgbClr val="000000"/>
                        </a:solidFill>
                      </a:defRPr>
                    </a:pPr>
                    <a:r>
                      <a:rPr lang="en-US"/>
                      <a:t>G07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6-DA20-49E3-8FA5-D6DB20D927F0}"/>
                </c:ext>
              </c:extLst>
            </c:dLbl>
            <c:dLbl>
              <c:idx val="87"/>
              <c:tx>
                <c:rich>
                  <a:bodyPr wrap="square" lIns="38100" tIns="19050" rIns="38100" bIns="19050" anchor="ctr">
                    <a:spAutoFit/>
                  </a:bodyPr>
                  <a:lstStyle/>
                  <a:p>
                    <a:pPr>
                      <a:defRPr sz="800" b="1">
                        <a:solidFill>
                          <a:srgbClr val="000000"/>
                        </a:solidFill>
                      </a:defRPr>
                    </a:pPr>
                    <a:r>
                      <a:rPr lang="en-US"/>
                      <a:t>G09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7-DA20-49E3-8FA5-D6DB20D927F0}"/>
                </c:ext>
              </c:extLst>
            </c:dLbl>
            <c:dLbl>
              <c:idx val="88"/>
              <c:tx>
                <c:rich>
                  <a:bodyPr wrap="square" lIns="38100" tIns="19050" rIns="38100" bIns="19050" anchor="ctr">
                    <a:spAutoFit/>
                  </a:bodyPr>
                  <a:lstStyle/>
                  <a:p>
                    <a:pPr>
                      <a:defRPr sz="800" b="1">
                        <a:solidFill>
                          <a:srgbClr val="000000"/>
                        </a:solidFill>
                      </a:defRPr>
                    </a:pPr>
                    <a:r>
                      <a:rPr lang="en-US"/>
                      <a:t>G11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8-DA20-49E3-8FA5-D6DB20D927F0}"/>
                </c:ext>
              </c:extLst>
            </c:dLbl>
            <c:dLbl>
              <c:idx val="89"/>
              <c:tx>
                <c:rich>
                  <a:bodyPr wrap="square" lIns="38100" tIns="19050" rIns="38100" bIns="19050" anchor="ctr">
                    <a:spAutoFit/>
                  </a:bodyPr>
                  <a:lstStyle/>
                  <a:p>
                    <a:pPr>
                      <a:defRPr sz="800" b="1">
                        <a:solidFill>
                          <a:srgbClr val="000000"/>
                        </a:solidFill>
                      </a:defRPr>
                    </a:pPr>
                    <a:r>
                      <a:rPr lang="en-US"/>
                      <a:t>G13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9-DA20-49E3-8FA5-D6DB20D927F0}"/>
                </c:ext>
              </c:extLst>
            </c:dLbl>
            <c:dLbl>
              <c:idx val="90"/>
              <c:tx>
                <c:rich>
                  <a:bodyPr wrap="square" lIns="38100" tIns="19050" rIns="38100" bIns="19050" anchor="ctr">
                    <a:spAutoFit/>
                  </a:bodyPr>
                  <a:lstStyle/>
                  <a:p>
                    <a:pPr>
                      <a:defRPr sz="800" b="1">
                        <a:solidFill>
                          <a:srgbClr val="000000"/>
                        </a:solidFill>
                      </a:defRPr>
                    </a:pPr>
                    <a:r>
                      <a:rPr lang="en-US"/>
                      <a:t>G15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A-DA20-49E3-8FA5-D6DB20D927F0}"/>
                </c:ext>
              </c:extLst>
            </c:dLbl>
            <c:dLbl>
              <c:idx val="91"/>
              <c:tx>
                <c:rich>
                  <a:bodyPr wrap="square" lIns="38100" tIns="19050" rIns="38100" bIns="19050" anchor="ctr">
                    <a:spAutoFit/>
                  </a:bodyPr>
                  <a:lstStyle/>
                  <a:p>
                    <a:pPr>
                      <a:defRPr sz="800" b="1">
                        <a:solidFill>
                          <a:srgbClr val="000000"/>
                        </a:solidFill>
                      </a:defRPr>
                    </a:pPr>
                    <a:r>
                      <a:rPr lang="en-US"/>
                      <a:t>G17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B-DA20-49E3-8FA5-D6DB20D927F0}"/>
                </c:ext>
              </c:extLst>
            </c:dLbl>
            <c:dLbl>
              <c:idx val="92"/>
              <c:tx>
                <c:rich>
                  <a:bodyPr wrap="square" lIns="38100" tIns="19050" rIns="38100" bIns="19050" anchor="ctr">
                    <a:spAutoFit/>
                  </a:bodyPr>
                  <a:lstStyle/>
                  <a:p>
                    <a:pPr>
                      <a:defRPr sz="800" b="1">
                        <a:solidFill>
                          <a:srgbClr val="000000"/>
                        </a:solidFill>
                      </a:defRPr>
                    </a:pPr>
                    <a:r>
                      <a:rPr lang="en-US"/>
                      <a:t>G19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C-DA20-49E3-8FA5-D6DB20D927F0}"/>
                </c:ext>
              </c:extLst>
            </c:dLbl>
            <c:dLbl>
              <c:idx val="93"/>
              <c:tx>
                <c:rich>
                  <a:bodyPr wrap="square" lIns="38100" tIns="19050" rIns="38100" bIns="19050" anchor="ctr">
                    <a:spAutoFit/>
                  </a:bodyPr>
                  <a:lstStyle/>
                  <a:p>
                    <a:pPr>
                      <a:defRPr sz="800" b="1">
                        <a:solidFill>
                          <a:srgbClr val="000000"/>
                        </a:solidFill>
                      </a:defRPr>
                    </a:pPr>
                    <a:r>
                      <a:rPr lang="en-US"/>
                      <a:t>G21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D-DA20-49E3-8FA5-D6DB20D927F0}"/>
                </c:ext>
              </c:extLst>
            </c:dLbl>
            <c:dLbl>
              <c:idx val="94"/>
              <c:tx>
                <c:rich>
                  <a:bodyPr wrap="square" lIns="38100" tIns="19050" rIns="38100" bIns="19050" anchor="ctr">
                    <a:spAutoFit/>
                  </a:bodyPr>
                  <a:lstStyle/>
                  <a:p>
                    <a:pPr>
                      <a:defRPr sz="800" b="1">
                        <a:solidFill>
                          <a:srgbClr val="000000"/>
                        </a:solidFill>
                      </a:defRPr>
                    </a:pPr>
                    <a:r>
                      <a:rPr lang="en-US"/>
                      <a:t>G22</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E-DA20-49E3-8FA5-D6DB20D927F0}"/>
                </c:ext>
              </c:extLst>
            </c:dLbl>
            <c:dLbl>
              <c:idx val="95"/>
              <c:tx>
                <c:rich>
                  <a:bodyPr wrap="square" lIns="38100" tIns="19050" rIns="38100" bIns="19050" anchor="ctr">
                    <a:spAutoFit/>
                  </a:bodyPr>
                  <a:lstStyle/>
                  <a:p>
                    <a:pPr>
                      <a:defRPr sz="800" b="1">
                        <a:solidFill>
                          <a:srgbClr val="000000"/>
                        </a:solidFill>
                      </a:defRPr>
                    </a:pPr>
                    <a:r>
                      <a:rPr lang="en-US"/>
                      <a:t>H01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F-DA20-49E3-8FA5-D6DB20D927F0}"/>
                </c:ext>
              </c:extLst>
            </c:dLbl>
            <c:dLbl>
              <c:idx val="96"/>
              <c:tx>
                <c:rich>
                  <a:bodyPr wrap="square" lIns="38100" tIns="19050" rIns="38100" bIns="19050" anchor="ctr">
                    <a:spAutoFit/>
                  </a:bodyPr>
                  <a:lstStyle/>
                  <a:p>
                    <a:pPr>
                      <a:defRPr sz="800" b="1">
                        <a:solidFill>
                          <a:srgbClr val="000000"/>
                        </a:solidFill>
                      </a:defRPr>
                    </a:pPr>
                    <a:r>
                      <a:rPr lang="en-US"/>
                      <a:t>H03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0-DA20-49E3-8FA5-D6DB20D927F0}"/>
                </c:ext>
              </c:extLst>
            </c:dLbl>
            <c:dLbl>
              <c:idx val="97"/>
              <c:tx>
                <c:rich>
                  <a:bodyPr wrap="square" lIns="38100" tIns="19050" rIns="38100" bIns="19050" anchor="ctr">
                    <a:spAutoFit/>
                  </a:bodyPr>
                  <a:lstStyle/>
                  <a:p>
                    <a:pPr>
                      <a:defRPr sz="800" b="1">
                        <a:solidFill>
                          <a:srgbClr val="000000"/>
                        </a:solidFill>
                      </a:defRPr>
                    </a:pPr>
                    <a:r>
                      <a:rPr lang="en-US"/>
                      <a:t>H05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1-DA20-49E3-8FA5-D6DB20D927F0}"/>
                </c:ext>
              </c:extLst>
            </c:dLbl>
            <c:dLbl>
              <c:idx val="98"/>
              <c:tx>
                <c:rich>
                  <a:bodyPr wrap="square" lIns="38100" tIns="19050" rIns="38100" bIns="19050" anchor="ctr">
                    <a:spAutoFit/>
                  </a:bodyPr>
                  <a:lstStyle/>
                  <a:p>
                    <a:pPr>
                      <a:defRPr sz="800" b="1">
                        <a:solidFill>
                          <a:srgbClr val="000000"/>
                        </a:solidFill>
                      </a:defRPr>
                    </a:pPr>
                    <a:r>
                      <a:rPr lang="en-US"/>
                      <a:t>H07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2-DA20-49E3-8FA5-D6DB20D927F0}"/>
                </c:ext>
              </c:extLst>
            </c:dLbl>
            <c:dLbl>
              <c:idx val="99"/>
              <c:tx>
                <c:rich>
                  <a:bodyPr wrap="square" lIns="38100" tIns="19050" rIns="38100" bIns="19050" anchor="ctr">
                    <a:spAutoFit/>
                  </a:bodyPr>
                  <a:lstStyle/>
                  <a:p>
                    <a:pPr>
                      <a:defRPr sz="800" b="1">
                        <a:solidFill>
                          <a:srgbClr val="000000"/>
                        </a:solidFill>
                      </a:defRPr>
                    </a:pPr>
                    <a:r>
                      <a:rPr lang="en-US"/>
                      <a:t>H09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3-DA20-49E3-8FA5-D6DB20D927F0}"/>
                </c:ext>
              </c:extLst>
            </c:dLbl>
            <c:dLbl>
              <c:idx val="100"/>
              <c:tx>
                <c:rich>
                  <a:bodyPr wrap="square" lIns="38100" tIns="19050" rIns="38100" bIns="19050" anchor="ctr">
                    <a:spAutoFit/>
                  </a:bodyPr>
                  <a:lstStyle/>
                  <a:p>
                    <a:pPr>
                      <a:defRPr sz="800" b="1">
                        <a:solidFill>
                          <a:srgbClr val="000000"/>
                        </a:solidFill>
                      </a:defRPr>
                    </a:pPr>
                    <a:r>
                      <a:rPr lang="en-US"/>
                      <a:t>H11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4-DA20-49E3-8FA5-D6DB20D927F0}"/>
                </c:ext>
              </c:extLst>
            </c:dLbl>
            <c:dLbl>
              <c:idx val="101"/>
              <c:tx>
                <c:rich>
                  <a:bodyPr wrap="square" lIns="38100" tIns="19050" rIns="38100" bIns="19050" anchor="ctr">
                    <a:spAutoFit/>
                  </a:bodyPr>
                  <a:lstStyle/>
                  <a:p>
                    <a:pPr>
                      <a:defRPr sz="800" b="1">
                        <a:solidFill>
                          <a:srgbClr val="000000"/>
                        </a:solidFill>
                      </a:defRPr>
                    </a:pPr>
                    <a:r>
                      <a:rPr lang="en-US"/>
                      <a:t>H13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5-DA20-49E3-8FA5-D6DB20D927F0}"/>
                </c:ext>
              </c:extLst>
            </c:dLbl>
            <c:dLbl>
              <c:idx val="102"/>
              <c:tx>
                <c:rich>
                  <a:bodyPr wrap="square" lIns="38100" tIns="19050" rIns="38100" bIns="19050" anchor="ctr">
                    <a:spAutoFit/>
                  </a:bodyPr>
                  <a:lstStyle/>
                  <a:p>
                    <a:pPr>
                      <a:defRPr sz="800" b="1">
                        <a:solidFill>
                          <a:srgbClr val="000000"/>
                        </a:solidFill>
                      </a:defRPr>
                    </a:pPr>
                    <a:r>
                      <a:rPr lang="en-US"/>
                      <a:t>H15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6-DA20-49E3-8FA5-D6DB20D927F0}"/>
                </c:ext>
              </c:extLst>
            </c:dLbl>
            <c:dLbl>
              <c:idx val="103"/>
              <c:tx>
                <c:rich>
                  <a:bodyPr wrap="square" lIns="38100" tIns="19050" rIns="38100" bIns="19050" anchor="ctr">
                    <a:spAutoFit/>
                  </a:bodyPr>
                  <a:lstStyle/>
                  <a:p>
                    <a:pPr>
                      <a:defRPr sz="800" b="1">
                        <a:solidFill>
                          <a:srgbClr val="000000"/>
                        </a:solidFill>
                      </a:defRPr>
                    </a:pPr>
                    <a:r>
                      <a:rPr lang="en-US"/>
                      <a:t>H17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7-DA20-49E3-8FA5-D6DB20D927F0}"/>
                </c:ext>
              </c:extLst>
            </c:dLbl>
            <c:dLbl>
              <c:idx val="104"/>
              <c:tx>
                <c:rich>
                  <a:bodyPr wrap="square" lIns="38100" tIns="19050" rIns="38100" bIns="19050" anchor="ctr">
                    <a:spAutoFit/>
                  </a:bodyPr>
                  <a:lstStyle/>
                  <a:p>
                    <a:pPr>
                      <a:defRPr sz="800" b="1">
                        <a:solidFill>
                          <a:srgbClr val="000000"/>
                        </a:solidFill>
                      </a:defRPr>
                    </a:pPr>
                    <a:r>
                      <a:rPr lang="en-US"/>
                      <a:t>H19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8-DA20-49E3-8FA5-D6DB20D927F0}"/>
                </c:ext>
              </c:extLst>
            </c:dLbl>
            <c:dLbl>
              <c:idx val="105"/>
              <c:tx>
                <c:rich>
                  <a:bodyPr wrap="square" lIns="38100" tIns="19050" rIns="38100" bIns="19050" anchor="ctr">
                    <a:spAutoFit/>
                  </a:bodyPr>
                  <a:lstStyle/>
                  <a:p>
                    <a:pPr>
                      <a:defRPr sz="800" b="1">
                        <a:solidFill>
                          <a:srgbClr val="000000"/>
                        </a:solidFill>
                      </a:defRPr>
                    </a:pPr>
                    <a:r>
                      <a:rPr lang="en-US"/>
                      <a:t>H21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9-DA20-49E3-8FA5-D6DB20D927F0}"/>
                </c:ext>
              </c:extLst>
            </c:dLbl>
            <c:dLbl>
              <c:idx val="106"/>
              <c:tx>
                <c:rich>
                  <a:bodyPr wrap="square" lIns="38100" tIns="19050" rIns="38100" bIns="19050" anchor="ctr">
                    <a:spAutoFit/>
                  </a:bodyPr>
                  <a:lstStyle/>
                  <a:p>
                    <a:pPr>
                      <a:defRPr sz="800" b="1">
                        <a:solidFill>
                          <a:srgbClr val="000000"/>
                        </a:solidFill>
                      </a:defRPr>
                    </a:pPr>
                    <a:r>
                      <a:rPr lang="en-US"/>
                      <a:t>H22</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A-DA20-49E3-8FA5-D6DB20D927F0}"/>
                </c:ext>
              </c:extLst>
            </c:dLbl>
            <c:dLbl>
              <c:idx val="107"/>
              <c:tx>
                <c:rich>
                  <a:bodyPr wrap="square" lIns="38100" tIns="19050" rIns="38100" bIns="19050" anchor="ctr">
                    <a:spAutoFit/>
                  </a:bodyPr>
                  <a:lstStyle/>
                  <a:p>
                    <a:pPr>
                      <a:defRPr sz="800" b="1">
                        <a:solidFill>
                          <a:srgbClr val="000000"/>
                        </a:solidFill>
                      </a:defRPr>
                    </a:pPr>
                    <a:r>
                      <a:rPr lang="en-US"/>
                      <a:t>J01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B-DA20-49E3-8FA5-D6DB20D927F0}"/>
                </c:ext>
              </c:extLst>
            </c:dLbl>
            <c:dLbl>
              <c:idx val="108"/>
              <c:tx>
                <c:rich>
                  <a:bodyPr wrap="square" lIns="38100" tIns="19050" rIns="38100" bIns="19050" anchor="ctr">
                    <a:spAutoFit/>
                  </a:bodyPr>
                  <a:lstStyle/>
                  <a:p>
                    <a:pPr>
                      <a:defRPr sz="800" b="1">
                        <a:solidFill>
                          <a:srgbClr val="000000"/>
                        </a:solidFill>
                      </a:defRPr>
                    </a:pPr>
                    <a:r>
                      <a:rPr lang="en-US"/>
                      <a:t>J03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C-DA20-49E3-8FA5-D6DB20D927F0}"/>
                </c:ext>
              </c:extLst>
            </c:dLbl>
            <c:dLbl>
              <c:idx val="109"/>
              <c:tx>
                <c:rich>
                  <a:bodyPr wrap="square" lIns="38100" tIns="19050" rIns="38100" bIns="19050" anchor="ctr">
                    <a:spAutoFit/>
                  </a:bodyPr>
                  <a:lstStyle/>
                  <a:p>
                    <a:pPr>
                      <a:defRPr sz="800" b="1">
                        <a:solidFill>
                          <a:srgbClr val="000000"/>
                        </a:solidFill>
                      </a:defRPr>
                    </a:pPr>
                    <a:r>
                      <a:rPr lang="en-US"/>
                      <a:t>J05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D-DA20-49E3-8FA5-D6DB20D927F0}"/>
                </c:ext>
              </c:extLst>
            </c:dLbl>
            <c:dLbl>
              <c:idx val="110"/>
              <c:tx>
                <c:rich>
                  <a:bodyPr wrap="square" lIns="38100" tIns="19050" rIns="38100" bIns="19050" anchor="ctr">
                    <a:spAutoFit/>
                  </a:bodyPr>
                  <a:lstStyle/>
                  <a:p>
                    <a:pPr>
                      <a:defRPr sz="800" b="1">
                        <a:solidFill>
                          <a:srgbClr val="000000"/>
                        </a:solidFill>
                      </a:defRPr>
                    </a:pPr>
                    <a:r>
                      <a:rPr lang="en-US"/>
                      <a:t>J07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E-DA20-49E3-8FA5-D6DB20D927F0}"/>
                </c:ext>
              </c:extLst>
            </c:dLbl>
            <c:dLbl>
              <c:idx val="111"/>
              <c:tx>
                <c:rich>
                  <a:bodyPr wrap="square" lIns="38100" tIns="19050" rIns="38100" bIns="19050" anchor="ctr">
                    <a:spAutoFit/>
                  </a:bodyPr>
                  <a:lstStyle/>
                  <a:p>
                    <a:pPr>
                      <a:defRPr sz="800" b="1">
                        <a:solidFill>
                          <a:srgbClr val="000000"/>
                        </a:solidFill>
                      </a:defRPr>
                    </a:pPr>
                    <a:r>
                      <a:rPr lang="en-US"/>
                      <a:t>J09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F-DA20-49E3-8FA5-D6DB20D927F0}"/>
                </c:ext>
              </c:extLst>
            </c:dLbl>
            <c:dLbl>
              <c:idx val="112"/>
              <c:tx>
                <c:rich>
                  <a:bodyPr wrap="square" lIns="38100" tIns="19050" rIns="38100" bIns="19050" anchor="ctr">
                    <a:spAutoFit/>
                  </a:bodyPr>
                  <a:lstStyle/>
                  <a:p>
                    <a:pPr>
                      <a:defRPr sz="800" b="1">
                        <a:solidFill>
                          <a:srgbClr val="000000"/>
                        </a:solidFill>
                      </a:defRPr>
                    </a:pPr>
                    <a:r>
                      <a:rPr lang="en-US"/>
                      <a:t>J11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0-DA20-49E3-8FA5-D6DB20D927F0}"/>
                </c:ext>
              </c:extLst>
            </c:dLbl>
            <c:dLbl>
              <c:idx val="113"/>
              <c:tx>
                <c:rich>
                  <a:bodyPr wrap="square" lIns="38100" tIns="19050" rIns="38100" bIns="19050" anchor="ctr">
                    <a:spAutoFit/>
                  </a:bodyPr>
                  <a:lstStyle/>
                  <a:p>
                    <a:pPr>
                      <a:defRPr sz="800" b="1">
                        <a:solidFill>
                          <a:srgbClr val="000000"/>
                        </a:solidFill>
                      </a:defRPr>
                    </a:pPr>
                    <a:r>
                      <a:rPr lang="en-US"/>
                      <a:t>J13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1-DA20-49E3-8FA5-D6DB20D927F0}"/>
                </c:ext>
              </c:extLst>
            </c:dLbl>
            <c:dLbl>
              <c:idx val="114"/>
              <c:tx>
                <c:rich>
                  <a:bodyPr wrap="square" lIns="38100" tIns="19050" rIns="38100" bIns="19050" anchor="ctr">
                    <a:spAutoFit/>
                  </a:bodyPr>
                  <a:lstStyle/>
                  <a:p>
                    <a:pPr>
                      <a:defRPr sz="800" b="1">
                        <a:solidFill>
                          <a:srgbClr val="000000"/>
                        </a:solidFill>
                      </a:defRPr>
                    </a:pPr>
                    <a:r>
                      <a:rPr lang="en-US"/>
                      <a:t>J15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2-DA20-49E3-8FA5-D6DB20D927F0}"/>
                </c:ext>
              </c:extLst>
            </c:dLbl>
            <c:dLbl>
              <c:idx val="115"/>
              <c:tx>
                <c:rich>
                  <a:bodyPr wrap="square" lIns="38100" tIns="19050" rIns="38100" bIns="19050" anchor="ctr">
                    <a:spAutoFit/>
                  </a:bodyPr>
                  <a:lstStyle/>
                  <a:p>
                    <a:pPr>
                      <a:defRPr sz="800" b="1">
                        <a:solidFill>
                          <a:srgbClr val="000000"/>
                        </a:solidFill>
                      </a:defRPr>
                    </a:pPr>
                    <a:r>
                      <a:rPr lang="en-US"/>
                      <a:t>J17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3-DA20-49E3-8FA5-D6DB20D927F0}"/>
                </c:ext>
              </c:extLst>
            </c:dLbl>
            <c:dLbl>
              <c:idx val="116"/>
              <c:tx>
                <c:rich>
                  <a:bodyPr wrap="square" lIns="38100" tIns="19050" rIns="38100" bIns="19050" anchor="ctr">
                    <a:spAutoFit/>
                  </a:bodyPr>
                  <a:lstStyle/>
                  <a:p>
                    <a:pPr>
                      <a:defRPr sz="800" b="1">
                        <a:solidFill>
                          <a:srgbClr val="000000"/>
                        </a:solidFill>
                      </a:defRPr>
                    </a:pPr>
                    <a:r>
                      <a:rPr lang="en-US"/>
                      <a:t>J19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4-DA20-49E3-8FA5-D6DB20D927F0}"/>
                </c:ext>
              </c:extLst>
            </c:dLbl>
            <c:dLbl>
              <c:idx val="117"/>
              <c:tx>
                <c:rich>
                  <a:bodyPr wrap="square" lIns="38100" tIns="19050" rIns="38100" bIns="19050" anchor="ctr">
                    <a:spAutoFit/>
                  </a:bodyPr>
                  <a:lstStyle/>
                  <a:p>
                    <a:pPr>
                      <a:defRPr sz="800" b="1">
                        <a:solidFill>
                          <a:srgbClr val="000000"/>
                        </a:solidFill>
                      </a:defRPr>
                    </a:pPr>
                    <a:r>
                      <a:rPr lang="en-US"/>
                      <a:t>J21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5-DA20-49E3-8FA5-D6DB20D927F0}"/>
                </c:ext>
              </c:extLst>
            </c:dLbl>
            <c:dLbl>
              <c:idx val="118"/>
              <c:tx>
                <c:rich>
                  <a:bodyPr wrap="square" lIns="38100" tIns="19050" rIns="38100" bIns="19050" anchor="ctr">
                    <a:spAutoFit/>
                  </a:bodyPr>
                  <a:lstStyle/>
                  <a:p>
                    <a:pPr>
                      <a:defRPr sz="800" b="1">
                        <a:solidFill>
                          <a:srgbClr val="000000"/>
                        </a:solidFill>
                      </a:defRPr>
                    </a:pPr>
                    <a:r>
                      <a:rPr lang="en-US"/>
                      <a:t>J22</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6-DA20-49E3-8FA5-D6DB20D927F0}"/>
                </c:ext>
              </c:extLst>
            </c:dLbl>
            <c:dLbl>
              <c:idx val="119"/>
              <c:tx>
                <c:rich>
                  <a:bodyPr wrap="square" lIns="38100" tIns="19050" rIns="38100" bIns="19050" anchor="ctr">
                    <a:spAutoFit/>
                  </a:bodyPr>
                  <a:lstStyle/>
                  <a:p>
                    <a:pPr>
                      <a:defRPr sz="800" b="1">
                        <a:solidFill>
                          <a:srgbClr val="000000"/>
                        </a:solidFill>
                      </a:defRPr>
                    </a:pPr>
                    <a:r>
                      <a:rPr lang="en-US"/>
                      <a:t>K01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7-DA20-49E3-8FA5-D6DB20D927F0}"/>
                </c:ext>
              </c:extLst>
            </c:dLbl>
            <c:dLbl>
              <c:idx val="120"/>
              <c:tx>
                <c:rich>
                  <a:bodyPr wrap="square" lIns="38100" tIns="19050" rIns="38100" bIns="19050" anchor="ctr">
                    <a:spAutoFit/>
                  </a:bodyPr>
                  <a:lstStyle/>
                  <a:p>
                    <a:pPr>
                      <a:defRPr sz="800" b="1">
                        <a:solidFill>
                          <a:srgbClr val="000000"/>
                        </a:solidFill>
                      </a:defRPr>
                    </a:pPr>
                    <a:r>
                      <a:rPr lang="en-US"/>
                      <a:t>K03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8-DA20-49E3-8FA5-D6DB20D927F0}"/>
                </c:ext>
              </c:extLst>
            </c:dLbl>
            <c:dLbl>
              <c:idx val="121"/>
              <c:tx>
                <c:rich>
                  <a:bodyPr wrap="square" lIns="38100" tIns="19050" rIns="38100" bIns="19050" anchor="ctr">
                    <a:spAutoFit/>
                  </a:bodyPr>
                  <a:lstStyle/>
                  <a:p>
                    <a:pPr>
                      <a:defRPr sz="800" b="1">
                        <a:solidFill>
                          <a:srgbClr val="000000"/>
                        </a:solidFill>
                      </a:defRPr>
                    </a:pPr>
                    <a:r>
                      <a:rPr lang="en-US"/>
                      <a:t>K05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9-DA20-49E3-8FA5-D6DB20D927F0}"/>
                </c:ext>
              </c:extLst>
            </c:dLbl>
            <c:dLbl>
              <c:idx val="122"/>
              <c:tx>
                <c:rich>
                  <a:bodyPr wrap="square" lIns="38100" tIns="19050" rIns="38100" bIns="19050" anchor="ctr">
                    <a:spAutoFit/>
                  </a:bodyPr>
                  <a:lstStyle/>
                  <a:p>
                    <a:pPr>
                      <a:defRPr sz="800" b="1">
                        <a:solidFill>
                          <a:srgbClr val="000000"/>
                        </a:solidFill>
                      </a:defRPr>
                    </a:pPr>
                    <a:r>
                      <a:rPr lang="en-US"/>
                      <a:t>K07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A-DA20-49E3-8FA5-D6DB20D927F0}"/>
                </c:ext>
              </c:extLst>
            </c:dLbl>
            <c:dLbl>
              <c:idx val="123"/>
              <c:tx>
                <c:rich>
                  <a:bodyPr wrap="square" lIns="38100" tIns="19050" rIns="38100" bIns="19050" anchor="ctr">
                    <a:spAutoFit/>
                  </a:bodyPr>
                  <a:lstStyle/>
                  <a:p>
                    <a:pPr>
                      <a:defRPr sz="800" b="1">
                        <a:solidFill>
                          <a:srgbClr val="000000"/>
                        </a:solidFill>
                      </a:defRPr>
                    </a:pPr>
                    <a:r>
                      <a:rPr lang="en-US"/>
                      <a:t>K09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B-DA20-49E3-8FA5-D6DB20D927F0}"/>
                </c:ext>
              </c:extLst>
            </c:dLbl>
            <c:dLbl>
              <c:idx val="124"/>
              <c:tx>
                <c:rich>
                  <a:bodyPr wrap="square" lIns="38100" tIns="19050" rIns="38100" bIns="19050" anchor="ctr">
                    <a:spAutoFit/>
                  </a:bodyPr>
                  <a:lstStyle/>
                  <a:p>
                    <a:pPr>
                      <a:defRPr sz="800" b="1">
                        <a:solidFill>
                          <a:srgbClr val="000000"/>
                        </a:solidFill>
                      </a:defRPr>
                    </a:pPr>
                    <a:r>
                      <a:rPr lang="en-US"/>
                      <a:t>K11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C-DA20-49E3-8FA5-D6DB20D927F0}"/>
                </c:ext>
              </c:extLst>
            </c:dLbl>
            <c:dLbl>
              <c:idx val="125"/>
              <c:tx>
                <c:rich>
                  <a:bodyPr wrap="square" lIns="38100" tIns="19050" rIns="38100" bIns="19050" anchor="ctr">
                    <a:spAutoFit/>
                  </a:bodyPr>
                  <a:lstStyle/>
                  <a:p>
                    <a:pPr>
                      <a:defRPr sz="800" b="1">
                        <a:solidFill>
                          <a:srgbClr val="000000"/>
                        </a:solidFill>
                      </a:defRPr>
                    </a:pPr>
                    <a:r>
                      <a:rPr lang="en-US"/>
                      <a:t>K13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D-DA20-49E3-8FA5-D6DB20D927F0}"/>
                </c:ext>
              </c:extLst>
            </c:dLbl>
            <c:dLbl>
              <c:idx val="126"/>
              <c:tx>
                <c:rich>
                  <a:bodyPr wrap="square" lIns="38100" tIns="19050" rIns="38100" bIns="19050" anchor="ctr">
                    <a:spAutoFit/>
                  </a:bodyPr>
                  <a:lstStyle/>
                  <a:p>
                    <a:pPr>
                      <a:defRPr sz="800" b="1">
                        <a:solidFill>
                          <a:srgbClr val="000000"/>
                        </a:solidFill>
                      </a:defRPr>
                    </a:pPr>
                    <a:r>
                      <a:rPr lang="en-US"/>
                      <a:t>K15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E-DA20-49E3-8FA5-D6DB20D927F0}"/>
                </c:ext>
              </c:extLst>
            </c:dLbl>
            <c:dLbl>
              <c:idx val="127"/>
              <c:tx>
                <c:rich>
                  <a:bodyPr wrap="square" lIns="38100" tIns="19050" rIns="38100" bIns="19050" anchor="ctr">
                    <a:spAutoFit/>
                  </a:bodyPr>
                  <a:lstStyle/>
                  <a:p>
                    <a:pPr>
                      <a:defRPr sz="800" b="1">
                        <a:solidFill>
                          <a:srgbClr val="000000"/>
                        </a:solidFill>
                      </a:defRPr>
                    </a:pPr>
                    <a:r>
                      <a:rPr lang="en-US"/>
                      <a:t>K17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F-DA20-49E3-8FA5-D6DB20D927F0}"/>
                </c:ext>
              </c:extLst>
            </c:dLbl>
            <c:dLbl>
              <c:idx val="128"/>
              <c:tx>
                <c:rich>
                  <a:bodyPr wrap="square" lIns="38100" tIns="19050" rIns="38100" bIns="19050" anchor="ctr">
                    <a:spAutoFit/>
                  </a:bodyPr>
                  <a:lstStyle/>
                  <a:p>
                    <a:pPr>
                      <a:defRPr sz="800" b="1">
                        <a:solidFill>
                          <a:srgbClr val="000000"/>
                        </a:solidFill>
                      </a:defRPr>
                    </a:pPr>
                    <a:r>
                      <a:rPr lang="en-US"/>
                      <a:t>K19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0-DA20-49E3-8FA5-D6DB20D927F0}"/>
                </c:ext>
              </c:extLst>
            </c:dLbl>
            <c:dLbl>
              <c:idx val="129"/>
              <c:tx>
                <c:rich>
                  <a:bodyPr wrap="square" lIns="38100" tIns="19050" rIns="38100" bIns="19050" anchor="ctr">
                    <a:spAutoFit/>
                  </a:bodyPr>
                  <a:lstStyle/>
                  <a:p>
                    <a:pPr>
                      <a:defRPr sz="800" b="1">
                        <a:solidFill>
                          <a:srgbClr val="000000"/>
                        </a:solidFill>
                      </a:defRPr>
                    </a:pPr>
                    <a:r>
                      <a:rPr lang="en-US"/>
                      <a:t>K21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1-DA20-49E3-8FA5-D6DB20D927F0}"/>
                </c:ext>
              </c:extLst>
            </c:dLbl>
            <c:dLbl>
              <c:idx val="130"/>
              <c:tx>
                <c:rich>
                  <a:bodyPr wrap="square" lIns="38100" tIns="19050" rIns="38100" bIns="19050" anchor="ctr">
                    <a:spAutoFit/>
                  </a:bodyPr>
                  <a:lstStyle/>
                  <a:p>
                    <a:pPr>
                      <a:defRPr sz="800" b="1">
                        <a:solidFill>
                          <a:srgbClr val="000000"/>
                        </a:solidFill>
                      </a:defRPr>
                    </a:pPr>
                    <a:r>
                      <a:rPr lang="en-US"/>
                      <a:t>L01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2-DA20-49E3-8FA5-D6DB20D927F0}"/>
                </c:ext>
              </c:extLst>
            </c:dLbl>
            <c:dLbl>
              <c:idx val="131"/>
              <c:tx>
                <c:rich>
                  <a:bodyPr wrap="square" lIns="38100" tIns="19050" rIns="38100" bIns="19050" anchor="ctr">
                    <a:spAutoFit/>
                  </a:bodyPr>
                  <a:lstStyle/>
                  <a:p>
                    <a:pPr>
                      <a:defRPr sz="800" b="1">
                        <a:solidFill>
                          <a:srgbClr val="000000"/>
                        </a:solidFill>
                      </a:defRPr>
                    </a:pPr>
                    <a:r>
                      <a:rPr lang="en-US"/>
                      <a:t>L03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3-DA20-49E3-8FA5-D6DB20D927F0}"/>
                </c:ext>
              </c:extLst>
            </c:dLbl>
            <c:dLbl>
              <c:idx val="132"/>
              <c:tx>
                <c:rich>
                  <a:bodyPr wrap="square" lIns="38100" tIns="19050" rIns="38100" bIns="19050" anchor="ctr">
                    <a:spAutoFit/>
                  </a:bodyPr>
                  <a:lstStyle/>
                  <a:p>
                    <a:pPr>
                      <a:defRPr sz="800" b="1">
                        <a:solidFill>
                          <a:srgbClr val="000000"/>
                        </a:solidFill>
                      </a:defRPr>
                    </a:pPr>
                    <a:r>
                      <a:rPr lang="en-US"/>
                      <a:t>L05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4-DA20-49E3-8FA5-D6DB20D927F0}"/>
                </c:ext>
              </c:extLst>
            </c:dLbl>
            <c:dLbl>
              <c:idx val="133"/>
              <c:tx>
                <c:rich>
                  <a:bodyPr wrap="square" lIns="38100" tIns="19050" rIns="38100" bIns="19050" anchor="ctr">
                    <a:spAutoFit/>
                  </a:bodyPr>
                  <a:lstStyle/>
                  <a:p>
                    <a:pPr>
                      <a:defRPr sz="800" b="1">
                        <a:solidFill>
                          <a:srgbClr val="000000"/>
                        </a:solidFill>
                      </a:defRPr>
                    </a:pPr>
                    <a:r>
                      <a:rPr lang="en-US"/>
                      <a:t>L07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5-DA20-49E3-8FA5-D6DB20D927F0}"/>
                </c:ext>
              </c:extLst>
            </c:dLbl>
            <c:dLbl>
              <c:idx val="134"/>
              <c:tx>
                <c:rich>
                  <a:bodyPr wrap="square" lIns="38100" tIns="19050" rIns="38100" bIns="19050" anchor="ctr">
                    <a:spAutoFit/>
                  </a:bodyPr>
                  <a:lstStyle/>
                  <a:p>
                    <a:pPr>
                      <a:defRPr sz="800" b="1">
                        <a:solidFill>
                          <a:srgbClr val="000000"/>
                        </a:solidFill>
                      </a:defRPr>
                    </a:pPr>
                    <a:r>
                      <a:rPr lang="en-US"/>
                      <a:t>L09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6-DA20-49E3-8FA5-D6DB20D927F0}"/>
                </c:ext>
              </c:extLst>
            </c:dLbl>
            <c:dLbl>
              <c:idx val="135"/>
              <c:tx>
                <c:rich>
                  <a:bodyPr wrap="square" lIns="38100" tIns="19050" rIns="38100" bIns="19050" anchor="ctr">
                    <a:spAutoFit/>
                  </a:bodyPr>
                  <a:lstStyle/>
                  <a:p>
                    <a:pPr>
                      <a:defRPr sz="800" b="1">
                        <a:solidFill>
                          <a:srgbClr val="000000"/>
                        </a:solidFill>
                      </a:defRPr>
                    </a:pPr>
                    <a:r>
                      <a:rPr lang="en-US"/>
                      <a:t>L11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7-DA20-49E3-8FA5-D6DB20D927F0}"/>
                </c:ext>
              </c:extLst>
            </c:dLbl>
            <c:dLbl>
              <c:idx val="136"/>
              <c:tx>
                <c:rich>
                  <a:bodyPr wrap="square" lIns="38100" tIns="19050" rIns="38100" bIns="19050" anchor="ctr">
                    <a:spAutoFit/>
                  </a:bodyPr>
                  <a:lstStyle/>
                  <a:p>
                    <a:pPr>
                      <a:defRPr sz="800" b="1">
                        <a:solidFill>
                          <a:srgbClr val="000000"/>
                        </a:solidFill>
                      </a:defRPr>
                    </a:pPr>
                    <a:r>
                      <a:rPr lang="en-US"/>
                      <a:t>L13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8-DA20-49E3-8FA5-D6DB20D927F0}"/>
                </c:ext>
              </c:extLst>
            </c:dLbl>
            <c:dLbl>
              <c:idx val="137"/>
              <c:tx>
                <c:rich>
                  <a:bodyPr wrap="square" lIns="38100" tIns="19050" rIns="38100" bIns="19050" anchor="ctr">
                    <a:spAutoFit/>
                  </a:bodyPr>
                  <a:lstStyle/>
                  <a:p>
                    <a:pPr>
                      <a:defRPr sz="800" b="1">
                        <a:solidFill>
                          <a:srgbClr val="000000"/>
                        </a:solidFill>
                      </a:defRPr>
                    </a:pPr>
                    <a:r>
                      <a:rPr lang="en-US"/>
                      <a:t>L15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9-DA20-49E3-8FA5-D6DB20D927F0}"/>
                </c:ext>
              </c:extLst>
            </c:dLbl>
            <c:dLbl>
              <c:idx val="138"/>
              <c:tx>
                <c:rich>
                  <a:bodyPr wrap="square" lIns="38100" tIns="19050" rIns="38100" bIns="19050" anchor="ctr">
                    <a:spAutoFit/>
                  </a:bodyPr>
                  <a:lstStyle/>
                  <a:p>
                    <a:pPr>
                      <a:defRPr sz="800" b="1">
                        <a:solidFill>
                          <a:srgbClr val="000000"/>
                        </a:solidFill>
                      </a:defRPr>
                    </a:pPr>
                    <a:r>
                      <a:rPr lang="en-US"/>
                      <a:t>L17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A-DA20-49E3-8FA5-D6DB20D927F0}"/>
                </c:ext>
              </c:extLst>
            </c:dLbl>
            <c:dLbl>
              <c:idx val="139"/>
              <c:tx>
                <c:rich>
                  <a:bodyPr wrap="square" lIns="38100" tIns="19050" rIns="38100" bIns="19050" anchor="ctr">
                    <a:spAutoFit/>
                  </a:bodyPr>
                  <a:lstStyle/>
                  <a:p>
                    <a:pPr>
                      <a:defRPr sz="800" b="1">
                        <a:solidFill>
                          <a:srgbClr val="000000"/>
                        </a:solidFill>
                      </a:defRPr>
                    </a:pPr>
                    <a:r>
                      <a:rPr lang="en-US"/>
                      <a:t>L19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B-DA20-49E3-8FA5-D6DB20D927F0}"/>
                </c:ext>
              </c:extLst>
            </c:dLbl>
            <c:dLbl>
              <c:idx val="140"/>
              <c:tx>
                <c:rich>
                  <a:bodyPr wrap="square" lIns="38100" tIns="19050" rIns="38100" bIns="19050" anchor="ctr">
                    <a:spAutoFit/>
                  </a:bodyPr>
                  <a:lstStyle/>
                  <a:p>
                    <a:pPr>
                      <a:defRPr sz="800" b="1">
                        <a:solidFill>
                          <a:srgbClr val="000000"/>
                        </a:solidFill>
                      </a:defRPr>
                    </a:pPr>
                    <a:r>
                      <a:rPr lang="en-US"/>
                      <a:t>L21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C-DA20-49E3-8FA5-D6DB20D927F0}"/>
                </c:ext>
              </c:extLst>
            </c:dLbl>
            <c:dLbl>
              <c:idx val="141"/>
              <c:tx>
                <c:rich>
                  <a:bodyPr wrap="square" lIns="38100" tIns="19050" rIns="38100" bIns="19050" anchor="ctr">
                    <a:spAutoFit/>
                  </a:bodyPr>
                  <a:lstStyle/>
                  <a:p>
                    <a:pPr>
                      <a:defRPr sz="800" b="1">
                        <a:solidFill>
                          <a:srgbClr val="000000"/>
                        </a:solidFill>
                      </a:defRPr>
                    </a:pPr>
                    <a:r>
                      <a:rPr lang="en-US"/>
                      <a:t>M01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D-DA20-49E3-8FA5-D6DB20D927F0}"/>
                </c:ext>
              </c:extLst>
            </c:dLbl>
            <c:dLbl>
              <c:idx val="142"/>
              <c:tx>
                <c:rich>
                  <a:bodyPr wrap="square" lIns="38100" tIns="19050" rIns="38100" bIns="19050" anchor="ctr">
                    <a:spAutoFit/>
                  </a:bodyPr>
                  <a:lstStyle/>
                  <a:p>
                    <a:pPr>
                      <a:defRPr sz="800" b="1">
                        <a:solidFill>
                          <a:srgbClr val="000000"/>
                        </a:solidFill>
                      </a:defRPr>
                    </a:pPr>
                    <a:r>
                      <a:rPr lang="en-US"/>
                      <a:t>M03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E-DA20-49E3-8FA5-D6DB20D927F0}"/>
                </c:ext>
              </c:extLst>
            </c:dLbl>
            <c:dLbl>
              <c:idx val="143"/>
              <c:tx>
                <c:rich>
                  <a:bodyPr wrap="square" lIns="38100" tIns="19050" rIns="38100" bIns="19050" anchor="ctr">
                    <a:spAutoFit/>
                  </a:bodyPr>
                  <a:lstStyle/>
                  <a:p>
                    <a:pPr>
                      <a:defRPr sz="800" b="1">
                        <a:solidFill>
                          <a:srgbClr val="000000"/>
                        </a:solidFill>
                      </a:defRPr>
                    </a:pPr>
                    <a:r>
                      <a:rPr lang="en-US"/>
                      <a:t>M05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F-DA20-49E3-8FA5-D6DB20D927F0}"/>
                </c:ext>
              </c:extLst>
            </c:dLbl>
            <c:dLbl>
              <c:idx val="144"/>
              <c:tx>
                <c:rich>
                  <a:bodyPr wrap="square" lIns="38100" tIns="19050" rIns="38100" bIns="19050" anchor="ctr">
                    <a:spAutoFit/>
                  </a:bodyPr>
                  <a:lstStyle/>
                  <a:p>
                    <a:pPr>
                      <a:defRPr sz="800" b="1">
                        <a:solidFill>
                          <a:srgbClr val="000000"/>
                        </a:solidFill>
                      </a:defRPr>
                    </a:pPr>
                    <a:r>
                      <a:rPr lang="en-US"/>
                      <a:t>M07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0-DA20-49E3-8FA5-D6DB20D927F0}"/>
                </c:ext>
              </c:extLst>
            </c:dLbl>
            <c:dLbl>
              <c:idx val="145"/>
              <c:tx>
                <c:rich>
                  <a:bodyPr wrap="square" lIns="38100" tIns="19050" rIns="38100" bIns="19050" anchor="ctr">
                    <a:spAutoFit/>
                  </a:bodyPr>
                  <a:lstStyle/>
                  <a:p>
                    <a:pPr>
                      <a:defRPr sz="800" b="1">
                        <a:solidFill>
                          <a:srgbClr val="000000"/>
                        </a:solidFill>
                      </a:defRPr>
                    </a:pPr>
                    <a:r>
                      <a:rPr lang="en-US"/>
                      <a:t>M09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1-DA20-49E3-8FA5-D6DB20D927F0}"/>
                </c:ext>
              </c:extLst>
            </c:dLbl>
            <c:dLbl>
              <c:idx val="146"/>
              <c:tx>
                <c:rich>
                  <a:bodyPr wrap="square" lIns="38100" tIns="19050" rIns="38100" bIns="19050" anchor="ctr">
                    <a:spAutoFit/>
                  </a:bodyPr>
                  <a:lstStyle/>
                  <a:p>
                    <a:pPr>
                      <a:defRPr sz="800" b="1">
                        <a:solidFill>
                          <a:srgbClr val="000000"/>
                        </a:solidFill>
                      </a:defRPr>
                    </a:pPr>
                    <a:r>
                      <a:rPr lang="en-US"/>
                      <a:t>M11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2-DA20-49E3-8FA5-D6DB20D927F0}"/>
                </c:ext>
              </c:extLst>
            </c:dLbl>
            <c:dLbl>
              <c:idx val="147"/>
              <c:tx>
                <c:rich>
                  <a:bodyPr wrap="square" lIns="38100" tIns="19050" rIns="38100" bIns="19050" anchor="ctr">
                    <a:spAutoFit/>
                  </a:bodyPr>
                  <a:lstStyle/>
                  <a:p>
                    <a:pPr>
                      <a:defRPr sz="800" b="1">
                        <a:solidFill>
                          <a:srgbClr val="000000"/>
                        </a:solidFill>
                      </a:defRPr>
                    </a:pPr>
                    <a:r>
                      <a:rPr lang="en-US"/>
                      <a:t>M13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3-DA20-49E3-8FA5-D6DB20D927F0}"/>
                </c:ext>
              </c:extLst>
            </c:dLbl>
            <c:dLbl>
              <c:idx val="148"/>
              <c:tx>
                <c:rich>
                  <a:bodyPr wrap="square" lIns="38100" tIns="19050" rIns="38100" bIns="19050" anchor="ctr">
                    <a:spAutoFit/>
                  </a:bodyPr>
                  <a:lstStyle/>
                  <a:p>
                    <a:pPr>
                      <a:defRPr sz="800" b="1">
                        <a:solidFill>
                          <a:srgbClr val="000000"/>
                        </a:solidFill>
                      </a:defRPr>
                    </a:pPr>
                    <a:r>
                      <a:rPr lang="en-US"/>
                      <a:t>M15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4-DA20-49E3-8FA5-D6DB20D927F0}"/>
                </c:ext>
              </c:extLst>
            </c:dLbl>
            <c:dLbl>
              <c:idx val="149"/>
              <c:tx>
                <c:rich>
                  <a:bodyPr wrap="square" lIns="38100" tIns="19050" rIns="38100" bIns="19050" anchor="ctr">
                    <a:spAutoFit/>
                  </a:bodyPr>
                  <a:lstStyle/>
                  <a:p>
                    <a:pPr>
                      <a:defRPr sz="800" b="1">
                        <a:solidFill>
                          <a:srgbClr val="000000"/>
                        </a:solidFill>
                      </a:defRPr>
                    </a:pPr>
                    <a:r>
                      <a:rPr lang="en-US"/>
                      <a:t>M17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5-DA20-49E3-8FA5-D6DB20D927F0}"/>
                </c:ext>
              </c:extLst>
            </c:dLbl>
            <c:dLbl>
              <c:idx val="150"/>
              <c:tx>
                <c:rich>
                  <a:bodyPr wrap="square" lIns="38100" tIns="19050" rIns="38100" bIns="19050" anchor="ctr">
                    <a:spAutoFit/>
                  </a:bodyPr>
                  <a:lstStyle/>
                  <a:p>
                    <a:pPr>
                      <a:defRPr sz="800" b="1">
                        <a:solidFill>
                          <a:srgbClr val="000000"/>
                        </a:solidFill>
                      </a:defRPr>
                    </a:pPr>
                    <a:r>
                      <a:rPr lang="en-US"/>
                      <a:t>M19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6-DA20-49E3-8FA5-D6DB20D927F0}"/>
                </c:ext>
              </c:extLst>
            </c:dLbl>
            <c:dLbl>
              <c:idx val="151"/>
              <c:tx>
                <c:rich>
                  <a:bodyPr wrap="square" lIns="38100" tIns="19050" rIns="38100" bIns="19050" anchor="ctr">
                    <a:spAutoFit/>
                  </a:bodyPr>
                  <a:lstStyle/>
                  <a:p>
                    <a:pPr>
                      <a:defRPr sz="800" b="1">
                        <a:solidFill>
                          <a:srgbClr val="000000"/>
                        </a:solidFill>
                      </a:defRPr>
                    </a:pPr>
                    <a:r>
                      <a:rPr lang="en-US"/>
                      <a:t>N01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7-DA20-49E3-8FA5-D6DB20D927F0}"/>
                </c:ext>
              </c:extLst>
            </c:dLbl>
            <c:dLbl>
              <c:idx val="152"/>
              <c:tx>
                <c:rich>
                  <a:bodyPr wrap="square" lIns="38100" tIns="19050" rIns="38100" bIns="19050" anchor="ctr">
                    <a:spAutoFit/>
                  </a:bodyPr>
                  <a:lstStyle/>
                  <a:p>
                    <a:pPr>
                      <a:defRPr sz="800" b="1">
                        <a:solidFill>
                          <a:srgbClr val="000000"/>
                        </a:solidFill>
                      </a:defRPr>
                    </a:pPr>
                    <a:r>
                      <a:rPr lang="en-US"/>
                      <a:t>N03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8-DA20-49E3-8FA5-D6DB20D927F0}"/>
                </c:ext>
              </c:extLst>
            </c:dLbl>
            <c:dLbl>
              <c:idx val="153"/>
              <c:tx>
                <c:rich>
                  <a:bodyPr wrap="square" lIns="38100" tIns="19050" rIns="38100" bIns="19050" anchor="ctr">
                    <a:spAutoFit/>
                  </a:bodyPr>
                  <a:lstStyle/>
                  <a:p>
                    <a:pPr>
                      <a:defRPr sz="800" b="1">
                        <a:solidFill>
                          <a:srgbClr val="000000"/>
                        </a:solidFill>
                      </a:defRPr>
                    </a:pPr>
                    <a:r>
                      <a:rPr lang="en-US"/>
                      <a:t>N05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9-DA20-49E3-8FA5-D6DB20D927F0}"/>
                </c:ext>
              </c:extLst>
            </c:dLbl>
            <c:dLbl>
              <c:idx val="154"/>
              <c:tx>
                <c:rich>
                  <a:bodyPr wrap="square" lIns="38100" tIns="19050" rIns="38100" bIns="19050" anchor="ctr">
                    <a:spAutoFit/>
                  </a:bodyPr>
                  <a:lstStyle/>
                  <a:p>
                    <a:pPr>
                      <a:defRPr sz="800" b="1">
                        <a:solidFill>
                          <a:srgbClr val="000000"/>
                        </a:solidFill>
                      </a:defRPr>
                    </a:pPr>
                    <a:r>
                      <a:rPr lang="en-US"/>
                      <a:t>N07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A-DA20-49E3-8FA5-D6DB20D927F0}"/>
                </c:ext>
              </c:extLst>
            </c:dLbl>
            <c:dLbl>
              <c:idx val="155"/>
              <c:tx>
                <c:rich>
                  <a:bodyPr wrap="square" lIns="38100" tIns="19050" rIns="38100" bIns="19050" anchor="ctr">
                    <a:spAutoFit/>
                  </a:bodyPr>
                  <a:lstStyle/>
                  <a:p>
                    <a:pPr>
                      <a:defRPr sz="800" b="1">
                        <a:solidFill>
                          <a:srgbClr val="000000"/>
                        </a:solidFill>
                      </a:defRPr>
                    </a:pPr>
                    <a:r>
                      <a:rPr lang="en-US"/>
                      <a:t>N09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B-DA20-49E3-8FA5-D6DB20D927F0}"/>
                </c:ext>
              </c:extLst>
            </c:dLbl>
            <c:dLbl>
              <c:idx val="156"/>
              <c:tx>
                <c:rich>
                  <a:bodyPr wrap="square" lIns="38100" tIns="19050" rIns="38100" bIns="19050" anchor="ctr">
                    <a:spAutoFit/>
                  </a:bodyPr>
                  <a:lstStyle/>
                  <a:p>
                    <a:pPr>
                      <a:defRPr sz="800" b="1">
                        <a:solidFill>
                          <a:srgbClr val="000000"/>
                        </a:solidFill>
                      </a:defRPr>
                    </a:pPr>
                    <a:r>
                      <a:rPr lang="en-US"/>
                      <a:t>N11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C-DA20-49E3-8FA5-D6DB20D927F0}"/>
                </c:ext>
              </c:extLst>
            </c:dLbl>
            <c:dLbl>
              <c:idx val="157"/>
              <c:tx>
                <c:rich>
                  <a:bodyPr wrap="square" lIns="38100" tIns="19050" rIns="38100" bIns="19050" anchor="ctr">
                    <a:spAutoFit/>
                  </a:bodyPr>
                  <a:lstStyle/>
                  <a:p>
                    <a:pPr>
                      <a:defRPr sz="800" b="1">
                        <a:solidFill>
                          <a:srgbClr val="000000"/>
                        </a:solidFill>
                      </a:defRPr>
                    </a:pPr>
                    <a:r>
                      <a:rPr lang="en-US"/>
                      <a:t>N13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D-DA20-49E3-8FA5-D6DB20D927F0}"/>
                </c:ext>
              </c:extLst>
            </c:dLbl>
            <c:dLbl>
              <c:idx val="158"/>
              <c:tx>
                <c:rich>
                  <a:bodyPr wrap="square" lIns="38100" tIns="19050" rIns="38100" bIns="19050" anchor="ctr">
                    <a:spAutoFit/>
                  </a:bodyPr>
                  <a:lstStyle/>
                  <a:p>
                    <a:pPr>
                      <a:defRPr sz="800" b="1">
                        <a:solidFill>
                          <a:srgbClr val="000000"/>
                        </a:solidFill>
                      </a:defRPr>
                    </a:pPr>
                    <a:r>
                      <a:rPr lang="en-US"/>
                      <a:t>N15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E-DA20-49E3-8FA5-D6DB20D927F0}"/>
                </c:ext>
              </c:extLst>
            </c:dLbl>
            <c:dLbl>
              <c:idx val="159"/>
              <c:tx>
                <c:rich>
                  <a:bodyPr wrap="square" lIns="38100" tIns="19050" rIns="38100" bIns="19050" anchor="ctr">
                    <a:spAutoFit/>
                  </a:bodyPr>
                  <a:lstStyle/>
                  <a:p>
                    <a:pPr>
                      <a:defRPr sz="800" b="1">
                        <a:solidFill>
                          <a:srgbClr val="000000"/>
                        </a:solidFill>
                      </a:defRPr>
                    </a:pPr>
                    <a:r>
                      <a:rPr lang="en-US"/>
                      <a:t>N17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F-DA20-49E3-8FA5-D6DB20D927F0}"/>
                </c:ext>
              </c:extLst>
            </c:dLbl>
            <c:dLbl>
              <c:idx val="160"/>
              <c:tx>
                <c:rich>
                  <a:bodyPr wrap="square" lIns="38100" tIns="19050" rIns="38100" bIns="19050" anchor="ctr">
                    <a:spAutoFit/>
                  </a:bodyPr>
                  <a:lstStyle/>
                  <a:p>
                    <a:pPr>
                      <a:defRPr sz="800" b="1">
                        <a:solidFill>
                          <a:srgbClr val="000000"/>
                        </a:solidFill>
                      </a:defRPr>
                    </a:pPr>
                    <a:r>
                      <a:rPr lang="en-US"/>
                      <a:t>N19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0-DA20-49E3-8FA5-D6DB20D927F0}"/>
                </c:ext>
              </c:extLst>
            </c:dLbl>
            <c:dLbl>
              <c:idx val="161"/>
              <c:tx>
                <c:rich>
                  <a:bodyPr wrap="square" lIns="38100" tIns="19050" rIns="38100" bIns="19050" anchor="ctr">
                    <a:spAutoFit/>
                  </a:bodyPr>
                  <a:lstStyle/>
                  <a:p>
                    <a:pPr>
                      <a:defRPr sz="800" b="1">
                        <a:solidFill>
                          <a:srgbClr val="000000"/>
                        </a:solidFill>
                      </a:defRPr>
                    </a:pPr>
                    <a:r>
                      <a:rPr lang="en-US"/>
                      <a:t>P01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1-DA20-49E3-8FA5-D6DB20D927F0}"/>
                </c:ext>
              </c:extLst>
            </c:dLbl>
            <c:dLbl>
              <c:idx val="162"/>
              <c:tx>
                <c:rich>
                  <a:bodyPr wrap="square" lIns="38100" tIns="19050" rIns="38100" bIns="19050" anchor="ctr">
                    <a:spAutoFit/>
                  </a:bodyPr>
                  <a:lstStyle/>
                  <a:p>
                    <a:pPr>
                      <a:defRPr sz="800" b="1">
                        <a:solidFill>
                          <a:srgbClr val="000000"/>
                        </a:solidFill>
                      </a:defRPr>
                    </a:pPr>
                    <a:r>
                      <a:rPr lang="en-US"/>
                      <a:t>P03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2-DA20-49E3-8FA5-D6DB20D927F0}"/>
                </c:ext>
              </c:extLst>
            </c:dLbl>
            <c:dLbl>
              <c:idx val="163"/>
              <c:tx>
                <c:rich>
                  <a:bodyPr wrap="square" lIns="38100" tIns="19050" rIns="38100" bIns="19050" anchor="ctr">
                    <a:spAutoFit/>
                  </a:bodyPr>
                  <a:lstStyle/>
                  <a:p>
                    <a:pPr>
                      <a:defRPr sz="800" b="1">
                        <a:solidFill>
                          <a:srgbClr val="000000"/>
                        </a:solidFill>
                      </a:defRPr>
                    </a:pPr>
                    <a:r>
                      <a:rPr lang="en-US"/>
                      <a:t>P04</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3-DA20-49E3-8FA5-D6DB20D927F0}"/>
                </c:ext>
              </c:extLst>
            </c:dLbl>
            <c:dLbl>
              <c:idx val="164"/>
              <c:tx>
                <c:rich>
                  <a:bodyPr wrap="square" lIns="38100" tIns="19050" rIns="38100" bIns="19050" anchor="ctr">
                    <a:spAutoFit/>
                  </a:bodyPr>
                  <a:lstStyle/>
                  <a:p>
                    <a:pPr>
                      <a:defRPr sz="800" b="1">
                        <a:solidFill>
                          <a:srgbClr val="000000"/>
                        </a:solidFill>
                      </a:defRPr>
                    </a:pPr>
                    <a:r>
                      <a:rPr lang="en-US"/>
                      <a:t>P05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4-DA20-49E3-8FA5-D6DB20D927F0}"/>
                </c:ext>
              </c:extLst>
            </c:dLbl>
            <c:dLbl>
              <c:idx val="165"/>
              <c:tx>
                <c:rich>
                  <a:bodyPr wrap="square" lIns="38100" tIns="19050" rIns="38100" bIns="19050" anchor="ctr">
                    <a:spAutoFit/>
                  </a:bodyPr>
                  <a:lstStyle/>
                  <a:p>
                    <a:pPr>
                      <a:defRPr sz="800" b="1">
                        <a:solidFill>
                          <a:srgbClr val="000000"/>
                        </a:solidFill>
                      </a:defRPr>
                    </a:pPr>
                    <a:r>
                      <a:rPr lang="en-US"/>
                      <a:t>P07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5-DA20-49E3-8FA5-D6DB20D927F0}"/>
                </c:ext>
              </c:extLst>
            </c:dLbl>
            <c:dLbl>
              <c:idx val="166"/>
              <c:tx>
                <c:rich>
                  <a:bodyPr wrap="square" lIns="38100" tIns="19050" rIns="38100" bIns="19050" anchor="ctr">
                    <a:spAutoFit/>
                  </a:bodyPr>
                  <a:lstStyle/>
                  <a:p>
                    <a:pPr>
                      <a:defRPr sz="800" b="1">
                        <a:solidFill>
                          <a:srgbClr val="000000"/>
                        </a:solidFill>
                      </a:defRPr>
                    </a:pPr>
                    <a:r>
                      <a:rPr lang="en-US"/>
                      <a:t>P09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6-DA20-49E3-8FA5-D6DB20D927F0}"/>
                </c:ext>
              </c:extLst>
            </c:dLbl>
            <c:dLbl>
              <c:idx val="167"/>
              <c:tx>
                <c:rich>
                  <a:bodyPr wrap="square" lIns="38100" tIns="19050" rIns="38100" bIns="19050" anchor="ctr">
                    <a:spAutoFit/>
                  </a:bodyPr>
                  <a:lstStyle/>
                  <a:p>
                    <a:pPr>
                      <a:defRPr sz="800" b="1">
                        <a:solidFill>
                          <a:srgbClr val="000000"/>
                        </a:solidFill>
                      </a:defRPr>
                    </a:pPr>
                    <a:r>
                      <a:rPr lang="en-US"/>
                      <a:t>P11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7-DA20-49E3-8FA5-D6DB20D927F0}"/>
                </c:ext>
              </c:extLst>
            </c:dLbl>
            <c:dLbl>
              <c:idx val="168"/>
              <c:tx>
                <c:rich>
                  <a:bodyPr wrap="square" lIns="38100" tIns="19050" rIns="38100" bIns="19050" anchor="ctr">
                    <a:spAutoFit/>
                  </a:bodyPr>
                  <a:lstStyle/>
                  <a:p>
                    <a:pPr>
                      <a:defRPr sz="800" b="1">
                        <a:solidFill>
                          <a:srgbClr val="000000"/>
                        </a:solidFill>
                      </a:defRPr>
                    </a:pPr>
                    <a:r>
                      <a:rPr lang="en-US"/>
                      <a:t>P13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8-DA20-49E3-8FA5-D6DB20D927F0}"/>
                </c:ext>
              </c:extLst>
            </c:dLbl>
            <c:dLbl>
              <c:idx val="169"/>
              <c:tx>
                <c:rich>
                  <a:bodyPr wrap="square" lIns="38100" tIns="19050" rIns="38100" bIns="19050" anchor="ctr">
                    <a:spAutoFit/>
                  </a:bodyPr>
                  <a:lstStyle/>
                  <a:p>
                    <a:pPr>
                      <a:defRPr sz="800" b="1">
                        <a:solidFill>
                          <a:srgbClr val="000000"/>
                        </a:solidFill>
                      </a:defRPr>
                    </a:pPr>
                    <a:r>
                      <a:rPr lang="en-US"/>
                      <a:t>P15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9-DA20-49E3-8FA5-D6DB20D927F0}"/>
                </c:ext>
              </c:extLst>
            </c:dLbl>
            <c:dLbl>
              <c:idx val="170"/>
              <c:tx>
                <c:rich>
                  <a:bodyPr wrap="square" lIns="38100" tIns="19050" rIns="38100" bIns="19050" anchor="ctr">
                    <a:spAutoFit/>
                  </a:bodyPr>
                  <a:lstStyle/>
                  <a:p>
                    <a:pPr>
                      <a:defRPr sz="800" b="1">
                        <a:solidFill>
                          <a:srgbClr val="000000"/>
                        </a:solidFill>
                      </a:defRPr>
                    </a:pPr>
                    <a:r>
                      <a:rPr lang="en-US"/>
                      <a:t>P17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A-DA20-49E3-8FA5-D6DB20D927F0}"/>
                </c:ext>
              </c:extLst>
            </c:dLbl>
            <c:dLbl>
              <c:idx val="171"/>
              <c:tx>
                <c:rich>
                  <a:bodyPr wrap="square" lIns="38100" tIns="19050" rIns="38100" bIns="19050" anchor="ctr">
                    <a:spAutoFit/>
                  </a:bodyPr>
                  <a:lstStyle/>
                  <a:p>
                    <a:pPr>
                      <a:defRPr sz="800" b="1">
                        <a:solidFill>
                          <a:srgbClr val="000000"/>
                        </a:solidFill>
                      </a:defRPr>
                    </a:pPr>
                    <a:r>
                      <a:rPr lang="en-US"/>
                      <a:t>P19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B-DA20-49E3-8FA5-D6DB20D927F0}"/>
                </c:ext>
              </c:extLst>
            </c:dLbl>
            <c:dLbl>
              <c:idx val="172"/>
              <c:tx>
                <c:rich>
                  <a:bodyPr wrap="square" lIns="38100" tIns="19050" rIns="38100" bIns="19050" anchor="ctr">
                    <a:spAutoFit/>
                  </a:bodyPr>
                  <a:lstStyle/>
                  <a:p>
                    <a:pPr>
                      <a:defRPr sz="800" b="1">
                        <a:solidFill>
                          <a:srgbClr val="000000"/>
                        </a:solidFill>
                      </a:defRPr>
                    </a:pPr>
                    <a:r>
                      <a:rPr lang="en-US"/>
                      <a:t>P20</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C-DA20-49E3-8FA5-D6DB20D927F0}"/>
                </c:ext>
              </c:extLst>
            </c:dLbl>
            <c:dLbl>
              <c:idx val="173"/>
              <c:tx>
                <c:rich>
                  <a:bodyPr wrap="square" lIns="38100" tIns="19050" rIns="38100" bIns="19050" anchor="ctr">
                    <a:spAutoFit/>
                  </a:bodyPr>
                  <a:lstStyle/>
                  <a:p>
                    <a:pPr>
                      <a:defRPr sz="800" b="1">
                        <a:solidFill>
                          <a:srgbClr val="000000"/>
                        </a:solidFill>
                      </a:defRPr>
                    </a:pPr>
                    <a:r>
                      <a:rPr lang="en-US"/>
                      <a:t>Q01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D-DA20-49E3-8FA5-D6DB20D927F0}"/>
                </c:ext>
              </c:extLst>
            </c:dLbl>
            <c:dLbl>
              <c:idx val="174"/>
              <c:tx>
                <c:rich>
                  <a:bodyPr wrap="square" lIns="38100" tIns="19050" rIns="38100" bIns="19050" anchor="ctr">
                    <a:spAutoFit/>
                  </a:bodyPr>
                  <a:lstStyle/>
                  <a:p>
                    <a:pPr>
                      <a:defRPr sz="800" b="1">
                        <a:solidFill>
                          <a:srgbClr val="000000"/>
                        </a:solidFill>
                      </a:defRPr>
                    </a:pPr>
                    <a:r>
                      <a:rPr lang="en-US"/>
                      <a:t>Q05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E-DA20-49E3-8FA5-D6DB20D927F0}"/>
                </c:ext>
              </c:extLst>
            </c:dLbl>
            <c:dLbl>
              <c:idx val="175"/>
              <c:tx>
                <c:rich>
                  <a:bodyPr wrap="square" lIns="38100" tIns="19050" rIns="38100" bIns="19050" anchor="ctr">
                    <a:spAutoFit/>
                  </a:bodyPr>
                  <a:lstStyle/>
                  <a:p>
                    <a:pPr>
                      <a:defRPr sz="800" b="1">
                        <a:solidFill>
                          <a:srgbClr val="000000"/>
                        </a:solidFill>
                      </a:defRPr>
                    </a:pPr>
                    <a:r>
                      <a:rPr lang="en-US"/>
                      <a:t>Q06</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F-DA20-49E3-8FA5-D6DB20D927F0}"/>
                </c:ext>
              </c:extLst>
            </c:dLbl>
            <c:dLbl>
              <c:idx val="176"/>
              <c:tx>
                <c:rich>
                  <a:bodyPr wrap="square" lIns="38100" tIns="19050" rIns="38100" bIns="19050" anchor="ctr">
                    <a:spAutoFit/>
                  </a:bodyPr>
                  <a:lstStyle/>
                  <a:p>
                    <a:pPr>
                      <a:defRPr sz="800" b="1">
                        <a:solidFill>
                          <a:srgbClr val="000000"/>
                        </a:solidFill>
                      </a:defRPr>
                    </a:pPr>
                    <a:r>
                      <a:rPr lang="en-US"/>
                      <a:t>Q07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0-DA20-49E3-8FA5-D6DB20D927F0}"/>
                </c:ext>
              </c:extLst>
            </c:dLbl>
            <c:dLbl>
              <c:idx val="177"/>
              <c:tx>
                <c:rich>
                  <a:bodyPr wrap="square" lIns="38100" tIns="19050" rIns="38100" bIns="19050" anchor="ctr">
                    <a:spAutoFit/>
                  </a:bodyPr>
                  <a:lstStyle/>
                  <a:p>
                    <a:pPr>
                      <a:defRPr sz="800" b="1">
                        <a:solidFill>
                          <a:srgbClr val="000000"/>
                        </a:solidFill>
                      </a:defRPr>
                    </a:pPr>
                    <a:r>
                      <a:rPr lang="en-US"/>
                      <a:t>Q08</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1-DA20-49E3-8FA5-D6DB20D927F0}"/>
                </c:ext>
              </c:extLst>
            </c:dLbl>
            <c:dLbl>
              <c:idx val="178"/>
              <c:tx>
                <c:rich>
                  <a:bodyPr wrap="square" lIns="38100" tIns="19050" rIns="38100" bIns="19050" anchor="ctr">
                    <a:spAutoFit/>
                  </a:bodyPr>
                  <a:lstStyle/>
                  <a:p>
                    <a:pPr>
                      <a:defRPr sz="800" b="1">
                        <a:solidFill>
                          <a:srgbClr val="000000"/>
                        </a:solidFill>
                      </a:defRPr>
                    </a:pPr>
                    <a:r>
                      <a:rPr lang="en-US"/>
                      <a:t>Q09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2-DA20-49E3-8FA5-D6DB20D927F0}"/>
                </c:ext>
              </c:extLst>
            </c:dLbl>
            <c:dLbl>
              <c:idx val="179"/>
              <c:tx>
                <c:rich>
                  <a:bodyPr wrap="square" lIns="38100" tIns="19050" rIns="38100" bIns="19050" anchor="ctr">
                    <a:spAutoFit/>
                  </a:bodyPr>
                  <a:lstStyle/>
                  <a:p>
                    <a:pPr>
                      <a:defRPr sz="800" b="1">
                        <a:solidFill>
                          <a:srgbClr val="000000"/>
                        </a:solidFill>
                      </a:defRPr>
                    </a:pPr>
                    <a:r>
                      <a:rPr lang="en-US"/>
                      <a:t>Q11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3-DA20-49E3-8FA5-D6DB20D927F0}"/>
                </c:ext>
              </c:extLst>
            </c:dLbl>
            <c:dLbl>
              <c:idx val="180"/>
              <c:tx>
                <c:rich>
                  <a:bodyPr wrap="square" lIns="38100" tIns="19050" rIns="38100" bIns="19050" anchor="ctr">
                    <a:spAutoFit/>
                  </a:bodyPr>
                  <a:lstStyle/>
                  <a:p>
                    <a:pPr>
                      <a:defRPr sz="800" b="1">
                        <a:solidFill>
                          <a:srgbClr val="000000"/>
                        </a:solidFill>
                      </a:defRPr>
                    </a:pPr>
                    <a:r>
                      <a:rPr lang="en-US"/>
                      <a:t>Q13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4-DA20-49E3-8FA5-D6DB20D927F0}"/>
                </c:ext>
              </c:extLst>
            </c:dLbl>
            <c:dLbl>
              <c:idx val="181"/>
              <c:tx>
                <c:rich>
                  <a:bodyPr wrap="square" lIns="38100" tIns="19050" rIns="38100" bIns="19050" anchor="ctr">
                    <a:spAutoFit/>
                  </a:bodyPr>
                  <a:lstStyle/>
                  <a:p>
                    <a:pPr>
                      <a:defRPr sz="800" b="1">
                        <a:solidFill>
                          <a:srgbClr val="000000"/>
                        </a:solidFill>
                      </a:defRPr>
                    </a:pPr>
                    <a:r>
                      <a:rPr lang="en-US"/>
                      <a:t>Q15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5-DA20-49E3-8FA5-D6DB20D927F0}"/>
                </c:ext>
              </c:extLst>
            </c:dLbl>
            <c:dLbl>
              <c:idx val="182"/>
              <c:tx>
                <c:rich>
                  <a:bodyPr wrap="square" lIns="38100" tIns="19050" rIns="38100" bIns="19050" anchor="ctr">
                    <a:spAutoFit/>
                  </a:bodyPr>
                  <a:lstStyle/>
                  <a:p>
                    <a:pPr>
                      <a:defRPr sz="800" b="1">
                        <a:solidFill>
                          <a:srgbClr val="000000"/>
                        </a:solidFill>
                      </a:defRPr>
                    </a:pPr>
                    <a:r>
                      <a:rPr lang="en-US"/>
                      <a:t>Q17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6-DA20-49E3-8FA5-D6DB20D927F0}"/>
                </c:ext>
              </c:extLst>
            </c:dLbl>
            <c:dLbl>
              <c:idx val="183"/>
              <c:tx>
                <c:rich>
                  <a:bodyPr wrap="square" lIns="38100" tIns="19050" rIns="38100" bIns="19050" anchor="ctr">
                    <a:spAutoFit/>
                  </a:bodyPr>
                  <a:lstStyle/>
                  <a:p>
                    <a:pPr>
                      <a:defRPr sz="800" b="1">
                        <a:solidFill>
                          <a:srgbClr val="000000"/>
                        </a:solidFill>
                      </a:defRPr>
                    </a:pPr>
                    <a:r>
                      <a:rPr lang="en-US"/>
                      <a:t>Q18</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7-DA20-49E3-8FA5-D6DB20D927F0}"/>
                </c:ext>
              </c:extLst>
            </c:dLbl>
            <c:dLbl>
              <c:idx val="184"/>
              <c:tx>
                <c:rich>
                  <a:bodyPr wrap="square" lIns="38100" tIns="19050" rIns="38100" bIns="19050" anchor="ctr">
                    <a:spAutoFit/>
                  </a:bodyPr>
                  <a:lstStyle/>
                  <a:p>
                    <a:pPr>
                      <a:defRPr sz="800" b="1">
                        <a:solidFill>
                          <a:srgbClr val="000000"/>
                        </a:solidFill>
                      </a:defRPr>
                    </a:pPr>
                    <a:r>
                      <a:rPr lang="en-US"/>
                      <a:t>R01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8-DA20-49E3-8FA5-D6DB20D927F0}"/>
                </c:ext>
              </c:extLst>
            </c:dLbl>
            <c:dLbl>
              <c:idx val="185"/>
              <c:tx>
                <c:rich>
                  <a:bodyPr wrap="square" lIns="38100" tIns="19050" rIns="38100" bIns="19050" anchor="ctr">
                    <a:spAutoFit/>
                  </a:bodyPr>
                  <a:lstStyle/>
                  <a:p>
                    <a:pPr>
                      <a:defRPr sz="800" b="1">
                        <a:solidFill>
                          <a:srgbClr val="000000"/>
                        </a:solidFill>
                      </a:defRPr>
                    </a:pPr>
                    <a:r>
                      <a:rPr lang="en-US"/>
                      <a:t>R02</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9-DA20-49E3-8FA5-D6DB20D927F0}"/>
                </c:ext>
              </c:extLst>
            </c:dLbl>
            <c:dLbl>
              <c:idx val="186"/>
              <c:tx>
                <c:rich>
                  <a:bodyPr wrap="square" lIns="38100" tIns="19050" rIns="38100" bIns="19050" anchor="ctr">
                    <a:spAutoFit/>
                  </a:bodyPr>
                  <a:lstStyle/>
                  <a:p>
                    <a:pPr>
                      <a:defRPr sz="800" b="1">
                        <a:solidFill>
                          <a:srgbClr val="000000"/>
                        </a:solidFill>
                      </a:defRPr>
                    </a:pPr>
                    <a:r>
                      <a:rPr lang="en-US"/>
                      <a:t>R09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A-DA20-49E3-8FA5-D6DB20D927F0}"/>
                </c:ext>
              </c:extLst>
            </c:dLbl>
            <c:dLbl>
              <c:idx val="187"/>
              <c:tx>
                <c:rich>
                  <a:bodyPr wrap="square" lIns="38100" tIns="19050" rIns="38100" bIns="19050" anchor="ctr">
                    <a:spAutoFit/>
                  </a:bodyPr>
                  <a:lstStyle/>
                  <a:p>
                    <a:pPr>
                      <a:defRPr sz="800" b="1">
                        <a:solidFill>
                          <a:srgbClr val="000000"/>
                        </a:solidFill>
                      </a:defRPr>
                    </a:pPr>
                    <a:r>
                      <a:rPr lang="en-US"/>
                      <a:t>R11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B-DA20-49E3-8FA5-D6DB20D927F0}"/>
                </c:ext>
              </c:extLst>
            </c:dLbl>
            <c:dLbl>
              <c:idx val="188"/>
              <c:tx>
                <c:rich>
                  <a:bodyPr wrap="square" lIns="38100" tIns="19050" rIns="38100" bIns="19050" anchor="ctr">
                    <a:spAutoFit/>
                  </a:bodyPr>
                  <a:lstStyle/>
                  <a:p>
                    <a:pPr>
                      <a:defRPr sz="800" b="1">
                        <a:solidFill>
                          <a:srgbClr val="000000"/>
                        </a:solidFill>
                      </a:defRPr>
                    </a:pPr>
                    <a:r>
                      <a:rPr lang="en-US"/>
                      <a:t>R13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C-DA20-49E3-8FA5-D6DB20D927F0}"/>
                </c:ext>
              </c:extLst>
            </c:dLbl>
            <c:dLbl>
              <c:idx val="189"/>
              <c:tx>
                <c:rich>
                  <a:bodyPr wrap="square" lIns="38100" tIns="19050" rIns="38100" bIns="19050" anchor="ctr">
                    <a:spAutoFit/>
                  </a:bodyPr>
                  <a:lstStyle/>
                  <a:p>
                    <a:pPr>
                      <a:defRPr sz="800" b="1">
                        <a:solidFill>
                          <a:srgbClr val="000000"/>
                        </a:solidFill>
                      </a:defRPr>
                    </a:pPr>
                    <a:r>
                      <a:rPr lang="en-US"/>
                      <a:t>R15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D-DA20-49E3-8FA5-D6DB20D927F0}"/>
                </c:ext>
              </c:extLst>
            </c:dLbl>
            <c:dLbl>
              <c:idx val="190"/>
              <c:tx>
                <c:rich>
                  <a:bodyPr wrap="square" lIns="38100" tIns="19050" rIns="38100" bIns="19050" anchor="ctr">
                    <a:spAutoFit/>
                  </a:bodyPr>
                  <a:lstStyle/>
                  <a:p>
                    <a:pPr>
                      <a:defRPr sz="800" b="1">
                        <a:solidFill>
                          <a:srgbClr val="000000"/>
                        </a:solidFill>
                      </a:defRPr>
                    </a:pPr>
                    <a:r>
                      <a:rPr lang="en-US"/>
                      <a:t>S11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E-DA20-49E3-8FA5-D6DB20D927F0}"/>
                </c:ext>
              </c:extLst>
            </c:dLbl>
            <c:dLbl>
              <c:idx val="191"/>
              <c:tx>
                <c:rich>
                  <a:bodyPr wrap="square" lIns="38100" tIns="19050" rIns="38100" bIns="19050" anchor="ctr">
                    <a:spAutoFit/>
                  </a:bodyPr>
                  <a:lstStyle/>
                  <a:p>
                    <a:pPr>
                      <a:defRPr sz="800" b="1">
                        <a:solidFill>
                          <a:srgbClr val="000000"/>
                        </a:solidFill>
                      </a:defRPr>
                    </a:pPr>
                    <a:r>
                      <a:rPr lang="en-US"/>
                      <a:t>S13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F-DA20-49E3-8FA5-D6DB20D927F0}"/>
                </c:ext>
              </c:extLst>
            </c:dLbl>
            <c:dLbl>
              <c:idx val="192"/>
              <c:tx>
                <c:rich>
                  <a:bodyPr wrap="square" lIns="38100" tIns="19050" rIns="38100" bIns="19050" anchor="ctr">
                    <a:spAutoFit/>
                  </a:bodyPr>
                  <a:lstStyle/>
                  <a:p>
                    <a:pPr>
                      <a:defRPr sz="800" b="1">
                        <a:solidFill>
                          <a:srgbClr val="000000"/>
                        </a:solidFill>
                      </a:defRPr>
                    </a:pPr>
                    <a:r>
                      <a:rPr lang="en-US"/>
                      <a:t>S15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0-DA20-49E3-8FA5-D6DB20D927F0}"/>
                </c:ext>
              </c:extLst>
            </c:dLbl>
            <c:dLbl>
              <c:idx val="193"/>
              <c:tx>
                <c:rich>
                  <a:bodyPr wrap="square" lIns="38100" tIns="19050" rIns="38100" bIns="19050" anchor="ctr">
                    <a:spAutoFit/>
                  </a:bodyPr>
                  <a:lstStyle/>
                  <a:p>
                    <a:pPr>
                      <a:defRPr sz="800" b="1">
                        <a:solidFill>
                          <a:srgbClr val="000000"/>
                        </a:solidFill>
                      </a:defRPr>
                    </a:pPr>
                    <a:r>
                      <a:rPr lang="en-US"/>
                      <a:t>T10</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1-DA20-49E3-8FA5-D6DB20D927F0}"/>
                </c:ext>
              </c:extLst>
            </c:dLbl>
            <c:dLbl>
              <c:idx val="194"/>
              <c:tx>
                <c:rich>
                  <a:bodyPr wrap="square" lIns="38100" tIns="19050" rIns="38100" bIns="19050" anchor="ctr">
                    <a:spAutoFit/>
                  </a:bodyPr>
                  <a:lstStyle/>
                  <a:p>
                    <a:pPr>
                      <a:defRPr sz="800" b="1">
                        <a:solidFill>
                          <a:srgbClr val="000000"/>
                        </a:solidFill>
                      </a:defRPr>
                    </a:pPr>
                    <a:r>
                      <a:rPr lang="en-US"/>
                      <a:t>T11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2-DA20-49E3-8FA5-D6DB20D927F0}"/>
                </c:ext>
              </c:extLst>
            </c:dLbl>
            <c:dLbl>
              <c:idx val="195"/>
              <c:tx>
                <c:rich>
                  <a:bodyPr wrap="square" lIns="38100" tIns="19050" rIns="38100" bIns="19050" anchor="ctr">
                    <a:spAutoFit/>
                  </a:bodyPr>
                  <a:lstStyle/>
                  <a:p>
                    <a:pPr>
                      <a:defRPr sz="800" b="1">
                        <a:solidFill>
                          <a:srgbClr val="000000"/>
                        </a:solidFill>
                      </a:defRPr>
                    </a:pPr>
                    <a:r>
                      <a:rPr lang="en-US"/>
                      <a:t>T12</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3-DA20-49E3-8FA5-D6DB20D927F0}"/>
                </c:ext>
              </c:extLst>
            </c:dLbl>
            <c:dLbl>
              <c:idx val="196"/>
              <c:tx>
                <c:rich>
                  <a:bodyPr wrap="square" lIns="38100" tIns="19050" rIns="38100" bIns="19050" anchor="ctr">
                    <a:spAutoFit/>
                  </a:bodyPr>
                  <a:lstStyle/>
                  <a:p>
                    <a:pPr>
                      <a:defRPr sz="800" b="1">
                        <a:solidFill>
                          <a:srgbClr val="000000"/>
                        </a:solidFill>
                      </a:defRPr>
                    </a:pPr>
                    <a:r>
                      <a:rPr lang="en-US"/>
                      <a:t>T13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4-DA20-49E3-8FA5-D6DB20D927F0}"/>
                </c:ext>
              </c:extLst>
            </c:dLbl>
            <c:dLbl>
              <c:idx val="197"/>
              <c:tx>
                <c:rich>
                  <a:bodyPr wrap="square" lIns="38100" tIns="19050" rIns="38100" bIns="19050" anchor="ctr">
                    <a:spAutoFit/>
                  </a:bodyPr>
                  <a:lstStyle/>
                  <a:p>
                    <a:pPr>
                      <a:defRPr sz="800" b="1">
                        <a:solidFill>
                          <a:srgbClr val="000000"/>
                        </a:solidFill>
                      </a:defRPr>
                    </a:pPr>
                    <a:r>
                      <a:rPr lang="en-US"/>
                      <a:t>T14</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5-DA20-49E3-8FA5-D6DB20D927F0}"/>
                </c:ext>
              </c:extLst>
            </c:dLbl>
            <c:dLbl>
              <c:idx val="198"/>
              <c:tx>
                <c:rich>
                  <a:bodyPr wrap="square" lIns="38100" tIns="19050" rIns="38100" bIns="19050" anchor="ctr">
                    <a:spAutoFit/>
                  </a:bodyPr>
                  <a:lstStyle/>
                  <a:p>
                    <a:pPr>
                      <a:defRPr sz="800" b="1">
                        <a:solidFill>
                          <a:srgbClr val="000000"/>
                        </a:solidFill>
                      </a:defRPr>
                    </a:pPr>
                    <a:r>
                      <a:rPr lang="en-US"/>
                      <a:t>T15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6-DA20-49E3-8FA5-D6DB20D927F0}"/>
                </c:ext>
              </c:extLst>
            </c:dLbl>
            <c:dLbl>
              <c:idx val="199"/>
              <c:tx>
                <c:rich>
                  <a:bodyPr wrap="square" lIns="38100" tIns="19050" rIns="38100" bIns="19050" anchor="ctr">
                    <a:spAutoFit/>
                  </a:bodyPr>
                  <a:lstStyle/>
                  <a:p>
                    <a:pPr>
                      <a:defRPr sz="800" b="1">
                        <a:solidFill>
                          <a:srgbClr val="000000"/>
                        </a:solidFill>
                      </a:defRPr>
                    </a:pPr>
                    <a:r>
                      <a:rPr lang="en-US"/>
                      <a:t>T16</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7-DA20-49E3-8FA5-D6DB20D927F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Ref>
              <c:f>'Summary 05_combined'!$D$20:$D$219</c:f>
              <c:numCache>
                <c:formatCode>General</c:formatCode>
                <c:ptCount val="200"/>
                <c:pt idx="0">
                  <c:v>460123</c:v>
                </c:pt>
                <c:pt idx="1">
                  <c:v>461361</c:v>
                </c:pt>
                <c:pt idx="2">
                  <c:v>462778</c:v>
                </c:pt>
                <c:pt idx="3">
                  <c:v>464232</c:v>
                </c:pt>
                <c:pt idx="4">
                  <c:v>467232</c:v>
                </c:pt>
                <c:pt idx="5">
                  <c:v>468749</c:v>
                </c:pt>
                <c:pt idx="6">
                  <c:v>470269</c:v>
                </c:pt>
                <c:pt idx="7">
                  <c:v>471829</c:v>
                </c:pt>
                <c:pt idx="8">
                  <c:v>473388</c:v>
                </c:pt>
                <c:pt idx="9">
                  <c:v>474937</c:v>
                </c:pt>
                <c:pt idx="10">
                  <c:v>476497</c:v>
                </c:pt>
                <c:pt idx="11">
                  <c:v>478064</c:v>
                </c:pt>
                <c:pt idx="12">
                  <c:v>479604</c:v>
                </c:pt>
                <c:pt idx="13">
                  <c:v>481173</c:v>
                </c:pt>
                <c:pt idx="14">
                  <c:v>482709</c:v>
                </c:pt>
                <c:pt idx="15">
                  <c:v>484249</c:v>
                </c:pt>
                <c:pt idx="16">
                  <c:v>484978.2</c:v>
                </c:pt>
                <c:pt idx="17">
                  <c:v>484662</c:v>
                </c:pt>
                <c:pt idx="18">
                  <c:v>483697.2</c:v>
                </c:pt>
                <c:pt idx="19">
                  <c:v>482774.7</c:v>
                </c:pt>
                <c:pt idx="20">
                  <c:v>481884</c:v>
                </c:pt>
                <c:pt idx="21">
                  <c:v>459408</c:v>
                </c:pt>
                <c:pt idx="22">
                  <c:v>461577.5</c:v>
                </c:pt>
                <c:pt idx="23">
                  <c:v>464508.1</c:v>
                </c:pt>
                <c:pt idx="24">
                  <c:v>467528.6</c:v>
                </c:pt>
                <c:pt idx="25">
                  <c:v>483031.5</c:v>
                </c:pt>
                <c:pt idx="26">
                  <c:v>483981.9</c:v>
                </c:pt>
                <c:pt idx="27">
                  <c:v>483871</c:v>
                </c:pt>
                <c:pt idx="28">
                  <c:v>483074</c:v>
                </c:pt>
                <c:pt idx="29">
                  <c:v>481864.2</c:v>
                </c:pt>
                <c:pt idx="30">
                  <c:v>480966.6</c:v>
                </c:pt>
                <c:pt idx="31">
                  <c:v>458281.5</c:v>
                </c:pt>
                <c:pt idx="32">
                  <c:v>460741</c:v>
                </c:pt>
                <c:pt idx="33">
                  <c:v>463727.4</c:v>
                </c:pt>
                <c:pt idx="34">
                  <c:v>466748.9</c:v>
                </c:pt>
                <c:pt idx="35">
                  <c:v>470584.2</c:v>
                </c:pt>
                <c:pt idx="36">
                  <c:v>473709.7</c:v>
                </c:pt>
                <c:pt idx="37">
                  <c:v>476832.1</c:v>
                </c:pt>
                <c:pt idx="38">
                  <c:v>479945.7</c:v>
                </c:pt>
                <c:pt idx="39">
                  <c:v>482214.3</c:v>
                </c:pt>
                <c:pt idx="40">
                  <c:v>483010</c:v>
                </c:pt>
                <c:pt idx="41">
                  <c:v>483080</c:v>
                </c:pt>
                <c:pt idx="42">
                  <c:v>481215.8</c:v>
                </c:pt>
                <c:pt idx="43">
                  <c:v>480956.4</c:v>
                </c:pt>
                <c:pt idx="44">
                  <c:v>480018</c:v>
                </c:pt>
                <c:pt idx="45">
                  <c:v>457556</c:v>
                </c:pt>
                <c:pt idx="46">
                  <c:v>462946.7</c:v>
                </c:pt>
                <c:pt idx="47">
                  <c:v>465969.2</c:v>
                </c:pt>
                <c:pt idx="48">
                  <c:v>469781.5</c:v>
                </c:pt>
                <c:pt idx="49">
                  <c:v>473047.2</c:v>
                </c:pt>
                <c:pt idx="50">
                  <c:v>475925.3</c:v>
                </c:pt>
                <c:pt idx="51">
                  <c:v>479093.5</c:v>
                </c:pt>
                <c:pt idx="52">
                  <c:v>481397.1</c:v>
                </c:pt>
                <c:pt idx="53">
                  <c:v>482020</c:v>
                </c:pt>
                <c:pt idx="54">
                  <c:v>482289</c:v>
                </c:pt>
                <c:pt idx="55">
                  <c:v>480311</c:v>
                </c:pt>
                <c:pt idx="56">
                  <c:v>480065.6</c:v>
                </c:pt>
                <c:pt idx="57">
                  <c:v>456830.5</c:v>
                </c:pt>
                <c:pt idx="58">
                  <c:v>459201</c:v>
                </c:pt>
                <c:pt idx="59">
                  <c:v>462166</c:v>
                </c:pt>
                <c:pt idx="60">
                  <c:v>465189.5</c:v>
                </c:pt>
                <c:pt idx="61">
                  <c:v>468965</c:v>
                </c:pt>
                <c:pt idx="62">
                  <c:v>472154.9</c:v>
                </c:pt>
                <c:pt idx="63">
                  <c:v>474974.3</c:v>
                </c:pt>
                <c:pt idx="64">
                  <c:v>478241.3</c:v>
                </c:pt>
                <c:pt idx="65">
                  <c:v>480591</c:v>
                </c:pt>
                <c:pt idx="66">
                  <c:v>481023.4</c:v>
                </c:pt>
                <c:pt idx="67">
                  <c:v>481498</c:v>
                </c:pt>
                <c:pt idx="68">
                  <c:v>479406.2</c:v>
                </c:pt>
                <c:pt idx="69">
                  <c:v>479140.8</c:v>
                </c:pt>
                <c:pt idx="70">
                  <c:v>456105</c:v>
                </c:pt>
                <c:pt idx="71">
                  <c:v>458040</c:v>
                </c:pt>
                <c:pt idx="72">
                  <c:v>461186</c:v>
                </c:pt>
                <c:pt idx="73">
                  <c:v>464409.8</c:v>
                </c:pt>
                <c:pt idx="74">
                  <c:v>468148.5</c:v>
                </c:pt>
                <c:pt idx="75">
                  <c:v>471283.7</c:v>
                </c:pt>
                <c:pt idx="76">
                  <c:v>474045.4</c:v>
                </c:pt>
                <c:pt idx="77">
                  <c:v>477385.7</c:v>
                </c:pt>
                <c:pt idx="78">
                  <c:v>479762.7</c:v>
                </c:pt>
                <c:pt idx="79">
                  <c:v>480034.7</c:v>
                </c:pt>
                <c:pt idx="80">
                  <c:v>479021</c:v>
                </c:pt>
                <c:pt idx="81">
                  <c:v>478501.4</c:v>
                </c:pt>
                <c:pt idx="82">
                  <c:v>478233</c:v>
                </c:pt>
                <c:pt idx="83">
                  <c:v>455369.7</c:v>
                </c:pt>
                <c:pt idx="84">
                  <c:v>457232.9</c:v>
                </c:pt>
                <c:pt idx="85">
                  <c:v>460452</c:v>
                </c:pt>
                <c:pt idx="86">
                  <c:v>463631.6</c:v>
                </c:pt>
                <c:pt idx="87">
                  <c:v>467332</c:v>
                </c:pt>
                <c:pt idx="88">
                  <c:v>470403.1</c:v>
                </c:pt>
                <c:pt idx="89">
                  <c:v>473116.5</c:v>
                </c:pt>
                <c:pt idx="90">
                  <c:v>476536.9</c:v>
                </c:pt>
                <c:pt idx="91">
                  <c:v>478945.5</c:v>
                </c:pt>
                <c:pt idx="92">
                  <c:v>479046</c:v>
                </c:pt>
                <c:pt idx="93">
                  <c:v>478022.8</c:v>
                </c:pt>
                <c:pt idx="94">
                  <c:v>477596.6</c:v>
                </c:pt>
                <c:pt idx="95">
                  <c:v>454650.5</c:v>
                </c:pt>
                <c:pt idx="96">
                  <c:v>456375</c:v>
                </c:pt>
                <c:pt idx="97">
                  <c:v>459722</c:v>
                </c:pt>
                <c:pt idx="98">
                  <c:v>462427.36</c:v>
                </c:pt>
                <c:pt idx="99">
                  <c:v>466515.5</c:v>
                </c:pt>
                <c:pt idx="100">
                  <c:v>469527.2</c:v>
                </c:pt>
                <c:pt idx="101">
                  <c:v>472187.6</c:v>
                </c:pt>
                <c:pt idx="102">
                  <c:v>475684.7</c:v>
                </c:pt>
                <c:pt idx="103">
                  <c:v>478130.7</c:v>
                </c:pt>
                <c:pt idx="104">
                  <c:v>476362</c:v>
                </c:pt>
                <c:pt idx="105">
                  <c:v>477024.6</c:v>
                </c:pt>
                <c:pt idx="106">
                  <c:v>476683.7</c:v>
                </c:pt>
                <c:pt idx="107">
                  <c:v>453928.5</c:v>
                </c:pt>
                <c:pt idx="108">
                  <c:v>455517.1</c:v>
                </c:pt>
                <c:pt idx="109">
                  <c:v>458990</c:v>
                </c:pt>
                <c:pt idx="110">
                  <c:v>461822.5</c:v>
                </c:pt>
                <c:pt idx="111">
                  <c:v>465692.8</c:v>
                </c:pt>
                <c:pt idx="112">
                  <c:v>468654.9</c:v>
                </c:pt>
                <c:pt idx="113">
                  <c:v>471258.7</c:v>
                </c:pt>
                <c:pt idx="114">
                  <c:v>474820.7</c:v>
                </c:pt>
                <c:pt idx="115">
                  <c:v>476744.5</c:v>
                </c:pt>
                <c:pt idx="116">
                  <c:v>475454.1</c:v>
                </c:pt>
                <c:pt idx="117">
                  <c:v>476026.4</c:v>
                </c:pt>
                <c:pt idx="118">
                  <c:v>475796</c:v>
                </c:pt>
                <c:pt idx="119">
                  <c:v>453203</c:v>
                </c:pt>
                <c:pt idx="120">
                  <c:v>454659.2</c:v>
                </c:pt>
                <c:pt idx="121">
                  <c:v>457879</c:v>
                </c:pt>
                <c:pt idx="122">
                  <c:v>461024.6</c:v>
                </c:pt>
                <c:pt idx="123">
                  <c:v>464140.2</c:v>
                </c:pt>
                <c:pt idx="124">
                  <c:v>467775.4</c:v>
                </c:pt>
                <c:pt idx="125">
                  <c:v>470333.6</c:v>
                </c:pt>
                <c:pt idx="126">
                  <c:v>474004.5</c:v>
                </c:pt>
                <c:pt idx="127">
                  <c:v>472295</c:v>
                </c:pt>
                <c:pt idx="128">
                  <c:v>474485.7</c:v>
                </c:pt>
                <c:pt idx="129">
                  <c:v>475028.2</c:v>
                </c:pt>
                <c:pt idx="130">
                  <c:v>452477.5</c:v>
                </c:pt>
                <c:pt idx="131">
                  <c:v>453759.5</c:v>
                </c:pt>
                <c:pt idx="132">
                  <c:v>456981.4</c:v>
                </c:pt>
                <c:pt idx="133">
                  <c:v>459452</c:v>
                </c:pt>
                <c:pt idx="134">
                  <c:v>463237.4</c:v>
                </c:pt>
                <c:pt idx="135">
                  <c:v>466616</c:v>
                </c:pt>
                <c:pt idx="136">
                  <c:v>469237</c:v>
                </c:pt>
                <c:pt idx="137">
                  <c:v>473128.1</c:v>
                </c:pt>
                <c:pt idx="138">
                  <c:v>471135</c:v>
                </c:pt>
                <c:pt idx="139">
                  <c:v>473540.5</c:v>
                </c:pt>
                <c:pt idx="140">
                  <c:v>474030</c:v>
                </c:pt>
                <c:pt idx="141">
                  <c:v>451758.6</c:v>
                </c:pt>
                <c:pt idx="142">
                  <c:v>452933</c:v>
                </c:pt>
                <c:pt idx="143">
                  <c:v>456083.8</c:v>
                </c:pt>
                <c:pt idx="144">
                  <c:v>458772</c:v>
                </c:pt>
                <c:pt idx="145">
                  <c:v>462334.6</c:v>
                </c:pt>
                <c:pt idx="146">
                  <c:v>465636.1</c:v>
                </c:pt>
                <c:pt idx="147">
                  <c:v>468137</c:v>
                </c:pt>
                <c:pt idx="148">
                  <c:v>470250.7</c:v>
                </c:pt>
                <c:pt idx="149">
                  <c:v>470107.9</c:v>
                </c:pt>
                <c:pt idx="150">
                  <c:v>472600</c:v>
                </c:pt>
                <c:pt idx="151">
                  <c:v>451026.5</c:v>
                </c:pt>
                <c:pt idx="152">
                  <c:v>452100.5</c:v>
                </c:pt>
                <c:pt idx="153">
                  <c:v>455186.2</c:v>
                </c:pt>
                <c:pt idx="154">
                  <c:v>457662</c:v>
                </c:pt>
                <c:pt idx="155">
                  <c:v>461431.8</c:v>
                </c:pt>
                <c:pt idx="156">
                  <c:v>464638.4</c:v>
                </c:pt>
                <c:pt idx="157">
                  <c:v>467158</c:v>
                </c:pt>
                <c:pt idx="158">
                  <c:v>469643</c:v>
                </c:pt>
                <c:pt idx="159">
                  <c:v>469472.2</c:v>
                </c:pt>
                <c:pt idx="160">
                  <c:v>471621</c:v>
                </c:pt>
                <c:pt idx="161">
                  <c:v>450301</c:v>
                </c:pt>
                <c:pt idx="162">
                  <c:v>450985.8</c:v>
                </c:pt>
                <c:pt idx="163">
                  <c:v>452333</c:v>
                </c:pt>
                <c:pt idx="164">
                  <c:v>454288.6</c:v>
                </c:pt>
                <c:pt idx="165">
                  <c:v>456701</c:v>
                </c:pt>
                <c:pt idx="166">
                  <c:v>460529</c:v>
                </c:pt>
                <c:pt idx="167">
                  <c:v>463640.7</c:v>
                </c:pt>
                <c:pt idx="168">
                  <c:v>466239</c:v>
                </c:pt>
                <c:pt idx="169">
                  <c:v>468664.1</c:v>
                </c:pt>
                <c:pt idx="170">
                  <c:v>468816.3</c:v>
                </c:pt>
                <c:pt idx="171">
                  <c:v>470347</c:v>
                </c:pt>
                <c:pt idx="172">
                  <c:v>471760</c:v>
                </c:pt>
                <c:pt idx="173">
                  <c:v>449575.5</c:v>
                </c:pt>
                <c:pt idx="174">
                  <c:v>453391</c:v>
                </c:pt>
                <c:pt idx="175">
                  <c:v>454519.4</c:v>
                </c:pt>
                <c:pt idx="176">
                  <c:v>455740</c:v>
                </c:pt>
                <c:pt idx="177">
                  <c:v>456904.3</c:v>
                </c:pt>
                <c:pt idx="178">
                  <c:v>459587</c:v>
                </c:pt>
                <c:pt idx="179">
                  <c:v>462643</c:v>
                </c:pt>
                <c:pt idx="180">
                  <c:v>465366</c:v>
                </c:pt>
                <c:pt idx="181">
                  <c:v>467767.1</c:v>
                </c:pt>
                <c:pt idx="182">
                  <c:v>467708.3</c:v>
                </c:pt>
                <c:pt idx="183">
                  <c:v>469144</c:v>
                </c:pt>
                <c:pt idx="184">
                  <c:v>448850</c:v>
                </c:pt>
                <c:pt idx="185">
                  <c:v>449855</c:v>
                </c:pt>
                <c:pt idx="186">
                  <c:v>458833</c:v>
                </c:pt>
                <c:pt idx="187">
                  <c:v>461834.6</c:v>
                </c:pt>
                <c:pt idx="188">
                  <c:v>464330.2</c:v>
                </c:pt>
                <c:pt idx="189">
                  <c:v>466870.1</c:v>
                </c:pt>
                <c:pt idx="190">
                  <c:v>461034.5</c:v>
                </c:pt>
                <c:pt idx="191">
                  <c:v>463381</c:v>
                </c:pt>
                <c:pt idx="192">
                  <c:v>465971</c:v>
                </c:pt>
                <c:pt idx="193">
                  <c:v>459183.4</c:v>
                </c:pt>
                <c:pt idx="194">
                  <c:v>460226</c:v>
                </c:pt>
                <c:pt idx="195">
                  <c:v>461327.3</c:v>
                </c:pt>
                <c:pt idx="196">
                  <c:v>462445</c:v>
                </c:pt>
                <c:pt idx="197">
                  <c:v>463471</c:v>
                </c:pt>
                <c:pt idx="198">
                  <c:v>464883</c:v>
                </c:pt>
                <c:pt idx="199">
                  <c:v>466255</c:v>
                </c:pt>
              </c:numCache>
            </c:numRef>
          </c:xVal>
          <c:yVal>
            <c:numRef>
              <c:f>'Summary 05_combined'!$E$20:$E$219</c:f>
              <c:numCache>
                <c:formatCode>General</c:formatCode>
                <c:ptCount val="200"/>
                <c:pt idx="0">
                  <c:v>5962757</c:v>
                </c:pt>
                <c:pt idx="1">
                  <c:v>5962314</c:v>
                </c:pt>
                <c:pt idx="2">
                  <c:v>5961590</c:v>
                </c:pt>
                <c:pt idx="3">
                  <c:v>5960830</c:v>
                </c:pt>
                <c:pt idx="4">
                  <c:v>5959260</c:v>
                </c:pt>
                <c:pt idx="5">
                  <c:v>5958460</c:v>
                </c:pt>
                <c:pt idx="6">
                  <c:v>5957660</c:v>
                </c:pt>
                <c:pt idx="7">
                  <c:v>5956840</c:v>
                </c:pt>
                <c:pt idx="8">
                  <c:v>5956030</c:v>
                </c:pt>
                <c:pt idx="9">
                  <c:v>5955210</c:v>
                </c:pt>
                <c:pt idx="10">
                  <c:v>5954390</c:v>
                </c:pt>
                <c:pt idx="11">
                  <c:v>5953570</c:v>
                </c:pt>
                <c:pt idx="12">
                  <c:v>5952760</c:v>
                </c:pt>
                <c:pt idx="13">
                  <c:v>5951940</c:v>
                </c:pt>
                <c:pt idx="14">
                  <c:v>5951130</c:v>
                </c:pt>
                <c:pt idx="15">
                  <c:v>5950333</c:v>
                </c:pt>
                <c:pt idx="16">
                  <c:v>5952440.2000000002</c:v>
                </c:pt>
                <c:pt idx="17">
                  <c:v>5956140</c:v>
                </c:pt>
                <c:pt idx="18">
                  <c:v>5960783.0999999996</c:v>
                </c:pt>
                <c:pt idx="19">
                  <c:v>5965224.7999999998</c:v>
                </c:pt>
                <c:pt idx="20">
                  <c:v>5969460</c:v>
                </c:pt>
                <c:pt idx="21">
                  <c:v>5963900</c:v>
                </c:pt>
                <c:pt idx="22">
                  <c:v>5963523</c:v>
                </c:pt>
                <c:pt idx="23">
                  <c:v>5962000.0999999996</c:v>
                </c:pt>
                <c:pt idx="24">
                  <c:v>5960419.7000000002</c:v>
                </c:pt>
                <c:pt idx="25">
                  <c:v>5952290.2999999998</c:v>
                </c:pt>
                <c:pt idx="26">
                  <c:v>5954052.2999999998</c:v>
                </c:pt>
                <c:pt idx="27">
                  <c:v>5957410</c:v>
                </c:pt>
                <c:pt idx="28">
                  <c:v>5961784</c:v>
                </c:pt>
                <c:pt idx="29">
                  <c:v>5966688</c:v>
                </c:pt>
                <c:pt idx="30">
                  <c:v>5970941.2999999998</c:v>
                </c:pt>
                <c:pt idx="31">
                  <c:v>5965690.2000000002</c:v>
                </c:pt>
                <c:pt idx="32">
                  <c:v>5964870</c:v>
                </c:pt>
                <c:pt idx="33">
                  <c:v>5963253.4000000004</c:v>
                </c:pt>
                <c:pt idx="34">
                  <c:v>5961671.7999999998</c:v>
                </c:pt>
                <c:pt idx="35">
                  <c:v>5958839.5999999996</c:v>
                </c:pt>
                <c:pt idx="36">
                  <c:v>5957180.4000000004</c:v>
                </c:pt>
                <c:pt idx="37">
                  <c:v>5955548.2000000002</c:v>
                </c:pt>
                <c:pt idx="38">
                  <c:v>5953911</c:v>
                </c:pt>
                <c:pt idx="39">
                  <c:v>5953603.5999999996</c:v>
                </c:pt>
                <c:pt idx="40">
                  <c:v>5955625</c:v>
                </c:pt>
                <c:pt idx="41">
                  <c:v>5958680</c:v>
                </c:pt>
                <c:pt idx="42">
                  <c:v>5964770</c:v>
                </c:pt>
                <c:pt idx="43">
                  <c:v>5968146</c:v>
                </c:pt>
                <c:pt idx="44">
                  <c:v>5972470</c:v>
                </c:pt>
                <c:pt idx="45">
                  <c:v>5966844.7999999998</c:v>
                </c:pt>
                <c:pt idx="46">
                  <c:v>5964506.7000000002</c:v>
                </c:pt>
                <c:pt idx="47">
                  <c:v>5962923.9000000004</c:v>
                </c:pt>
                <c:pt idx="48">
                  <c:v>5960130.0999999996</c:v>
                </c:pt>
                <c:pt idx="49">
                  <c:v>5958242.7000000002</c:v>
                </c:pt>
                <c:pt idx="50">
                  <c:v>5957007.4000000004</c:v>
                </c:pt>
                <c:pt idx="51">
                  <c:v>5955279.5999999996</c:v>
                </c:pt>
                <c:pt idx="52">
                  <c:v>5954916.9000000004</c:v>
                </c:pt>
                <c:pt idx="53">
                  <c:v>5957212</c:v>
                </c:pt>
                <c:pt idx="54">
                  <c:v>5959950</c:v>
                </c:pt>
                <c:pt idx="55">
                  <c:v>5966220</c:v>
                </c:pt>
                <c:pt idx="56">
                  <c:v>5969576.2999999998</c:v>
                </c:pt>
                <c:pt idx="57">
                  <c:v>5967999.4000000004</c:v>
                </c:pt>
                <c:pt idx="58">
                  <c:v>5967340</c:v>
                </c:pt>
                <c:pt idx="59">
                  <c:v>5965760</c:v>
                </c:pt>
                <c:pt idx="60">
                  <c:v>5964176</c:v>
                </c:pt>
                <c:pt idx="61">
                  <c:v>5961442.0999999996</c:v>
                </c:pt>
                <c:pt idx="62">
                  <c:v>5959675.2999999998</c:v>
                </c:pt>
                <c:pt idx="63">
                  <c:v>5958531.5999999996</c:v>
                </c:pt>
                <c:pt idx="64">
                  <c:v>5956648.2000000002</c:v>
                </c:pt>
                <c:pt idx="65">
                  <c:v>5956212.5</c:v>
                </c:pt>
                <c:pt idx="66">
                  <c:v>5958793.4000000004</c:v>
                </c:pt>
                <c:pt idx="67">
                  <c:v>5961220</c:v>
                </c:pt>
                <c:pt idx="68">
                  <c:v>5967670</c:v>
                </c:pt>
                <c:pt idx="69">
                  <c:v>5971062</c:v>
                </c:pt>
                <c:pt idx="70">
                  <c:v>5969154</c:v>
                </c:pt>
                <c:pt idx="71">
                  <c:v>5969202</c:v>
                </c:pt>
                <c:pt idx="72">
                  <c:v>5967340.0999999996</c:v>
                </c:pt>
                <c:pt idx="73">
                  <c:v>5965428.0999999996</c:v>
                </c:pt>
                <c:pt idx="74">
                  <c:v>5962754.0999999996</c:v>
                </c:pt>
                <c:pt idx="75">
                  <c:v>5961073.2999999998</c:v>
                </c:pt>
                <c:pt idx="76">
                  <c:v>5960023.2999999998</c:v>
                </c:pt>
                <c:pt idx="77">
                  <c:v>5958021.7999999998</c:v>
                </c:pt>
                <c:pt idx="78">
                  <c:v>5957543.5</c:v>
                </c:pt>
                <c:pt idx="79">
                  <c:v>5960381.7000000002</c:v>
                </c:pt>
                <c:pt idx="80">
                  <c:v>5965200</c:v>
                </c:pt>
                <c:pt idx="81">
                  <c:v>5969120</c:v>
                </c:pt>
                <c:pt idx="82">
                  <c:v>5972520</c:v>
                </c:pt>
                <c:pt idx="83">
                  <c:v>5970324.9000000004</c:v>
                </c:pt>
                <c:pt idx="84">
                  <c:v>5970498.7000000002</c:v>
                </c:pt>
                <c:pt idx="85">
                  <c:v>5968518</c:v>
                </c:pt>
                <c:pt idx="86">
                  <c:v>5966681.5999999996</c:v>
                </c:pt>
                <c:pt idx="87">
                  <c:v>5964066.0999999996</c:v>
                </c:pt>
                <c:pt idx="88">
                  <c:v>5962485.2999999998</c:v>
                </c:pt>
                <c:pt idx="89">
                  <c:v>5961515</c:v>
                </c:pt>
                <c:pt idx="90">
                  <c:v>5959385.4000000004</c:v>
                </c:pt>
                <c:pt idx="91">
                  <c:v>5958856.7999999998</c:v>
                </c:pt>
                <c:pt idx="92">
                  <c:v>5961970</c:v>
                </c:pt>
                <c:pt idx="93">
                  <c:v>5966804</c:v>
                </c:pt>
                <c:pt idx="94">
                  <c:v>5970570</c:v>
                </c:pt>
                <c:pt idx="95">
                  <c:v>5971468.7999999998</c:v>
                </c:pt>
                <c:pt idx="96">
                  <c:v>5971877.2000000002</c:v>
                </c:pt>
                <c:pt idx="97">
                  <c:v>5969686.7000000002</c:v>
                </c:pt>
                <c:pt idx="98">
                  <c:v>5968596.3700000001</c:v>
                </c:pt>
                <c:pt idx="99">
                  <c:v>5965378.0999999996</c:v>
                </c:pt>
                <c:pt idx="100">
                  <c:v>5963890.2999999998</c:v>
                </c:pt>
                <c:pt idx="101">
                  <c:v>5963006.7000000002</c:v>
                </c:pt>
                <c:pt idx="102">
                  <c:v>5960754</c:v>
                </c:pt>
                <c:pt idx="103">
                  <c:v>5960166.2999999998</c:v>
                </c:pt>
                <c:pt idx="104">
                  <c:v>5966280</c:v>
                </c:pt>
                <c:pt idx="105">
                  <c:v>5968408</c:v>
                </c:pt>
                <c:pt idx="106">
                  <c:v>5972033.2999999998</c:v>
                </c:pt>
                <c:pt idx="107">
                  <c:v>5972617.7999999998</c:v>
                </c:pt>
                <c:pt idx="108">
                  <c:v>5973255.7000000002</c:v>
                </c:pt>
                <c:pt idx="109">
                  <c:v>5970860</c:v>
                </c:pt>
                <c:pt idx="110">
                  <c:v>5969590</c:v>
                </c:pt>
                <c:pt idx="111">
                  <c:v>5966699.0999999996</c:v>
                </c:pt>
                <c:pt idx="112">
                  <c:v>5965289.4000000004</c:v>
                </c:pt>
                <c:pt idx="113">
                  <c:v>5964498.4000000004</c:v>
                </c:pt>
                <c:pt idx="114">
                  <c:v>5962144.0999999996</c:v>
                </c:pt>
                <c:pt idx="115">
                  <c:v>5962385</c:v>
                </c:pt>
                <c:pt idx="116">
                  <c:v>5967738</c:v>
                </c:pt>
                <c:pt idx="117">
                  <c:v>5970012</c:v>
                </c:pt>
                <c:pt idx="118">
                  <c:v>5973477</c:v>
                </c:pt>
                <c:pt idx="119">
                  <c:v>5973772.4000000004</c:v>
                </c:pt>
                <c:pt idx="120">
                  <c:v>5974634.2000000002</c:v>
                </c:pt>
                <c:pt idx="121">
                  <c:v>5972650</c:v>
                </c:pt>
                <c:pt idx="122">
                  <c:v>5970908</c:v>
                </c:pt>
                <c:pt idx="123">
                  <c:v>5969190</c:v>
                </c:pt>
                <c:pt idx="124">
                  <c:v>5966700.2999999998</c:v>
                </c:pt>
                <c:pt idx="125">
                  <c:v>5965984.5</c:v>
                </c:pt>
                <c:pt idx="126">
                  <c:v>5963438.7000000002</c:v>
                </c:pt>
                <c:pt idx="127">
                  <c:v>5969540</c:v>
                </c:pt>
                <c:pt idx="128">
                  <c:v>5969293.2000000002</c:v>
                </c:pt>
                <c:pt idx="129">
                  <c:v>5971616</c:v>
                </c:pt>
                <c:pt idx="130">
                  <c:v>5974927</c:v>
                </c:pt>
                <c:pt idx="131">
                  <c:v>5976097.0999999996</c:v>
                </c:pt>
                <c:pt idx="132">
                  <c:v>5974090</c:v>
                </c:pt>
                <c:pt idx="133">
                  <c:v>5973390</c:v>
                </c:pt>
                <c:pt idx="134">
                  <c:v>5970640</c:v>
                </c:pt>
                <c:pt idx="135">
                  <c:v>5968560</c:v>
                </c:pt>
                <c:pt idx="136">
                  <c:v>5967750</c:v>
                </c:pt>
                <c:pt idx="137">
                  <c:v>5964859.7999999998</c:v>
                </c:pt>
                <c:pt idx="138">
                  <c:v>5971400</c:v>
                </c:pt>
                <c:pt idx="139">
                  <c:v>5970810</c:v>
                </c:pt>
                <c:pt idx="140">
                  <c:v>5973220</c:v>
                </c:pt>
                <c:pt idx="141">
                  <c:v>5976071.2000000002</c:v>
                </c:pt>
                <c:pt idx="142">
                  <c:v>5977408</c:v>
                </c:pt>
                <c:pt idx="143">
                  <c:v>5975530</c:v>
                </c:pt>
                <c:pt idx="144">
                  <c:v>5974480</c:v>
                </c:pt>
                <c:pt idx="145">
                  <c:v>5972090</c:v>
                </c:pt>
                <c:pt idx="146">
                  <c:v>5970130</c:v>
                </c:pt>
                <c:pt idx="147">
                  <c:v>5969520</c:v>
                </c:pt>
                <c:pt idx="148">
                  <c:v>5969494.4000000004</c:v>
                </c:pt>
                <c:pt idx="149">
                  <c:v>5973050</c:v>
                </c:pt>
                <c:pt idx="150">
                  <c:v>5972320</c:v>
                </c:pt>
                <c:pt idx="151">
                  <c:v>5977236.2000000002</c:v>
                </c:pt>
                <c:pt idx="152">
                  <c:v>5978746</c:v>
                </c:pt>
                <c:pt idx="153">
                  <c:v>5976970</c:v>
                </c:pt>
                <c:pt idx="154">
                  <c:v>5976270</c:v>
                </c:pt>
                <c:pt idx="155">
                  <c:v>5973540</c:v>
                </c:pt>
                <c:pt idx="156">
                  <c:v>5971730</c:v>
                </c:pt>
                <c:pt idx="157">
                  <c:v>5971090</c:v>
                </c:pt>
                <c:pt idx="158">
                  <c:v>5970460</c:v>
                </c:pt>
                <c:pt idx="159">
                  <c:v>5974062.7000000002</c:v>
                </c:pt>
                <c:pt idx="160">
                  <c:v>5973890</c:v>
                </c:pt>
                <c:pt idx="161">
                  <c:v>5978390.7999999998</c:v>
                </c:pt>
                <c:pt idx="162">
                  <c:v>5980535.7000000002</c:v>
                </c:pt>
                <c:pt idx="163">
                  <c:v>5979940</c:v>
                </c:pt>
                <c:pt idx="164">
                  <c:v>5978410</c:v>
                </c:pt>
                <c:pt idx="165">
                  <c:v>5977810</c:v>
                </c:pt>
                <c:pt idx="166">
                  <c:v>5974990</c:v>
                </c:pt>
                <c:pt idx="167">
                  <c:v>5973330</c:v>
                </c:pt>
                <c:pt idx="168">
                  <c:v>5972619</c:v>
                </c:pt>
                <c:pt idx="169">
                  <c:v>5972040</c:v>
                </c:pt>
                <c:pt idx="170">
                  <c:v>5975125.7999999998</c:v>
                </c:pt>
                <c:pt idx="171">
                  <c:v>5975940</c:v>
                </c:pt>
                <c:pt idx="172">
                  <c:v>5975245</c:v>
                </c:pt>
                <c:pt idx="173">
                  <c:v>5979545.4000000004</c:v>
                </c:pt>
                <c:pt idx="174">
                  <c:v>5979850</c:v>
                </c:pt>
                <c:pt idx="175">
                  <c:v>5979707.2999999998</c:v>
                </c:pt>
                <c:pt idx="176">
                  <c:v>5979350</c:v>
                </c:pt>
                <c:pt idx="177">
                  <c:v>5979110.2000000002</c:v>
                </c:pt>
                <c:pt idx="178">
                  <c:v>5976500</c:v>
                </c:pt>
                <c:pt idx="179">
                  <c:v>5974930</c:v>
                </c:pt>
                <c:pt idx="180">
                  <c:v>5973962</c:v>
                </c:pt>
                <c:pt idx="181">
                  <c:v>5973480</c:v>
                </c:pt>
                <c:pt idx="182">
                  <c:v>5976896.9000000004</c:v>
                </c:pt>
                <c:pt idx="183">
                  <c:v>5976260</c:v>
                </c:pt>
                <c:pt idx="184">
                  <c:v>5980700</c:v>
                </c:pt>
                <c:pt idx="185">
                  <c:v>5980770</c:v>
                </c:pt>
                <c:pt idx="186">
                  <c:v>5977710</c:v>
                </c:pt>
                <c:pt idx="187">
                  <c:v>5976226.5999999996</c:v>
                </c:pt>
                <c:pt idx="188">
                  <c:v>5975626</c:v>
                </c:pt>
                <c:pt idx="189">
                  <c:v>5974920</c:v>
                </c:pt>
                <c:pt idx="190">
                  <c:v>5977526.5999999996</c:v>
                </c:pt>
                <c:pt idx="191">
                  <c:v>5977131</c:v>
                </c:pt>
                <c:pt idx="192">
                  <c:v>5976363.7999999998</c:v>
                </c:pt>
                <c:pt idx="193">
                  <c:v>5978868.5</c:v>
                </c:pt>
                <c:pt idx="194">
                  <c:v>5978827</c:v>
                </c:pt>
                <c:pt idx="195">
                  <c:v>5978735</c:v>
                </c:pt>
                <c:pt idx="196">
                  <c:v>5978650</c:v>
                </c:pt>
                <c:pt idx="197">
                  <c:v>5978680</c:v>
                </c:pt>
                <c:pt idx="198">
                  <c:v>5978110</c:v>
                </c:pt>
                <c:pt idx="199">
                  <c:v>5977572</c:v>
                </c:pt>
              </c:numCache>
            </c:numRef>
          </c:yVal>
          <c:smooth val="0"/>
          <c:extLst>
            <c:ext xmlns:c16="http://schemas.microsoft.com/office/drawing/2014/chart" uri="{C3380CC4-5D6E-409C-BE32-E72D297353CC}">
              <c16:uniqueId val="{000000C8-DA20-49E3-8FA5-D6DB20D927F0}"/>
            </c:ext>
          </c:extLst>
        </c:ser>
        <c:dLbls>
          <c:showLegendKey val="0"/>
          <c:showVal val="0"/>
          <c:showCatName val="0"/>
          <c:showSerName val="0"/>
          <c:showPercent val="0"/>
          <c:showBubbleSize val="0"/>
        </c:dLbls>
        <c:axId val="714880495"/>
        <c:axId val="1"/>
      </c:scatterChart>
      <c:valAx>
        <c:axId val="714880495"/>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General" sourceLinked="1"/>
        <c:majorTickMark val="out"/>
        <c:minorTickMark val="in"/>
        <c:tickLblPos val="nextTo"/>
        <c:spPr>
          <a:noFill/>
          <a:ln w="9525" cap="flat" cmpd="sng" algn="ctr">
            <a:solidFill>
              <a:sysClr val="windowText" lastClr="000000"/>
            </a:solidFill>
            <a:round/>
          </a:ln>
          <a:effectLst/>
        </c:spPr>
        <c:txPr>
          <a:bodyPr rot="0" vert="horz"/>
          <a:lstStyle/>
          <a:p>
            <a:pPr>
              <a:defRPr sz="900" b="0" i="0" u="none" strike="noStrike" baseline="0">
                <a:solidFill>
                  <a:srgbClr val="333333"/>
                </a:solidFill>
                <a:latin typeface="Aptos Narrow"/>
                <a:ea typeface="Aptos Narrow"/>
                <a:cs typeface="Aptos Narrow"/>
              </a:defRPr>
            </a:pPr>
            <a:endParaRPr lang="en-US"/>
          </a:p>
        </c:txPr>
        <c:crossAx val="1"/>
        <c:crosses val="autoZero"/>
        <c:crossBetween val="midCat"/>
      </c:valAx>
      <c:valAx>
        <c:axId val="1"/>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General" sourceLinked="1"/>
        <c:majorTickMark val="out"/>
        <c:minorTickMark val="in"/>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4880495"/>
        <c:crosses val="autoZero"/>
        <c:crossBetween val="midCat"/>
      </c:valAx>
      <c:spPr>
        <a:noFill/>
        <a:ln w="25400">
          <a:solidFill>
            <a:schemeClr val="tx1"/>
          </a:solidFill>
        </a:ln>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Hs =2.5m - ULS</a:t>
            </a:r>
          </a:p>
        </c:rich>
      </c:tx>
      <c:overlay val="0"/>
      <c:spPr>
        <a:noFill/>
        <a:ln>
          <a:noFill/>
        </a:ln>
        <a:effectLst/>
      </c:spPr>
    </c:title>
    <c:autoTitleDeleted val="0"/>
    <c:plotArea>
      <c:layout/>
      <c:scatterChart>
        <c:scatterStyle val="lineMarker"/>
        <c:varyColors val="0"/>
        <c:ser>
          <c:idx val="0"/>
          <c:order val="0"/>
          <c:spPr>
            <a:ln w="38100" cap="rnd">
              <a:noFill/>
              <a:round/>
            </a:ln>
            <a:effectLst/>
          </c:spPr>
          <c:marker>
            <c:symbol val="circle"/>
            <c:size val="19"/>
            <c:spPr>
              <a:solidFill>
                <a:schemeClr val="accent1"/>
              </a:solidFill>
              <a:ln w="9525">
                <a:solidFill>
                  <a:schemeClr val="accent1"/>
                </a:solidFill>
              </a:ln>
              <a:effectLst/>
            </c:spPr>
          </c:marker>
          <c:dPt>
            <c:idx val="0"/>
            <c:marker>
              <c:spPr>
                <a:solidFill>
                  <a:srgbClr val="00649A"/>
                </a:solidFill>
                <a:ln w="9525">
                  <a:solidFill>
                    <a:schemeClr val="accent1"/>
                  </a:solidFill>
                </a:ln>
                <a:effectLst/>
              </c:spPr>
            </c:marker>
            <c:bubble3D val="0"/>
            <c:extLst>
              <c:ext xmlns:c16="http://schemas.microsoft.com/office/drawing/2014/chart" uri="{C3380CC4-5D6E-409C-BE32-E72D297353CC}">
                <c16:uniqueId val="{00000000-01DB-4C1D-91FD-AC022CE63907}"/>
              </c:ext>
            </c:extLst>
          </c:dPt>
          <c:dPt>
            <c:idx val="1"/>
            <c:marker>
              <c:spPr>
                <a:solidFill>
                  <a:srgbClr val="00807E"/>
                </a:solidFill>
                <a:ln w="9525">
                  <a:solidFill>
                    <a:schemeClr val="accent1"/>
                  </a:solidFill>
                </a:ln>
                <a:effectLst/>
              </c:spPr>
            </c:marker>
            <c:bubble3D val="0"/>
            <c:extLst>
              <c:ext xmlns:c16="http://schemas.microsoft.com/office/drawing/2014/chart" uri="{C3380CC4-5D6E-409C-BE32-E72D297353CC}">
                <c16:uniqueId val="{00000001-01DB-4C1D-91FD-AC022CE63907}"/>
              </c:ext>
            </c:extLst>
          </c:dPt>
          <c:dPt>
            <c:idx val="2"/>
            <c:marker>
              <c:spPr>
                <a:solidFill>
                  <a:srgbClr val="002AD4"/>
                </a:solidFill>
                <a:ln w="9525">
                  <a:solidFill>
                    <a:schemeClr val="accent1"/>
                  </a:solidFill>
                </a:ln>
                <a:effectLst/>
              </c:spPr>
            </c:marker>
            <c:bubble3D val="0"/>
            <c:extLst>
              <c:ext xmlns:c16="http://schemas.microsoft.com/office/drawing/2014/chart" uri="{C3380CC4-5D6E-409C-BE32-E72D297353CC}">
                <c16:uniqueId val="{00000002-01DB-4C1D-91FD-AC022CE63907}"/>
              </c:ext>
            </c:extLst>
          </c:dPt>
          <c:dPt>
            <c:idx val="3"/>
            <c:marker>
              <c:spPr>
                <a:solidFill>
                  <a:srgbClr val="0040BE"/>
                </a:solidFill>
                <a:ln w="9525">
                  <a:solidFill>
                    <a:schemeClr val="accent1"/>
                  </a:solidFill>
                </a:ln>
                <a:effectLst/>
              </c:spPr>
            </c:marker>
            <c:bubble3D val="0"/>
            <c:extLst>
              <c:ext xmlns:c16="http://schemas.microsoft.com/office/drawing/2014/chart" uri="{C3380CC4-5D6E-409C-BE32-E72D297353CC}">
                <c16:uniqueId val="{00000003-01DB-4C1D-91FD-AC022CE63907}"/>
              </c:ext>
            </c:extLst>
          </c:dPt>
          <c:dPt>
            <c:idx val="4"/>
            <c:marker>
              <c:spPr>
                <a:solidFill>
                  <a:srgbClr val="00629C"/>
                </a:solidFill>
                <a:ln w="9525">
                  <a:solidFill>
                    <a:schemeClr val="accent1"/>
                  </a:solidFill>
                </a:ln>
                <a:effectLst/>
              </c:spPr>
            </c:marker>
            <c:bubble3D val="0"/>
            <c:extLst>
              <c:ext xmlns:c16="http://schemas.microsoft.com/office/drawing/2014/chart" uri="{C3380CC4-5D6E-409C-BE32-E72D297353CC}">
                <c16:uniqueId val="{00000004-01DB-4C1D-91FD-AC022CE63907}"/>
              </c:ext>
            </c:extLst>
          </c:dPt>
          <c:dPt>
            <c:idx val="5"/>
            <c:marker>
              <c:spPr>
                <a:solidFill>
                  <a:srgbClr val="001CE2"/>
                </a:solidFill>
                <a:ln w="9525">
                  <a:solidFill>
                    <a:schemeClr val="accent1"/>
                  </a:solidFill>
                </a:ln>
                <a:effectLst/>
              </c:spPr>
            </c:marker>
            <c:bubble3D val="0"/>
            <c:extLst>
              <c:ext xmlns:c16="http://schemas.microsoft.com/office/drawing/2014/chart" uri="{C3380CC4-5D6E-409C-BE32-E72D297353CC}">
                <c16:uniqueId val="{00000005-01DB-4C1D-91FD-AC022CE63907}"/>
              </c:ext>
            </c:extLst>
          </c:dPt>
          <c:dPt>
            <c:idx val="6"/>
            <c:marker>
              <c:spPr>
                <a:solidFill>
                  <a:srgbClr val="00738B"/>
                </a:solidFill>
                <a:ln w="9525">
                  <a:solidFill>
                    <a:schemeClr val="accent1"/>
                  </a:solidFill>
                </a:ln>
                <a:effectLst/>
              </c:spPr>
            </c:marker>
            <c:bubble3D val="0"/>
            <c:extLst>
              <c:ext xmlns:c16="http://schemas.microsoft.com/office/drawing/2014/chart" uri="{C3380CC4-5D6E-409C-BE32-E72D297353CC}">
                <c16:uniqueId val="{00000006-01DB-4C1D-91FD-AC022CE63907}"/>
              </c:ext>
            </c:extLst>
          </c:dPt>
          <c:dPt>
            <c:idx val="7"/>
            <c:marker>
              <c:spPr>
                <a:solidFill>
                  <a:srgbClr val="00BF3F"/>
                </a:solidFill>
                <a:ln w="9525">
                  <a:solidFill>
                    <a:schemeClr val="accent1"/>
                  </a:solidFill>
                </a:ln>
                <a:effectLst/>
              </c:spPr>
            </c:marker>
            <c:bubble3D val="0"/>
            <c:extLst>
              <c:ext xmlns:c16="http://schemas.microsoft.com/office/drawing/2014/chart" uri="{C3380CC4-5D6E-409C-BE32-E72D297353CC}">
                <c16:uniqueId val="{00000007-01DB-4C1D-91FD-AC022CE63907}"/>
              </c:ext>
            </c:extLst>
          </c:dPt>
          <c:dPt>
            <c:idx val="8"/>
            <c:marker>
              <c:spPr>
                <a:solidFill>
                  <a:srgbClr val="00A35B"/>
                </a:solidFill>
                <a:ln w="9525">
                  <a:solidFill>
                    <a:schemeClr val="accent1"/>
                  </a:solidFill>
                </a:ln>
                <a:effectLst/>
              </c:spPr>
            </c:marker>
            <c:bubble3D val="0"/>
            <c:extLst>
              <c:ext xmlns:c16="http://schemas.microsoft.com/office/drawing/2014/chart" uri="{C3380CC4-5D6E-409C-BE32-E72D297353CC}">
                <c16:uniqueId val="{00000008-01DB-4C1D-91FD-AC022CE63907}"/>
              </c:ext>
            </c:extLst>
          </c:dPt>
          <c:dPt>
            <c:idx val="9"/>
            <c:marker>
              <c:spPr>
                <a:solidFill>
                  <a:srgbClr val="0045B9"/>
                </a:solidFill>
                <a:ln w="9525">
                  <a:solidFill>
                    <a:schemeClr val="accent1"/>
                  </a:solidFill>
                </a:ln>
                <a:effectLst/>
              </c:spPr>
            </c:marker>
            <c:bubble3D val="0"/>
            <c:extLst>
              <c:ext xmlns:c16="http://schemas.microsoft.com/office/drawing/2014/chart" uri="{C3380CC4-5D6E-409C-BE32-E72D297353CC}">
                <c16:uniqueId val="{00000009-01DB-4C1D-91FD-AC022CE63907}"/>
              </c:ext>
            </c:extLst>
          </c:dPt>
          <c:dPt>
            <c:idx val="10"/>
            <c:marker>
              <c:spPr>
                <a:solidFill>
                  <a:srgbClr val="0023DB"/>
                </a:solidFill>
                <a:ln w="9525">
                  <a:solidFill>
                    <a:schemeClr val="accent1"/>
                  </a:solidFill>
                </a:ln>
                <a:effectLst/>
              </c:spPr>
            </c:marker>
            <c:bubble3D val="0"/>
            <c:extLst>
              <c:ext xmlns:c16="http://schemas.microsoft.com/office/drawing/2014/chart" uri="{C3380CC4-5D6E-409C-BE32-E72D297353CC}">
                <c16:uniqueId val="{0000000A-01DB-4C1D-91FD-AC022CE63907}"/>
              </c:ext>
            </c:extLst>
          </c:dPt>
          <c:dPt>
            <c:idx val="11"/>
            <c:marker>
              <c:spPr>
                <a:solidFill>
                  <a:srgbClr val="00619D"/>
                </a:solidFill>
                <a:ln w="9525">
                  <a:solidFill>
                    <a:schemeClr val="accent1"/>
                  </a:solidFill>
                </a:ln>
                <a:effectLst/>
              </c:spPr>
            </c:marker>
            <c:bubble3D val="0"/>
            <c:extLst>
              <c:ext xmlns:c16="http://schemas.microsoft.com/office/drawing/2014/chart" uri="{C3380CC4-5D6E-409C-BE32-E72D297353CC}">
                <c16:uniqueId val="{0000000B-01DB-4C1D-91FD-AC022CE63907}"/>
              </c:ext>
            </c:extLst>
          </c:dPt>
          <c:dPt>
            <c:idx val="12"/>
            <c:marker>
              <c:spPr>
                <a:solidFill>
                  <a:srgbClr val="00946A"/>
                </a:solidFill>
                <a:ln w="9525">
                  <a:solidFill>
                    <a:schemeClr val="accent1"/>
                  </a:solidFill>
                </a:ln>
                <a:effectLst/>
              </c:spPr>
            </c:marker>
            <c:bubble3D val="0"/>
            <c:extLst>
              <c:ext xmlns:c16="http://schemas.microsoft.com/office/drawing/2014/chart" uri="{C3380CC4-5D6E-409C-BE32-E72D297353CC}">
                <c16:uniqueId val="{0000000C-01DB-4C1D-91FD-AC022CE63907}"/>
              </c:ext>
            </c:extLst>
          </c:dPt>
          <c:dPt>
            <c:idx val="13"/>
            <c:marker>
              <c:spPr>
                <a:solidFill>
                  <a:srgbClr val="008C72"/>
                </a:solidFill>
                <a:ln w="9525">
                  <a:solidFill>
                    <a:schemeClr val="accent1"/>
                  </a:solidFill>
                </a:ln>
                <a:effectLst/>
              </c:spPr>
            </c:marker>
            <c:bubble3D val="0"/>
            <c:extLst>
              <c:ext xmlns:c16="http://schemas.microsoft.com/office/drawing/2014/chart" uri="{C3380CC4-5D6E-409C-BE32-E72D297353CC}">
                <c16:uniqueId val="{0000000D-01DB-4C1D-91FD-AC022CE63907}"/>
              </c:ext>
            </c:extLst>
          </c:dPt>
          <c:dPt>
            <c:idx val="14"/>
            <c:marker>
              <c:spPr>
                <a:solidFill>
                  <a:srgbClr val="00A15D"/>
                </a:solidFill>
                <a:ln w="9525">
                  <a:solidFill>
                    <a:schemeClr val="accent1"/>
                  </a:solidFill>
                </a:ln>
                <a:effectLst/>
              </c:spPr>
            </c:marker>
            <c:bubble3D val="0"/>
            <c:extLst>
              <c:ext xmlns:c16="http://schemas.microsoft.com/office/drawing/2014/chart" uri="{C3380CC4-5D6E-409C-BE32-E72D297353CC}">
                <c16:uniqueId val="{0000000E-01DB-4C1D-91FD-AC022CE63907}"/>
              </c:ext>
            </c:extLst>
          </c:dPt>
          <c:dPt>
            <c:idx val="15"/>
            <c:marker>
              <c:spPr>
                <a:solidFill>
                  <a:srgbClr val="00EF0F"/>
                </a:solidFill>
                <a:ln w="9525">
                  <a:solidFill>
                    <a:schemeClr val="accent1"/>
                  </a:solidFill>
                </a:ln>
                <a:effectLst/>
              </c:spPr>
            </c:marker>
            <c:bubble3D val="0"/>
            <c:extLst>
              <c:ext xmlns:c16="http://schemas.microsoft.com/office/drawing/2014/chart" uri="{C3380CC4-5D6E-409C-BE32-E72D297353CC}">
                <c16:uniqueId val="{0000000F-01DB-4C1D-91FD-AC022CE63907}"/>
              </c:ext>
            </c:extLst>
          </c:dPt>
          <c:dPt>
            <c:idx val="16"/>
            <c:marker>
              <c:spPr>
                <a:solidFill>
                  <a:srgbClr val="008678"/>
                </a:solidFill>
                <a:ln w="9525">
                  <a:solidFill>
                    <a:schemeClr val="accent1"/>
                  </a:solidFill>
                </a:ln>
                <a:effectLst/>
              </c:spPr>
            </c:marker>
            <c:bubble3D val="0"/>
            <c:extLst>
              <c:ext xmlns:c16="http://schemas.microsoft.com/office/drawing/2014/chart" uri="{C3380CC4-5D6E-409C-BE32-E72D297353CC}">
                <c16:uniqueId val="{00000010-01DB-4C1D-91FD-AC022CE63907}"/>
              </c:ext>
            </c:extLst>
          </c:dPt>
          <c:dPt>
            <c:idx val="17"/>
            <c:marker>
              <c:spPr>
                <a:solidFill>
                  <a:srgbClr val="007A84"/>
                </a:solidFill>
                <a:ln w="9525">
                  <a:solidFill>
                    <a:schemeClr val="accent1"/>
                  </a:solidFill>
                </a:ln>
                <a:effectLst/>
              </c:spPr>
            </c:marker>
            <c:bubble3D val="0"/>
            <c:extLst>
              <c:ext xmlns:c16="http://schemas.microsoft.com/office/drawing/2014/chart" uri="{C3380CC4-5D6E-409C-BE32-E72D297353CC}">
                <c16:uniqueId val="{00000011-01DB-4C1D-91FD-AC022CE63907}"/>
              </c:ext>
            </c:extLst>
          </c:dPt>
          <c:dPt>
            <c:idx val="18"/>
            <c:marker>
              <c:spPr>
                <a:solidFill>
                  <a:srgbClr val="00B549"/>
                </a:solidFill>
                <a:ln w="9525">
                  <a:solidFill>
                    <a:schemeClr val="accent1"/>
                  </a:solidFill>
                </a:ln>
                <a:effectLst/>
              </c:spPr>
            </c:marker>
            <c:bubble3D val="0"/>
            <c:extLst>
              <c:ext xmlns:c16="http://schemas.microsoft.com/office/drawing/2014/chart" uri="{C3380CC4-5D6E-409C-BE32-E72D297353CC}">
                <c16:uniqueId val="{00000012-01DB-4C1D-91FD-AC022CE63907}"/>
              </c:ext>
            </c:extLst>
          </c:dPt>
          <c:dPt>
            <c:idx val="19"/>
            <c:marker>
              <c:spPr>
                <a:solidFill>
                  <a:srgbClr val="13EB00"/>
                </a:solidFill>
                <a:ln w="9525">
                  <a:solidFill>
                    <a:schemeClr val="accent1"/>
                  </a:solidFill>
                </a:ln>
                <a:effectLst/>
              </c:spPr>
            </c:marker>
            <c:bubble3D val="0"/>
            <c:extLst>
              <c:ext xmlns:c16="http://schemas.microsoft.com/office/drawing/2014/chart" uri="{C3380CC4-5D6E-409C-BE32-E72D297353CC}">
                <c16:uniqueId val="{00000013-01DB-4C1D-91FD-AC022CE63907}"/>
              </c:ext>
            </c:extLst>
          </c:dPt>
          <c:dPt>
            <c:idx val="20"/>
            <c:marker>
              <c:spPr>
                <a:solidFill>
                  <a:srgbClr val="006797"/>
                </a:solidFill>
                <a:ln w="9525">
                  <a:solidFill>
                    <a:schemeClr val="accent1"/>
                  </a:solidFill>
                </a:ln>
                <a:effectLst/>
              </c:spPr>
            </c:marker>
            <c:bubble3D val="0"/>
            <c:extLst>
              <c:ext xmlns:c16="http://schemas.microsoft.com/office/drawing/2014/chart" uri="{C3380CC4-5D6E-409C-BE32-E72D297353CC}">
                <c16:uniqueId val="{00000014-01DB-4C1D-91FD-AC022CE63907}"/>
              </c:ext>
            </c:extLst>
          </c:dPt>
          <c:dPt>
            <c:idx val="21"/>
            <c:marker>
              <c:spPr>
                <a:solidFill>
                  <a:srgbClr val="00AE50"/>
                </a:solidFill>
                <a:ln w="9525">
                  <a:solidFill>
                    <a:schemeClr val="accent1"/>
                  </a:solidFill>
                </a:ln>
                <a:effectLst/>
              </c:spPr>
            </c:marker>
            <c:bubble3D val="0"/>
            <c:extLst>
              <c:ext xmlns:c16="http://schemas.microsoft.com/office/drawing/2014/chart" uri="{C3380CC4-5D6E-409C-BE32-E72D297353CC}">
                <c16:uniqueId val="{00000015-01DB-4C1D-91FD-AC022CE63907}"/>
              </c:ext>
            </c:extLst>
          </c:dPt>
          <c:dPt>
            <c:idx val="22"/>
            <c:marker>
              <c:spPr>
                <a:solidFill>
                  <a:srgbClr val="006E90"/>
                </a:solidFill>
                <a:ln w="9525">
                  <a:solidFill>
                    <a:schemeClr val="accent1"/>
                  </a:solidFill>
                </a:ln>
                <a:effectLst/>
              </c:spPr>
            </c:marker>
            <c:bubble3D val="0"/>
            <c:extLst>
              <c:ext xmlns:c16="http://schemas.microsoft.com/office/drawing/2014/chart" uri="{C3380CC4-5D6E-409C-BE32-E72D297353CC}">
                <c16:uniqueId val="{00000016-01DB-4C1D-91FD-AC022CE63907}"/>
              </c:ext>
            </c:extLst>
          </c:dPt>
          <c:dPt>
            <c:idx val="23"/>
            <c:marker>
              <c:spPr>
                <a:solidFill>
                  <a:srgbClr val="005F9F"/>
                </a:solidFill>
                <a:ln w="9525">
                  <a:solidFill>
                    <a:schemeClr val="accent1"/>
                  </a:solidFill>
                </a:ln>
                <a:effectLst/>
              </c:spPr>
            </c:marker>
            <c:bubble3D val="0"/>
            <c:extLst>
              <c:ext xmlns:c16="http://schemas.microsoft.com/office/drawing/2014/chart" uri="{C3380CC4-5D6E-409C-BE32-E72D297353CC}">
                <c16:uniqueId val="{00000017-01DB-4C1D-91FD-AC022CE63907}"/>
              </c:ext>
            </c:extLst>
          </c:dPt>
          <c:dPt>
            <c:idx val="24"/>
            <c:marker>
              <c:spPr>
                <a:solidFill>
                  <a:srgbClr val="008876"/>
                </a:solidFill>
                <a:ln w="9525">
                  <a:solidFill>
                    <a:schemeClr val="accent1"/>
                  </a:solidFill>
                </a:ln>
                <a:effectLst/>
              </c:spPr>
            </c:marker>
            <c:bubble3D val="0"/>
            <c:extLst>
              <c:ext xmlns:c16="http://schemas.microsoft.com/office/drawing/2014/chart" uri="{C3380CC4-5D6E-409C-BE32-E72D297353CC}">
                <c16:uniqueId val="{00000018-01DB-4C1D-91FD-AC022CE63907}"/>
              </c:ext>
            </c:extLst>
          </c:dPt>
          <c:dPt>
            <c:idx val="25"/>
            <c:marker>
              <c:spPr>
                <a:solidFill>
                  <a:srgbClr val="007C82"/>
                </a:solidFill>
                <a:ln w="9525">
                  <a:solidFill>
                    <a:schemeClr val="accent1"/>
                  </a:solidFill>
                </a:ln>
                <a:effectLst/>
              </c:spPr>
            </c:marker>
            <c:bubble3D val="0"/>
            <c:extLst>
              <c:ext xmlns:c16="http://schemas.microsoft.com/office/drawing/2014/chart" uri="{C3380CC4-5D6E-409C-BE32-E72D297353CC}">
                <c16:uniqueId val="{00000019-01DB-4C1D-91FD-AC022CE63907}"/>
              </c:ext>
            </c:extLst>
          </c:dPt>
          <c:dPt>
            <c:idx val="26"/>
            <c:marker>
              <c:spPr>
                <a:solidFill>
                  <a:srgbClr val="00C13D"/>
                </a:solidFill>
                <a:ln w="9525">
                  <a:solidFill>
                    <a:schemeClr val="accent1"/>
                  </a:solidFill>
                </a:ln>
                <a:effectLst/>
              </c:spPr>
            </c:marker>
            <c:bubble3D val="0"/>
            <c:extLst>
              <c:ext xmlns:c16="http://schemas.microsoft.com/office/drawing/2014/chart" uri="{C3380CC4-5D6E-409C-BE32-E72D297353CC}">
                <c16:uniqueId val="{0000001A-01DB-4C1D-91FD-AC022CE63907}"/>
              </c:ext>
            </c:extLst>
          </c:dPt>
          <c:dPt>
            <c:idx val="27"/>
            <c:marker>
              <c:spPr>
                <a:solidFill>
                  <a:srgbClr val="0035C9"/>
                </a:solidFill>
                <a:ln w="9525">
                  <a:solidFill>
                    <a:schemeClr val="accent1"/>
                  </a:solidFill>
                </a:ln>
                <a:effectLst/>
              </c:spPr>
            </c:marker>
            <c:bubble3D val="0"/>
            <c:extLst>
              <c:ext xmlns:c16="http://schemas.microsoft.com/office/drawing/2014/chart" uri="{C3380CC4-5D6E-409C-BE32-E72D297353CC}">
                <c16:uniqueId val="{0000001B-01DB-4C1D-91FD-AC022CE63907}"/>
              </c:ext>
            </c:extLst>
          </c:dPt>
          <c:dPt>
            <c:idx val="28"/>
            <c:marker>
              <c:spPr>
                <a:solidFill>
                  <a:srgbClr val="24DA00"/>
                </a:solidFill>
                <a:ln w="9525">
                  <a:solidFill>
                    <a:schemeClr val="accent1"/>
                  </a:solidFill>
                </a:ln>
                <a:effectLst/>
              </c:spPr>
            </c:marker>
            <c:bubble3D val="0"/>
            <c:extLst>
              <c:ext xmlns:c16="http://schemas.microsoft.com/office/drawing/2014/chart" uri="{C3380CC4-5D6E-409C-BE32-E72D297353CC}">
                <c16:uniqueId val="{0000001C-01DB-4C1D-91FD-AC022CE63907}"/>
              </c:ext>
            </c:extLst>
          </c:dPt>
          <c:dPt>
            <c:idx val="29"/>
            <c:marker>
              <c:spPr>
                <a:solidFill>
                  <a:srgbClr val="005BA3"/>
                </a:solidFill>
                <a:ln w="9525">
                  <a:solidFill>
                    <a:schemeClr val="accent1"/>
                  </a:solidFill>
                </a:ln>
                <a:effectLst/>
              </c:spPr>
            </c:marker>
            <c:bubble3D val="0"/>
            <c:extLst>
              <c:ext xmlns:c16="http://schemas.microsoft.com/office/drawing/2014/chart" uri="{C3380CC4-5D6E-409C-BE32-E72D297353CC}">
                <c16:uniqueId val="{0000001D-01DB-4C1D-91FD-AC022CE63907}"/>
              </c:ext>
            </c:extLst>
          </c:dPt>
          <c:dPt>
            <c:idx val="30"/>
            <c:marker>
              <c:spPr>
                <a:solidFill>
                  <a:srgbClr val="00A658"/>
                </a:solidFill>
                <a:ln w="9525">
                  <a:solidFill>
                    <a:schemeClr val="accent1"/>
                  </a:solidFill>
                </a:ln>
                <a:effectLst/>
              </c:spPr>
            </c:marker>
            <c:bubble3D val="0"/>
            <c:extLst>
              <c:ext xmlns:c16="http://schemas.microsoft.com/office/drawing/2014/chart" uri="{C3380CC4-5D6E-409C-BE32-E72D297353CC}">
                <c16:uniqueId val="{0000001E-01DB-4C1D-91FD-AC022CE63907}"/>
              </c:ext>
            </c:extLst>
          </c:dPt>
          <c:dPt>
            <c:idx val="31"/>
            <c:marker>
              <c:spPr>
                <a:solidFill>
                  <a:srgbClr val="0000FF"/>
                </a:solidFill>
                <a:ln w="9525">
                  <a:solidFill>
                    <a:schemeClr val="accent1"/>
                  </a:solidFill>
                </a:ln>
                <a:effectLst/>
              </c:spPr>
            </c:marker>
            <c:bubble3D val="0"/>
            <c:extLst>
              <c:ext xmlns:c16="http://schemas.microsoft.com/office/drawing/2014/chart" uri="{C3380CC4-5D6E-409C-BE32-E72D297353CC}">
                <c16:uniqueId val="{0000001F-01DB-4C1D-91FD-AC022CE63907}"/>
              </c:ext>
            </c:extLst>
          </c:dPt>
          <c:dPt>
            <c:idx val="32"/>
            <c:marker>
              <c:spPr>
                <a:solidFill>
                  <a:srgbClr val="00DF1F"/>
                </a:solidFill>
                <a:ln w="9525">
                  <a:solidFill>
                    <a:schemeClr val="accent1"/>
                  </a:solidFill>
                </a:ln>
                <a:effectLst/>
              </c:spPr>
            </c:marker>
            <c:bubble3D val="0"/>
            <c:extLst>
              <c:ext xmlns:c16="http://schemas.microsoft.com/office/drawing/2014/chart" uri="{C3380CC4-5D6E-409C-BE32-E72D297353CC}">
                <c16:uniqueId val="{00000020-01DB-4C1D-91FD-AC022CE63907}"/>
              </c:ext>
            </c:extLst>
          </c:dPt>
          <c:dPt>
            <c:idx val="33"/>
            <c:marker>
              <c:spPr>
                <a:solidFill>
                  <a:srgbClr val="008E70"/>
                </a:solidFill>
                <a:ln w="9525">
                  <a:solidFill>
                    <a:schemeClr val="accent1"/>
                  </a:solidFill>
                </a:ln>
                <a:effectLst/>
              </c:spPr>
            </c:marker>
            <c:bubble3D val="0"/>
            <c:extLst>
              <c:ext xmlns:c16="http://schemas.microsoft.com/office/drawing/2014/chart" uri="{C3380CC4-5D6E-409C-BE32-E72D297353CC}">
                <c16:uniqueId val="{00000021-01DB-4C1D-91FD-AC022CE63907}"/>
              </c:ext>
            </c:extLst>
          </c:dPt>
          <c:dPt>
            <c:idx val="34"/>
            <c:marker>
              <c:spPr>
                <a:solidFill>
                  <a:srgbClr val="0029D5"/>
                </a:solidFill>
                <a:ln w="9525">
                  <a:solidFill>
                    <a:schemeClr val="accent1"/>
                  </a:solidFill>
                </a:ln>
                <a:effectLst/>
              </c:spPr>
            </c:marker>
            <c:bubble3D val="0"/>
            <c:extLst>
              <c:ext xmlns:c16="http://schemas.microsoft.com/office/drawing/2014/chart" uri="{C3380CC4-5D6E-409C-BE32-E72D297353CC}">
                <c16:uniqueId val="{00000022-01DB-4C1D-91FD-AC022CE63907}"/>
              </c:ext>
            </c:extLst>
          </c:dPt>
          <c:dPt>
            <c:idx val="35"/>
            <c:marker>
              <c:spPr>
                <a:solidFill>
                  <a:srgbClr val="00BD41"/>
                </a:solidFill>
                <a:ln w="9525">
                  <a:solidFill>
                    <a:schemeClr val="accent1"/>
                  </a:solidFill>
                </a:ln>
                <a:effectLst/>
              </c:spPr>
            </c:marker>
            <c:bubble3D val="0"/>
            <c:extLst>
              <c:ext xmlns:c16="http://schemas.microsoft.com/office/drawing/2014/chart" uri="{C3380CC4-5D6E-409C-BE32-E72D297353CC}">
                <c16:uniqueId val="{00000023-01DB-4C1D-91FD-AC022CE63907}"/>
              </c:ext>
            </c:extLst>
          </c:dPt>
          <c:dPt>
            <c:idx val="36"/>
            <c:marker>
              <c:spPr>
                <a:solidFill>
                  <a:srgbClr val="007D81"/>
                </a:solidFill>
                <a:ln w="9525">
                  <a:solidFill>
                    <a:schemeClr val="accent1"/>
                  </a:solidFill>
                </a:ln>
                <a:effectLst/>
              </c:spPr>
            </c:marker>
            <c:bubble3D val="0"/>
            <c:extLst>
              <c:ext xmlns:c16="http://schemas.microsoft.com/office/drawing/2014/chart" uri="{C3380CC4-5D6E-409C-BE32-E72D297353CC}">
                <c16:uniqueId val="{00000024-01DB-4C1D-91FD-AC022CE63907}"/>
              </c:ext>
            </c:extLst>
          </c:dPt>
          <c:dPt>
            <c:idx val="37"/>
            <c:marker>
              <c:spPr>
                <a:solidFill>
                  <a:srgbClr val="00827C"/>
                </a:solidFill>
                <a:ln w="9525">
                  <a:solidFill>
                    <a:schemeClr val="accent1"/>
                  </a:solidFill>
                </a:ln>
                <a:effectLst/>
              </c:spPr>
            </c:marker>
            <c:bubble3D val="0"/>
            <c:extLst>
              <c:ext xmlns:c16="http://schemas.microsoft.com/office/drawing/2014/chart" uri="{C3380CC4-5D6E-409C-BE32-E72D297353CC}">
                <c16:uniqueId val="{00000025-01DB-4C1D-91FD-AC022CE63907}"/>
              </c:ext>
            </c:extLst>
          </c:dPt>
          <c:dPt>
            <c:idx val="38"/>
            <c:marker>
              <c:spPr>
                <a:solidFill>
                  <a:srgbClr val="003AC4"/>
                </a:solidFill>
                <a:ln w="9525">
                  <a:solidFill>
                    <a:schemeClr val="accent1"/>
                  </a:solidFill>
                </a:ln>
                <a:effectLst/>
              </c:spPr>
            </c:marker>
            <c:bubble3D val="0"/>
            <c:extLst>
              <c:ext xmlns:c16="http://schemas.microsoft.com/office/drawing/2014/chart" uri="{C3380CC4-5D6E-409C-BE32-E72D297353CC}">
                <c16:uniqueId val="{00000026-01DB-4C1D-91FD-AC022CE63907}"/>
              </c:ext>
            </c:extLst>
          </c:dPt>
          <c:dPt>
            <c:idx val="39"/>
            <c:marker>
              <c:spPr>
                <a:solidFill>
                  <a:srgbClr val="009C62"/>
                </a:solidFill>
                <a:ln w="9525">
                  <a:solidFill>
                    <a:schemeClr val="accent1"/>
                  </a:solidFill>
                </a:ln>
                <a:effectLst/>
              </c:spPr>
            </c:marker>
            <c:bubble3D val="0"/>
            <c:extLst>
              <c:ext xmlns:c16="http://schemas.microsoft.com/office/drawing/2014/chart" uri="{C3380CC4-5D6E-409C-BE32-E72D297353CC}">
                <c16:uniqueId val="{00000027-01DB-4C1D-91FD-AC022CE63907}"/>
              </c:ext>
            </c:extLst>
          </c:dPt>
          <c:dPt>
            <c:idx val="40"/>
            <c:marker>
              <c:spPr>
                <a:solidFill>
                  <a:srgbClr val="009866"/>
                </a:solidFill>
                <a:ln w="9525">
                  <a:solidFill>
                    <a:schemeClr val="accent1"/>
                  </a:solidFill>
                </a:ln>
                <a:effectLst/>
              </c:spPr>
            </c:marker>
            <c:bubble3D val="0"/>
            <c:extLst>
              <c:ext xmlns:c16="http://schemas.microsoft.com/office/drawing/2014/chart" uri="{C3380CC4-5D6E-409C-BE32-E72D297353CC}">
                <c16:uniqueId val="{00000028-01DB-4C1D-91FD-AC022CE63907}"/>
              </c:ext>
            </c:extLst>
          </c:dPt>
          <c:dPt>
            <c:idx val="41"/>
            <c:marker>
              <c:spPr>
                <a:solidFill>
                  <a:srgbClr val="009D61"/>
                </a:solidFill>
                <a:ln w="9525">
                  <a:solidFill>
                    <a:schemeClr val="accent1"/>
                  </a:solidFill>
                </a:ln>
                <a:effectLst/>
              </c:spPr>
            </c:marker>
            <c:bubble3D val="0"/>
            <c:extLst>
              <c:ext xmlns:c16="http://schemas.microsoft.com/office/drawing/2014/chart" uri="{C3380CC4-5D6E-409C-BE32-E72D297353CC}">
                <c16:uniqueId val="{00000029-01DB-4C1D-91FD-AC022CE63907}"/>
              </c:ext>
            </c:extLst>
          </c:dPt>
          <c:dPt>
            <c:idx val="42"/>
            <c:marker>
              <c:spPr>
                <a:solidFill>
                  <a:srgbClr val="0033CB"/>
                </a:solidFill>
                <a:ln w="9525">
                  <a:solidFill>
                    <a:schemeClr val="accent1"/>
                  </a:solidFill>
                </a:ln>
                <a:effectLst/>
              </c:spPr>
            </c:marker>
            <c:bubble3D val="0"/>
            <c:extLst>
              <c:ext xmlns:c16="http://schemas.microsoft.com/office/drawing/2014/chart" uri="{C3380CC4-5D6E-409C-BE32-E72D297353CC}">
                <c16:uniqueId val="{0000002A-01DB-4C1D-91FD-AC022CE63907}"/>
              </c:ext>
            </c:extLst>
          </c:dPt>
          <c:dPt>
            <c:idx val="43"/>
            <c:marker>
              <c:spPr>
                <a:solidFill>
                  <a:srgbClr val="00A35B"/>
                </a:solidFill>
                <a:ln w="9525">
                  <a:solidFill>
                    <a:schemeClr val="accent1"/>
                  </a:solidFill>
                </a:ln>
                <a:effectLst/>
              </c:spPr>
            </c:marker>
            <c:bubble3D val="0"/>
            <c:extLst>
              <c:ext xmlns:c16="http://schemas.microsoft.com/office/drawing/2014/chart" uri="{C3380CC4-5D6E-409C-BE32-E72D297353CC}">
                <c16:uniqueId val="{0000002B-01DB-4C1D-91FD-AC022CE63907}"/>
              </c:ext>
            </c:extLst>
          </c:dPt>
          <c:dPt>
            <c:idx val="44"/>
            <c:marker>
              <c:spPr>
                <a:solidFill>
                  <a:srgbClr val="0000FF"/>
                </a:solidFill>
                <a:ln w="9525">
                  <a:solidFill>
                    <a:schemeClr val="accent1"/>
                  </a:solidFill>
                </a:ln>
                <a:effectLst/>
              </c:spPr>
            </c:marker>
            <c:bubble3D val="0"/>
            <c:extLst>
              <c:ext xmlns:c16="http://schemas.microsoft.com/office/drawing/2014/chart" uri="{C3380CC4-5D6E-409C-BE32-E72D297353CC}">
                <c16:uniqueId val="{0000002C-01DB-4C1D-91FD-AC022CE63907}"/>
              </c:ext>
            </c:extLst>
          </c:dPt>
          <c:dPt>
            <c:idx val="45"/>
            <c:marker>
              <c:spPr>
                <a:solidFill>
                  <a:srgbClr val="15E900"/>
                </a:solidFill>
                <a:ln w="9525">
                  <a:solidFill>
                    <a:schemeClr val="accent1"/>
                  </a:solidFill>
                </a:ln>
                <a:effectLst/>
              </c:spPr>
            </c:marker>
            <c:bubble3D val="0"/>
            <c:extLst>
              <c:ext xmlns:c16="http://schemas.microsoft.com/office/drawing/2014/chart" uri="{C3380CC4-5D6E-409C-BE32-E72D297353CC}">
                <c16:uniqueId val="{0000002D-01DB-4C1D-91FD-AC022CE63907}"/>
              </c:ext>
            </c:extLst>
          </c:dPt>
          <c:dPt>
            <c:idx val="46"/>
            <c:marker>
              <c:spPr>
                <a:solidFill>
                  <a:srgbClr val="008C72"/>
                </a:solidFill>
                <a:ln w="9525">
                  <a:solidFill>
                    <a:schemeClr val="accent1"/>
                  </a:solidFill>
                </a:ln>
                <a:effectLst/>
              </c:spPr>
            </c:marker>
            <c:bubble3D val="0"/>
            <c:extLst>
              <c:ext xmlns:c16="http://schemas.microsoft.com/office/drawing/2014/chart" uri="{C3380CC4-5D6E-409C-BE32-E72D297353CC}">
                <c16:uniqueId val="{0000002E-01DB-4C1D-91FD-AC022CE63907}"/>
              </c:ext>
            </c:extLst>
          </c:dPt>
          <c:dPt>
            <c:idx val="47"/>
            <c:marker>
              <c:spPr>
                <a:solidFill>
                  <a:srgbClr val="00C638"/>
                </a:solidFill>
                <a:ln w="9525">
                  <a:solidFill>
                    <a:schemeClr val="accent1"/>
                  </a:solidFill>
                </a:ln>
                <a:effectLst/>
              </c:spPr>
            </c:marker>
            <c:bubble3D val="0"/>
            <c:extLst>
              <c:ext xmlns:c16="http://schemas.microsoft.com/office/drawing/2014/chart" uri="{C3380CC4-5D6E-409C-BE32-E72D297353CC}">
                <c16:uniqueId val="{0000002F-01DB-4C1D-91FD-AC022CE63907}"/>
              </c:ext>
            </c:extLst>
          </c:dPt>
          <c:dPt>
            <c:idx val="48"/>
            <c:marker>
              <c:spPr>
                <a:solidFill>
                  <a:srgbClr val="00807E"/>
                </a:solidFill>
                <a:ln w="9525">
                  <a:solidFill>
                    <a:schemeClr val="accent1"/>
                  </a:solidFill>
                </a:ln>
                <a:effectLst/>
              </c:spPr>
            </c:marker>
            <c:bubble3D val="0"/>
            <c:extLst>
              <c:ext xmlns:c16="http://schemas.microsoft.com/office/drawing/2014/chart" uri="{C3380CC4-5D6E-409C-BE32-E72D297353CC}">
                <c16:uniqueId val="{00000030-01DB-4C1D-91FD-AC022CE63907}"/>
              </c:ext>
            </c:extLst>
          </c:dPt>
          <c:dPt>
            <c:idx val="49"/>
            <c:marker>
              <c:spPr>
                <a:solidFill>
                  <a:srgbClr val="00AB53"/>
                </a:solidFill>
                <a:ln w="9525">
                  <a:solidFill>
                    <a:schemeClr val="accent1"/>
                  </a:solidFill>
                </a:ln>
                <a:effectLst/>
              </c:spPr>
            </c:marker>
            <c:bubble3D val="0"/>
            <c:extLst>
              <c:ext xmlns:c16="http://schemas.microsoft.com/office/drawing/2014/chart" uri="{C3380CC4-5D6E-409C-BE32-E72D297353CC}">
                <c16:uniqueId val="{00000031-01DB-4C1D-91FD-AC022CE63907}"/>
              </c:ext>
            </c:extLst>
          </c:dPt>
          <c:dPt>
            <c:idx val="50"/>
            <c:marker>
              <c:spPr>
                <a:solidFill>
                  <a:srgbClr val="006F8F"/>
                </a:solidFill>
                <a:ln w="9525">
                  <a:solidFill>
                    <a:schemeClr val="accent1"/>
                  </a:solidFill>
                </a:ln>
                <a:effectLst/>
              </c:spPr>
            </c:marker>
            <c:bubble3D val="0"/>
            <c:extLst>
              <c:ext xmlns:c16="http://schemas.microsoft.com/office/drawing/2014/chart" uri="{C3380CC4-5D6E-409C-BE32-E72D297353CC}">
                <c16:uniqueId val="{00000032-01DB-4C1D-91FD-AC022CE63907}"/>
              </c:ext>
            </c:extLst>
          </c:dPt>
          <c:dPt>
            <c:idx val="51"/>
            <c:marker>
              <c:spPr>
                <a:solidFill>
                  <a:srgbClr val="002AD4"/>
                </a:solidFill>
                <a:ln w="9525">
                  <a:solidFill>
                    <a:schemeClr val="accent1"/>
                  </a:solidFill>
                </a:ln>
                <a:effectLst/>
              </c:spPr>
            </c:marker>
            <c:bubble3D val="0"/>
            <c:extLst>
              <c:ext xmlns:c16="http://schemas.microsoft.com/office/drawing/2014/chart" uri="{C3380CC4-5D6E-409C-BE32-E72D297353CC}">
                <c16:uniqueId val="{00000033-01DB-4C1D-91FD-AC022CE63907}"/>
              </c:ext>
            </c:extLst>
          </c:dPt>
          <c:dPt>
            <c:idx val="52"/>
            <c:marker>
              <c:spPr>
                <a:solidFill>
                  <a:srgbClr val="005DA1"/>
                </a:solidFill>
                <a:ln w="9525">
                  <a:solidFill>
                    <a:schemeClr val="accent1"/>
                  </a:solidFill>
                </a:ln>
                <a:effectLst/>
              </c:spPr>
            </c:marker>
            <c:bubble3D val="0"/>
            <c:extLst>
              <c:ext xmlns:c16="http://schemas.microsoft.com/office/drawing/2014/chart" uri="{C3380CC4-5D6E-409C-BE32-E72D297353CC}">
                <c16:uniqueId val="{00000034-01DB-4C1D-91FD-AC022CE63907}"/>
              </c:ext>
            </c:extLst>
          </c:dPt>
          <c:dPt>
            <c:idx val="53"/>
            <c:marker>
              <c:spPr>
                <a:solidFill>
                  <a:srgbClr val="007B83"/>
                </a:solidFill>
                <a:ln w="9525">
                  <a:solidFill>
                    <a:schemeClr val="accent1"/>
                  </a:solidFill>
                </a:ln>
                <a:effectLst/>
              </c:spPr>
            </c:marker>
            <c:bubble3D val="0"/>
            <c:extLst>
              <c:ext xmlns:c16="http://schemas.microsoft.com/office/drawing/2014/chart" uri="{C3380CC4-5D6E-409C-BE32-E72D297353CC}">
                <c16:uniqueId val="{00000035-01DB-4C1D-91FD-AC022CE63907}"/>
              </c:ext>
            </c:extLst>
          </c:dPt>
          <c:dPt>
            <c:idx val="54"/>
            <c:marker>
              <c:spPr>
                <a:solidFill>
                  <a:srgbClr val="0036C8"/>
                </a:solidFill>
                <a:ln w="9525">
                  <a:solidFill>
                    <a:schemeClr val="accent1"/>
                  </a:solidFill>
                </a:ln>
                <a:effectLst/>
              </c:spPr>
            </c:marker>
            <c:bubble3D val="0"/>
            <c:extLst>
              <c:ext xmlns:c16="http://schemas.microsoft.com/office/drawing/2014/chart" uri="{C3380CC4-5D6E-409C-BE32-E72D297353CC}">
                <c16:uniqueId val="{00000036-01DB-4C1D-91FD-AC022CE63907}"/>
              </c:ext>
            </c:extLst>
          </c:dPt>
          <c:dPt>
            <c:idx val="55"/>
            <c:marker>
              <c:spPr>
                <a:solidFill>
                  <a:srgbClr val="006896"/>
                </a:solidFill>
                <a:ln w="9525">
                  <a:solidFill>
                    <a:schemeClr val="accent1"/>
                  </a:solidFill>
                </a:ln>
                <a:effectLst/>
              </c:spPr>
            </c:marker>
            <c:bubble3D val="0"/>
            <c:extLst>
              <c:ext xmlns:c16="http://schemas.microsoft.com/office/drawing/2014/chart" uri="{C3380CC4-5D6E-409C-BE32-E72D297353CC}">
                <c16:uniqueId val="{00000037-01DB-4C1D-91FD-AC022CE63907}"/>
              </c:ext>
            </c:extLst>
          </c:dPt>
          <c:dPt>
            <c:idx val="56"/>
            <c:marker>
              <c:spPr>
                <a:solidFill>
                  <a:srgbClr val="00728C"/>
                </a:solidFill>
                <a:ln w="9525">
                  <a:solidFill>
                    <a:schemeClr val="accent1"/>
                  </a:solidFill>
                </a:ln>
                <a:effectLst/>
              </c:spPr>
            </c:marker>
            <c:bubble3D val="0"/>
            <c:extLst>
              <c:ext xmlns:c16="http://schemas.microsoft.com/office/drawing/2014/chart" uri="{C3380CC4-5D6E-409C-BE32-E72D297353CC}">
                <c16:uniqueId val="{00000038-01DB-4C1D-91FD-AC022CE63907}"/>
              </c:ext>
            </c:extLst>
          </c:dPt>
          <c:dPt>
            <c:idx val="57"/>
            <c:marker>
              <c:spPr>
                <a:solidFill>
                  <a:srgbClr val="0000FF"/>
                </a:solidFill>
                <a:ln w="9525">
                  <a:solidFill>
                    <a:schemeClr val="accent1"/>
                  </a:solidFill>
                </a:ln>
                <a:effectLst/>
              </c:spPr>
            </c:marker>
            <c:bubble3D val="0"/>
            <c:extLst>
              <c:ext xmlns:c16="http://schemas.microsoft.com/office/drawing/2014/chart" uri="{C3380CC4-5D6E-409C-BE32-E72D297353CC}">
                <c16:uniqueId val="{00000039-01DB-4C1D-91FD-AC022CE63907}"/>
              </c:ext>
            </c:extLst>
          </c:dPt>
          <c:dPt>
            <c:idx val="58"/>
            <c:marker>
              <c:spPr>
                <a:solidFill>
                  <a:srgbClr val="003CC2"/>
                </a:solidFill>
                <a:ln w="9525">
                  <a:solidFill>
                    <a:schemeClr val="accent1"/>
                  </a:solidFill>
                </a:ln>
                <a:effectLst/>
              </c:spPr>
            </c:marker>
            <c:bubble3D val="0"/>
            <c:extLst>
              <c:ext xmlns:c16="http://schemas.microsoft.com/office/drawing/2014/chart" uri="{C3380CC4-5D6E-409C-BE32-E72D297353CC}">
                <c16:uniqueId val="{0000003A-01DB-4C1D-91FD-AC022CE63907}"/>
              </c:ext>
            </c:extLst>
          </c:dPt>
          <c:dPt>
            <c:idx val="59"/>
            <c:marker>
              <c:spPr>
                <a:solidFill>
                  <a:srgbClr val="0059A5"/>
                </a:solidFill>
                <a:ln w="9525">
                  <a:solidFill>
                    <a:schemeClr val="accent1"/>
                  </a:solidFill>
                </a:ln>
                <a:effectLst/>
              </c:spPr>
            </c:marker>
            <c:bubble3D val="0"/>
            <c:extLst>
              <c:ext xmlns:c16="http://schemas.microsoft.com/office/drawing/2014/chart" uri="{C3380CC4-5D6E-409C-BE32-E72D297353CC}">
                <c16:uniqueId val="{0000003B-01DB-4C1D-91FD-AC022CE63907}"/>
              </c:ext>
            </c:extLst>
          </c:dPt>
          <c:dPt>
            <c:idx val="60"/>
            <c:marker>
              <c:spPr>
                <a:solidFill>
                  <a:srgbClr val="005EA0"/>
                </a:solidFill>
                <a:ln w="9525">
                  <a:solidFill>
                    <a:schemeClr val="accent1"/>
                  </a:solidFill>
                </a:ln>
                <a:effectLst/>
              </c:spPr>
            </c:marker>
            <c:bubble3D val="0"/>
            <c:extLst>
              <c:ext xmlns:c16="http://schemas.microsoft.com/office/drawing/2014/chart" uri="{C3380CC4-5D6E-409C-BE32-E72D297353CC}">
                <c16:uniqueId val="{0000003C-01DB-4C1D-91FD-AC022CE63907}"/>
              </c:ext>
            </c:extLst>
          </c:dPt>
          <c:dPt>
            <c:idx val="61"/>
            <c:marker>
              <c:spPr>
                <a:solidFill>
                  <a:srgbClr val="003AC4"/>
                </a:solidFill>
                <a:ln w="9525">
                  <a:solidFill>
                    <a:schemeClr val="accent1"/>
                  </a:solidFill>
                </a:ln>
                <a:effectLst/>
              </c:spPr>
            </c:marker>
            <c:bubble3D val="0"/>
            <c:extLst>
              <c:ext xmlns:c16="http://schemas.microsoft.com/office/drawing/2014/chart" uri="{C3380CC4-5D6E-409C-BE32-E72D297353CC}">
                <c16:uniqueId val="{0000003D-01DB-4C1D-91FD-AC022CE63907}"/>
              </c:ext>
            </c:extLst>
          </c:dPt>
          <c:dPt>
            <c:idx val="62"/>
            <c:marker>
              <c:spPr>
                <a:solidFill>
                  <a:srgbClr val="005F9F"/>
                </a:solidFill>
                <a:ln w="9525">
                  <a:solidFill>
                    <a:schemeClr val="accent1"/>
                  </a:solidFill>
                </a:ln>
                <a:effectLst/>
              </c:spPr>
            </c:marker>
            <c:bubble3D val="0"/>
            <c:extLst>
              <c:ext xmlns:c16="http://schemas.microsoft.com/office/drawing/2014/chart" uri="{C3380CC4-5D6E-409C-BE32-E72D297353CC}">
                <c16:uniqueId val="{0000003E-01DB-4C1D-91FD-AC022CE63907}"/>
              </c:ext>
            </c:extLst>
          </c:dPt>
          <c:dPt>
            <c:idx val="63"/>
            <c:marker>
              <c:spPr>
                <a:solidFill>
                  <a:srgbClr val="009B63"/>
                </a:solidFill>
                <a:ln w="9525">
                  <a:solidFill>
                    <a:schemeClr val="accent1"/>
                  </a:solidFill>
                </a:ln>
                <a:effectLst/>
              </c:spPr>
            </c:marker>
            <c:bubble3D val="0"/>
            <c:extLst>
              <c:ext xmlns:c16="http://schemas.microsoft.com/office/drawing/2014/chart" uri="{C3380CC4-5D6E-409C-BE32-E72D297353CC}">
                <c16:uniqueId val="{0000003F-01DB-4C1D-91FD-AC022CE63907}"/>
              </c:ext>
            </c:extLst>
          </c:dPt>
          <c:dPt>
            <c:idx val="64"/>
            <c:marker>
              <c:spPr>
                <a:solidFill>
                  <a:srgbClr val="00718D"/>
                </a:solidFill>
                <a:ln w="9525">
                  <a:solidFill>
                    <a:schemeClr val="accent1"/>
                  </a:solidFill>
                </a:ln>
                <a:effectLst/>
              </c:spPr>
            </c:marker>
            <c:bubble3D val="0"/>
            <c:extLst>
              <c:ext xmlns:c16="http://schemas.microsoft.com/office/drawing/2014/chart" uri="{C3380CC4-5D6E-409C-BE32-E72D297353CC}">
                <c16:uniqueId val="{00000040-01DB-4C1D-91FD-AC022CE63907}"/>
              </c:ext>
            </c:extLst>
          </c:dPt>
          <c:dPt>
            <c:idx val="65"/>
            <c:marker>
              <c:spPr>
                <a:solidFill>
                  <a:srgbClr val="00936B"/>
                </a:solidFill>
                <a:ln w="9525">
                  <a:solidFill>
                    <a:schemeClr val="accent1"/>
                  </a:solidFill>
                </a:ln>
                <a:effectLst/>
              </c:spPr>
            </c:marker>
            <c:bubble3D val="0"/>
            <c:extLst>
              <c:ext xmlns:c16="http://schemas.microsoft.com/office/drawing/2014/chart" uri="{C3380CC4-5D6E-409C-BE32-E72D297353CC}">
                <c16:uniqueId val="{00000041-01DB-4C1D-91FD-AC022CE63907}"/>
              </c:ext>
            </c:extLst>
          </c:dPt>
          <c:dPt>
            <c:idx val="66"/>
            <c:marker>
              <c:spPr>
                <a:solidFill>
                  <a:srgbClr val="0049B5"/>
                </a:solidFill>
                <a:ln w="9525">
                  <a:solidFill>
                    <a:schemeClr val="accent1"/>
                  </a:solidFill>
                </a:ln>
                <a:effectLst/>
              </c:spPr>
            </c:marker>
            <c:bubble3D val="0"/>
            <c:extLst>
              <c:ext xmlns:c16="http://schemas.microsoft.com/office/drawing/2014/chart" uri="{C3380CC4-5D6E-409C-BE32-E72D297353CC}">
                <c16:uniqueId val="{00000042-01DB-4C1D-91FD-AC022CE63907}"/>
              </c:ext>
            </c:extLst>
          </c:dPt>
          <c:dPt>
            <c:idx val="67"/>
            <c:marker>
              <c:spPr>
                <a:solidFill>
                  <a:srgbClr val="002FCF"/>
                </a:solidFill>
                <a:ln w="9525">
                  <a:solidFill>
                    <a:schemeClr val="accent1"/>
                  </a:solidFill>
                </a:ln>
                <a:effectLst/>
              </c:spPr>
            </c:marker>
            <c:bubble3D val="0"/>
            <c:extLst>
              <c:ext xmlns:c16="http://schemas.microsoft.com/office/drawing/2014/chart" uri="{C3380CC4-5D6E-409C-BE32-E72D297353CC}">
                <c16:uniqueId val="{00000043-01DB-4C1D-91FD-AC022CE63907}"/>
              </c:ext>
            </c:extLst>
          </c:dPt>
          <c:dPt>
            <c:idx val="68"/>
            <c:marker>
              <c:spPr>
                <a:solidFill>
                  <a:srgbClr val="009B63"/>
                </a:solidFill>
                <a:ln w="9525">
                  <a:solidFill>
                    <a:schemeClr val="accent1"/>
                  </a:solidFill>
                </a:ln>
                <a:effectLst/>
              </c:spPr>
            </c:marker>
            <c:bubble3D val="0"/>
            <c:extLst>
              <c:ext xmlns:c16="http://schemas.microsoft.com/office/drawing/2014/chart" uri="{C3380CC4-5D6E-409C-BE32-E72D297353CC}">
                <c16:uniqueId val="{00000044-01DB-4C1D-91FD-AC022CE63907}"/>
              </c:ext>
            </c:extLst>
          </c:dPt>
          <c:dPt>
            <c:idx val="69"/>
            <c:marker>
              <c:spPr>
                <a:solidFill>
                  <a:srgbClr val="009B63"/>
                </a:solidFill>
                <a:ln w="9525">
                  <a:solidFill>
                    <a:schemeClr val="accent1"/>
                  </a:solidFill>
                </a:ln>
                <a:effectLst/>
              </c:spPr>
            </c:marker>
            <c:bubble3D val="0"/>
            <c:extLst>
              <c:ext xmlns:c16="http://schemas.microsoft.com/office/drawing/2014/chart" uri="{C3380CC4-5D6E-409C-BE32-E72D297353CC}">
                <c16:uniqueId val="{00000045-01DB-4C1D-91FD-AC022CE63907}"/>
              </c:ext>
            </c:extLst>
          </c:dPt>
          <c:dPt>
            <c:idx val="70"/>
            <c:marker>
              <c:spPr>
                <a:solidFill>
                  <a:srgbClr val="0000FF"/>
                </a:solidFill>
                <a:ln w="9525">
                  <a:solidFill>
                    <a:schemeClr val="accent1"/>
                  </a:solidFill>
                </a:ln>
                <a:effectLst/>
              </c:spPr>
            </c:marker>
            <c:bubble3D val="0"/>
            <c:extLst>
              <c:ext xmlns:c16="http://schemas.microsoft.com/office/drawing/2014/chart" uri="{C3380CC4-5D6E-409C-BE32-E72D297353CC}">
                <c16:uniqueId val="{00000046-01DB-4C1D-91FD-AC022CE63907}"/>
              </c:ext>
            </c:extLst>
          </c:dPt>
          <c:dPt>
            <c:idx val="71"/>
            <c:marker>
              <c:spPr>
                <a:solidFill>
                  <a:srgbClr val="001AE4"/>
                </a:solidFill>
                <a:ln w="9525">
                  <a:solidFill>
                    <a:schemeClr val="accent1"/>
                  </a:solidFill>
                </a:ln>
                <a:effectLst/>
              </c:spPr>
            </c:marker>
            <c:bubble3D val="0"/>
            <c:extLst>
              <c:ext xmlns:c16="http://schemas.microsoft.com/office/drawing/2014/chart" uri="{C3380CC4-5D6E-409C-BE32-E72D297353CC}">
                <c16:uniqueId val="{00000047-01DB-4C1D-91FD-AC022CE63907}"/>
              </c:ext>
            </c:extLst>
          </c:dPt>
          <c:dPt>
            <c:idx val="72"/>
            <c:marker>
              <c:spPr>
                <a:solidFill>
                  <a:srgbClr val="0028D6"/>
                </a:solidFill>
                <a:ln w="9525">
                  <a:solidFill>
                    <a:schemeClr val="accent1"/>
                  </a:solidFill>
                </a:ln>
                <a:effectLst/>
              </c:spPr>
            </c:marker>
            <c:bubble3D val="0"/>
            <c:extLst>
              <c:ext xmlns:c16="http://schemas.microsoft.com/office/drawing/2014/chart" uri="{C3380CC4-5D6E-409C-BE32-E72D297353CC}">
                <c16:uniqueId val="{00000048-01DB-4C1D-91FD-AC022CE63907}"/>
              </c:ext>
            </c:extLst>
          </c:dPt>
          <c:dPt>
            <c:idx val="73"/>
            <c:marker>
              <c:spPr>
                <a:solidFill>
                  <a:srgbClr val="006E90"/>
                </a:solidFill>
                <a:ln w="9525">
                  <a:solidFill>
                    <a:schemeClr val="accent1"/>
                  </a:solidFill>
                </a:ln>
                <a:effectLst/>
              </c:spPr>
            </c:marker>
            <c:bubble3D val="0"/>
            <c:extLst>
              <c:ext xmlns:c16="http://schemas.microsoft.com/office/drawing/2014/chart" uri="{C3380CC4-5D6E-409C-BE32-E72D297353CC}">
                <c16:uniqueId val="{00000049-01DB-4C1D-91FD-AC022CE63907}"/>
              </c:ext>
            </c:extLst>
          </c:dPt>
          <c:dPt>
            <c:idx val="74"/>
            <c:marker>
              <c:spPr>
                <a:solidFill>
                  <a:srgbClr val="006C92"/>
                </a:solidFill>
                <a:ln w="9525">
                  <a:solidFill>
                    <a:schemeClr val="accent1"/>
                  </a:solidFill>
                </a:ln>
                <a:effectLst/>
              </c:spPr>
            </c:marker>
            <c:bubble3D val="0"/>
            <c:extLst>
              <c:ext xmlns:c16="http://schemas.microsoft.com/office/drawing/2014/chart" uri="{C3380CC4-5D6E-409C-BE32-E72D297353CC}">
                <c16:uniqueId val="{0000004A-01DB-4C1D-91FD-AC022CE63907}"/>
              </c:ext>
            </c:extLst>
          </c:dPt>
          <c:dPt>
            <c:idx val="75"/>
            <c:marker>
              <c:spPr>
                <a:solidFill>
                  <a:srgbClr val="0057A7"/>
                </a:solidFill>
                <a:ln w="9525">
                  <a:solidFill>
                    <a:schemeClr val="accent1"/>
                  </a:solidFill>
                </a:ln>
                <a:effectLst/>
              </c:spPr>
            </c:marker>
            <c:bubble3D val="0"/>
            <c:extLst>
              <c:ext xmlns:c16="http://schemas.microsoft.com/office/drawing/2014/chart" uri="{C3380CC4-5D6E-409C-BE32-E72D297353CC}">
                <c16:uniqueId val="{0000004B-01DB-4C1D-91FD-AC022CE63907}"/>
              </c:ext>
            </c:extLst>
          </c:dPt>
          <c:dPt>
            <c:idx val="76"/>
            <c:marker>
              <c:spPr>
                <a:solidFill>
                  <a:srgbClr val="005EA0"/>
                </a:solidFill>
                <a:ln w="9525">
                  <a:solidFill>
                    <a:schemeClr val="accent1"/>
                  </a:solidFill>
                </a:ln>
                <a:effectLst/>
              </c:spPr>
            </c:marker>
            <c:bubble3D val="0"/>
            <c:extLst>
              <c:ext xmlns:c16="http://schemas.microsoft.com/office/drawing/2014/chart" uri="{C3380CC4-5D6E-409C-BE32-E72D297353CC}">
                <c16:uniqueId val="{0000004C-01DB-4C1D-91FD-AC022CE63907}"/>
              </c:ext>
            </c:extLst>
          </c:dPt>
          <c:dPt>
            <c:idx val="77"/>
            <c:marker>
              <c:spPr>
                <a:solidFill>
                  <a:srgbClr val="00B34B"/>
                </a:solidFill>
                <a:ln w="9525">
                  <a:solidFill>
                    <a:schemeClr val="accent1"/>
                  </a:solidFill>
                </a:ln>
                <a:effectLst/>
              </c:spPr>
            </c:marker>
            <c:bubble3D val="0"/>
            <c:extLst>
              <c:ext xmlns:c16="http://schemas.microsoft.com/office/drawing/2014/chart" uri="{C3380CC4-5D6E-409C-BE32-E72D297353CC}">
                <c16:uniqueId val="{0000004D-01DB-4C1D-91FD-AC022CE63907}"/>
              </c:ext>
            </c:extLst>
          </c:dPt>
          <c:dPt>
            <c:idx val="78"/>
            <c:marker>
              <c:spPr>
                <a:solidFill>
                  <a:srgbClr val="00639B"/>
                </a:solidFill>
                <a:ln w="9525">
                  <a:solidFill>
                    <a:schemeClr val="accent1"/>
                  </a:solidFill>
                </a:ln>
                <a:effectLst/>
              </c:spPr>
            </c:marker>
            <c:bubble3D val="0"/>
            <c:extLst>
              <c:ext xmlns:c16="http://schemas.microsoft.com/office/drawing/2014/chart" uri="{C3380CC4-5D6E-409C-BE32-E72D297353CC}">
                <c16:uniqueId val="{0000004E-01DB-4C1D-91FD-AC022CE63907}"/>
              </c:ext>
            </c:extLst>
          </c:dPt>
          <c:dPt>
            <c:idx val="79"/>
            <c:marker>
              <c:spPr>
                <a:solidFill>
                  <a:srgbClr val="002FCF"/>
                </a:solidFill>
                <a:ln w="9525">
                  <a:solidFill>
                    <a:schemeClr val="accent1"/>
                  </a:solidFill>
                </a:ln>
                <a:effectLst/>
              </c:spPr>
            </c:marker>
            <c:bubble3D val="0"/>
            <c:extLst>
              <c:ext xmlns:c16="http://schemas.microsoft.com/office/drawing/2014/chart" uri="{C3380CC4-5D6E-409C-BE32-E72D297353CC}">
                <c16:uniqueId val="{0000004F-01DB-4C1D-91FD-AC022CE63907}"/>
              </c:ext>
            </c:extLst>
          </c:dPt>
          <c:dPt>
            <c:idx val="80"/>
            <c:marker>
              <c:spPr>
                <a:solidFill>
                  <a:srgbClr val="00649A"/>
                </a:solidFill>
                <a:ln w="9525">
                  <a:solidFill>
                    <a:schemeClr val="accent1"/>
                  </a:solidFill>
                </a:ln>
                <a:effectLst/>
              </c:spPr>
            </c:marker>
            <c:bubble3D val="0"/>
            <c:extLst>
              <c:ext xmlns:c16="http://schemas.microsoft.com/office/drawing/2014/chart" uri="{C3380CC4-5D6E-409C-BE32-E72D297353CC}">
                <c16:uniqueId val="{00000050-01DB-4C1D-91FD-AC022CE63907}"/>
              </c:ext>
            </c:extLst>
          </c:dPt>
          <c:dPt>
            <c:idx val="81"/>
            <c:marker>
              <c:spPr>
                <a:solidFill>
                  <a:srgbClr val="00728C"/>
                </a:solidFill>
                <a:ln w="9525">
                  <a:solidFill>
                    <a:schemeClr val="accent1"/>
                  </a:solidFill>
                </a:ln>
                <a:effectLst/>
              </c:spPr>
            </c:marker>
            <c:bubble3D val="0"/>
            <c:extLst>
              <c:ext xmlns:c16="http://schemas.microsoft.com/office/drawing/2014/chart" uri="{C3380CC4-5D6E-409C-BE32-E72D297353CC}">
                <c16:uniqueId val="{00000051-01DB-4C1D-91FD-AC022CE63907}"/>
              </c:ext>
            </c:extLst>
          </c:dPt>
          <c:dPt>
            <c:idx val="82"/>
            <c:marker>
              <c:spPr>
                <a:solidFill>
                  <a:srgbClr val="0000FF"/>
                </a:solidFill>
                <a:ln w="9525">
                  <a:solidFill>
                    <a:schemeClr val="accent1"/>
                  </a:solidFill>
                </a:ln>
                <a:effectLst/>
              </c:spPr>
            </c:marker>
            <c:bubble3D val="0"/>
            <c:extLst>
              <c:ext xmlns:c16="http://schemas.microsoft.com/office/drawing/2014/chart" uri="{C3380CC4-5D6E-409C-BE32-E72D297353CC}">
                <c16:uniqueId val="{00000052-01DB-4C1D-91FD-AC022CE63907}"/>
              </c:ext>
            </c:extLst>
          </c:dPt>
          <c:dPt>
            <c:idx val="83"/>
            <c:marker>
              <c:spPr>
                <a:solidFill>
                  <a:srgbClr val="0000FF"/>
                </a:solidFill>
                <a:ln w="9525">
                  <a:solidFill>
                    <a:schemeClr val="accent1"/>
                  </a:solidFill>
                </a:ln>
                <a:effectLst/>
              </c:spPr>
            </c:marker>
            <c:bubble3D val="0"/>
            <c:extLst>
              <c:ext xmlns:c16="http://schemas.microsoft.com/office/drawing/2014/chart" uri="{C3380CC4-5D6E-409C-BE32-E72D297353CC}">
                <c16:uniqueId val="{00000053-01DB-4C1D-91FD-AC022CE63907}"/>
              </c:ext>
            </c:extLst>
          </c:dPt>
          <c:dPt>
            <c:idx val="84"/>
            <c:marker>
              <c:spPr>
                <a:solidFill>
                  <a:srgbClr val="0000FF"/>
                </a:solidFill>
                <a:ln w="9525">
                  <a:solidFill>
                    <a:schemeClr val="accent1"/>
                  </a:solidFill>
                </a:ln>
                <a:effectLst/>
              </c:spPr>
            </c:marker>
            <c:bubble3D val="0"/>
            <c:extLst>
              <c:ext xmlns:c16="http://schemas.microsoft.com/office/drawing/2014/chart" uri="{C3380CC4-5D6E-409C-BE32-E72D297353CC}">
                <c16:uniqueId val="{00000054-01DB-4C1D-91FD-AC022CE63907}"/>
              </c:ext>
            </c:extLst>
          </c:dPt>
          <c:dPt>
            <c:idx val="85"/>
            <c:marker>
              <c:spPr>
                <a:solidFill>
                  <a:srgbClr val="0000FF"/>
                </a:solidFill>
                <a:ln w="9525">
                  <a:solidFill>
                    <a:schemeClr val="accent1"/>
                  </a:solidFill>
                </a:ln>
                <a:effectLst/>
              </c:spPr>
            </c:marker>
            <c:bubble3D val="0"/>
            <c:extLst>
              <c:ext xmlns:c16="http://schemas.microsoft.com/office/drawing/2014/chart" uri="{C3380CC4-5D6E-409C-BE32-E72D297353CC}">
                <c16:uniqueId val="{00000055-01DB-4C1D-91FD-AC022CE63907}"/>
              </c:ext>
            </c:extLst>
          </c:dPt>
          <c:dPt>
            <c:idx val="86"/>
            <c:marker>
              <c:spPr>
                <a:solidFill>
                  <a:srgbClr val="04FA00"/>
                </a:solidFill>
                <a:ln w="9525">
                  <a:solidFill>
                    <a:schemeClr val="accent1"/>
                  </a:solidFill>
                </a:ln>
                <a:effectLst/>
              </c:spPr>
            </c:marker>
            <c:bubble3D val="0"/>
            <c:extLst>
              <c:ext xmlns:c16="http://schemas.microsoft.com/office/drawing/2014/chart" uri="{C3380CC4-5D6E-409C-BE32-E72D297353CC}">
                <c16:uniqueId val="{00000056-01DB-4C1D-91FD-AC022CE63907}"/>
              </c:ext>
            </c:extLst>
          </c:dPt>
          <c:dPt>
            <c:idx val="87"/>
            <c:marker>
              <c:spPr>
                <a:solidFill>
                  <a:srgbClr val="00649A"/>
                </a:solidFill>
                <a:ln w="9525">
                  <a:solidFill>
                    <a:schemeClr val="accent1"/>
                  </a:solidFill>
                </a:ln>
                <a:effectLst/>
              </c:spPr>
            </c:marker>
            <c:bubble3D val="0"/>
            <c:extLst>
              <c:ext xmlns:c16="http://schemas.microsoft.com/office/drawing/2014/chart" uri="{C3380CC4-5D6E-409C-BE32-E72D297353CC}">
                <c16:uniqueId val="{00000057-01DB-4C1D-91FD-AC022CE63907}"/>
              </c:ext>
            </c:extLst>
          </c:dPt>
          <c:dPt>
            <c:idx val="88"/>
            <c:marker>
              <c:spPr>
                <a:solidFill>
                  <a:srgbClr val="007589"/>
                </a:solidFill>
                <a:ln w="9525">
                  <a:solidFill>
                    <a:schemeClr val="accent1"/>
                  </a:solidFill>
                </a:ln>
                <a:effectLst/>
              </c:spPr>
            </c:marker>
            <c:bubble3D val="0"/>
            <c:extLst>
              <c:ext xmlns:c16="http://schemas.microsoft.com/office/drawing/2014/chart" uri="{C3380CC4-5D6E-409C-BE32-E72D297353CC}">
                <c16:uniqueId val="{00000058-01DB-4C1D-91FD-AC022CE63907}"/>
              </c:ext>
            </c:extLst>
          </c:dPt>
          <c:dPt>
            <c:idx val="89"/>
            <c:marker>
              <c:spPr>
                <a:solidFill>
                  <a:srgbClr val="007787"/>
                </a:solidFill>
                <a:ln w="9525">
                  <a:solidFill>
                    <a:schemeClr val="accent1"/>
                  </a:solidFill>
                </a:ln>
                <a:effectLst/>
              </c:spPr>
            </c:marker>
            <c:bubble3D val="0"/>
            <c:extLst>
              <c:ext xmlns:c16="http://schemas.microsoft.com/office/drawing/2014/chart" uri="{C3380CC4-5D6E-409C-BE32-E72D297353CC}">
                <c16:uniqueId val="{00000059-01DB-4C1D-91FD-AC022CE63907}"/>
              </c:ext>
            </c:extLst>
          </c:dPt>
          <c:dPt>
            <c:idx val="90"/>
            <c:marker>
              <c:spPr>
                <a:solidFill>
                  <a:srgbClr val="009767"/>
                </a:solidFill>
                <a:ln w="9525">
                  <a:solidFill>
                    <a:schemeClr val="accent1"/>
                  </a:solidFill>
                </a:ln>
                <a:effectLst/>
              </c:spPr>
            </c:marker>
            <c:bubble3D val="0"/>
            <c:extLst>
              <c:ext xmlns:c16="http://schemas.microsoft.com/office/drawing/2014/chart" uri="{C3380CC4-5D6E-409C-BE32-E72D297353CC}">
                <c16:uniqueId val="{0000005A-01DB-4C1D-91FD-AC022CE63907}"/>
              </c:ext>
            </c:extLst>
          </c:dPt>
          <c:dPt>
            <c:idx val="91"/>
            <c:marker>
              <c:spPr>
                <a:solidFill>
                  <a:srgbClr val="0038C6"/>
                </a:solidFill>
                <a:ln w="9525">
                  <a:solidFill>
                    <a:schemeClr val="accent1"/>
                  </a:solidFill>
                </a:ln>
                <a:effectLst/>
              </c:spPr>
            </c:marker>
            <c:bubble3D val="0"/>
            <c:extLst>
              <c:ext xmlns:c16="http://schemas.microsoft.com/office/drawing/2014/chart" uri="{C3380CC4-5D6E-409C-BE32-E72D297353CC}">
                <c16:uniqueId val="{0000005B-01DB-4C1D-91FD-AC022CE63907}"/>
              </c:ext>
            </c:extLst>
          </c:dPt>
          <c:dPt>
            <c:idx val="92"/>
            <c:marker>
              <c:spPr>
                <a:solidFill>
                  <a:srgbClr val="008A74"/>
                </a:solidFill>
                <a:ln w="9525">
                  <a:solidFill>
                    <a:schemeClr val="accent1"/>
                  </a:solidFill>
                </a:ln>
                <a:effectLst/>
              </c:spPr>
            </c:marker>
            <c:bubble3D val="0"/>
            <c:extLst>
              <c:ext xmlns:c16="http://schemas.microsoft.com/office/drawing/2014/chart" uri="{C3380CC4-5D6E-409C-BE32-E72D297353CC}">
                <c16:uniqueId val="{0000005C-01DB-4C1D-91FD-AC022CE63907}"/>
              </c:ext>
            </c:extLst>
          </c:dPt>
          <c:dPt>
            <c:idx val="93"/>
            <c:marker>
              <c:spPr>
                <a:solidFill>
                  <a:srgbClr val="00AE50"/>
                </a:solidFill>
                <a:ln w="9525">
                  <a:solidFill>
                    <a:schemeClr val="accent1"/>
                  </a:solidFill>
                </a:ln>
                <a:effectLst/>
              </c:spPr>
            </c:marker>
            <c:bubble3D val="0"/>
            <c:extLst>
              <c:ext xmlns:c16="http://schemas.microsoft.com/office/drawing/2014/chart" uri="{C3380CC4-5D6E-409C-BE32-E72D297353CC}">
                <c16:uniqueId val="{0000005D-01DB-4C1D-91FD-AC022CE63907}"/>
              </c:ext>
            </c:extLst>
          </c:dPt>
          <c:dPt>
            <c:idx val="94"/>
            <c:marker>
              <c:spPr>
                <a:solidFill>
                  <a:srgbClr val="00A559"/>
                </a:solidFill>
                <a:ln w="9525">
                  <a:solidFill>
                    <a:schemeClr val="accent1"/>
                  </a:solidFill>
                </a:ln>
                <a:effectLst/>
              </c:spPr>
            </c:marker>
            <c:bubble3D val="0"/>
            <c:extLst>
              <c:ext xmlns:c16="http://schemas.microsoft.com/office/drawing/2014/chart" uri="{C3380CC4-5D6E-409C-BE32-E72D297353CC}">
                <c16:uniqueId val="{0000005E-01DB-4C1D-91FD-AC022CE63907}"/>
              </c:ext>
            </c:extLst>
          </c:dPt>
          <c:dPt>
            <c:idx val="95"/>
            <c:marker>
              <c:spPr>
                <a:solidFill>
                  <a:srgbClr val="0000FF"/>
                </a:solidFill>
                <a:ln w="9525">
                  <a:solidFill>
                    <a:schemeClr val="accent1"/>
                  </a:solidFill>
                </a:ln>
                <a:effectLst/>
              </c:spPr>
            </c:marker>
            <c:bubble3D val="0"/>
            <c:extLst>
              <c:ext xmlns:c16="http://schemas.microsoft.com/office/drawing/2014/chart" uri="{C3380CC4-5D6E-409C-BE32-E72D297353CC}">
                <c16:uniqueId val="{0000005F-01DB-4C1D-91FD-AC022CE63907}"/>
              </c:ext>
            </c:extLst>
          </c:dPt>
          <c:dPt>
            <c:idx val="96"/>
            <c:marker>
              <c:spPr>
                <a:solidFill>
                  <a:srgbClr val="0059A5"/>
                </a:solidFill>
                <a:ln w="9525">
                  <a:solidFill>
                    <a:schemeClr val="accent1"/>
                  </a:solidFill>
                </a:ln>
                <a:effectLst/>
              </c:spPr>
            </c:marker>
            <c:bubble3D val="0"/>
            <c:extLst>
              <c:ext xmlns:c16="http://schemas.microsoft.com/office/drawing/2014/chart" uri="{C3380CC4-5D6E-409C-BE32-E72D297353CC}">
                <c16:uniqueId val="{00000060-01DB-4C1D-91FD-AC022CE63907}"/>
              </c:ext>
            </c:extLst>
          </c:dPt>
          <c:dPt>
            <c:idx val="97"/>
            <c:marker>
              <c:spPr>
                <a:solidFill>
                  <a:srgbClr val="0000FF"/>
                </a:solidFill>
                <a:ln w="9525">
                  <a:solidFill>
                    <a:schemeClr val="accent1"/>
                  </a:solidFill>
                </a:ln>
                <a:effectLst/>
              </c:spPr>
            </c:marker>
            <c:bubble3D val="0"/>
            <c:extLst>
              <c:ext xmlns:c16="http://schemas.microsoft.com/office/drawing/2014/chart" uri="{C3380CC4-5D6E-409C-BE32-E72D297353CC}">
                <c16:uniqueId val="{00000061-01DB-4C1D-91FD-AC022CE63907}"/>
              </c:ext>
            </c:extLst>
          </c:dPt>
          <c:dPt>
            <c:idx val="98"/>
            <c:marker>
              <c:spPr>
                <a:solidFill>
                  <a:srgbClr val="0000FF"/>
                </a:solidFill>
                <a:ln w="9525">
                  <a:solidFill>
                    <a:schemeClr val="accent1"/>
                  </a:solidFill>
                </a:ln>
                <a:effectLst/>
              </c:spPr>
            </c:marker>
            <c:bubble3D val="0"/>
            <c:extLst>
              <c:ext xmlns:c16="http://schemas.microsoft.com/office/drawing/2014/chart" uri="{C3380CC4-5D6E-409C-BE32-E72D297353CC}">
                <c16:uniqueId val="{00000062-01DB-4C1D-91FD-AC022CE63907}"/>
              </c:ext>
            </c:extLst>
          </c:dPt>
          <c:dPt>
            <c:idx val="99"/>
            <c:marker>
              <c:spPr>
                <a:solidFill>
                  <a:srgbClr val="006995"/>
                </a:solidFill>
                <a:ln w="9525">
                  <a:solidFill>
                    <a:schemeClr val="accent1"/>
                  </a:solidFill>
                </a:ln>
                <a:effectLst/>
              </c:spPr>
            </c:marker>
            <c:bubble3D val="0"/>
            <c:extLst>
              <c:ext xmlns:c16="http://schemas.microsoft.com/office/drawing/2014/chart" uri="{C3380CC4-5D6E-409C-BE32-E72D297353CC}">
                <c16:uniqueId val="{00000063-01DB-4C1D-91FD-AC022CE63907}"/>
              </c:ext>
            </c:extLst>
          </c:dPt>
          <c:dPt>
            <c:idx val="100"/>
            <c:marker>
              <c:spPr>
                <a:solidFill>
                  <a:srgbClr val="0023DB"/>
                </a:solidFill>
                <a:ln w="9525">
                  <a:solidFill>
                    <a:schemeClr val="accent1"/>
                  </a:solidFill>
                </a:ln>
                <a:effectLst/>
              </c:spPr>
            </c:marker>
            <c:bubble3D val="0"/>
            <c:extLst>
              <c:ext xmlns:c16="http://schemas.microsoft.com/office/drawing/2014/chart" uri="{C3380CC4-5D6E-409C-BE32-E72D297353CC}">
                <c16:uniqueId val="{00000064-01DB-4C1D-91FD-AC022CE63907}"/>
              </c:ext>
            </c:extLst>
          </c:dPt>
          <c:dPt>
            <c:idx val="101"/>
            <c:marker>
              <c:spPr>
                <a:solidFill>
                  <a:srgbClr val="0059A5"/>
                </a:solidFill>
                <a:ln w="9525">
                  <a:solidFill>
                    <a:schemeClr val="accent1"/>
                  </a:solidFill>
                </a:ln>
                <a:effectLst/>
              </c:spPr>
            </c:marker>
            <c:bubble3D val="0"/>
            <c:extLst>
              <c:ext xmlns:c16="http://schemas.microsoft.com/office/drawing/2014/chart" uri="{C3380CC4-5D6E-409C-BE32-E72D297353CC}">
                <c16:uniqueId val="{00000065-01DB-4C1D-91FD-AC022CE63907}"/>
              </c:ext>
            </c:extLst>
          </c:dPt>
          <c:dPt>
            <c:idx val="102"/>
            <c:marker>
              <c:spPr>
                <a:solidFill>
                  <a:srgbClr val="008678"/>
                </a:solidFill>
                <a:ln w="9525">
                  <a:solidFill>
                    <a:schemeClr val="accent1"/>
                  </a:solidFill>
                </a:ln>
                <a:effectLst/>
              </c:spPr>
            </c:marker>
            <c:bubble3D val="0"/>
            <c:extLst>
              <c:ext xmlns:c16="http://schemas.microsoft.com/office/drawing/2014/chart" uri="{C3380CC4-5D6E-409C-BE32-E72D297353CC}">
                <c16:uniqueId val="{00000066-01DB-4C1D-91FD-AC022CE63907}"/>
              </c:ext>
            </c:extLst>
          </c:dPt>
          <c:dPt>
            <c:idx val="103"/>
            <c:marker>
              <c:spPr>
                <a:solidFill>
                  <a:srgbClr val="00827C"/>
                </a:solidFill>
                <a:ln w="9525">
                  <a:solidFill>
                    <a:schemeClr val="accent1"/>
                  </a:solidFill>
                </a:ln>
                <a:effectLst/>
              </c:spPr>
            </c:marker>
            <c:bubble3D val="0"/>
            <c:extLst>
              <c:ext xmlns:c16="http://schemas.microsoft.com/office/drawing/2014/chart" uri="{C3380CC4-5D6E-409C-BE32-E72D297353CC}">
                <c16:uniqueId val="{00000067-01DB-4C1D-91FD-AC022CE63907}"/>
              </c:ext>
            </c:extLst>
          </c:dPt>
          <c:dPt>
            <c:idx val="104"/>
            <c:marker>
              <c:spPr>
                <a:solidFill>
                  <a:srgbClr val="0044BA"/>
                </a:solidFill>
                <a:ln w="9525">
                  <a:solidFill>
                    <a:schemeClr val="accent1"/>
                  </a:solidFill>
                </a:ln>
                <a:effectLst/>
              </c:spPr>
            </c:marker>
            <c:bubble3D val="0"/>
            <c:extLst>
              <c:ext xmlns:c16="http://schemas.microsoft.com/office/drawing/2014/chart" uri="{C3380CC4-5D6E-409C-BE32-E72D297353CC}">
                <c16:uniqueId val="{00000068-01DB-4C1D-91FD-AC022CE63907}"/>
              </c:ext>
            </c:extLst>
          </c:dPt>
          <c:dPt>
            <c:idx val="105"/>
            <c:marker>
              <c:spPr>
                <a:solidFill>
                  <a:srgbClr val="008A74"/>
                </a:solidFill>
                <a:ln w="9525">
                  <a:solidFill>
                    <a:schemeClr val="accent1"/>
                  </a:solidFill>
                </a:ln>
                <a:effectLst/>
              </c:spPr>
            </c:marker>
            <c:bubble3D val="0"/>
            <c:extLst>
              <c:ext xmlns:c16="http://schemas.microsoft.com/office/drawing/2014/chart" uri="{C3380CC4-5D6E-409C-BE32-E72D297353CC}">
                <c16:uniqueId val="{00000069-01DB-4C1D-91FD-AC022CE63907}"/>
              </c:ext>
            </c:extLst>
          </c:dPt>
          <c:dPt>
            <c:idx val="106"/>
            <c:marker>
              <c:spPr>
                <a:solidFill>
                  <a:srgbClr val="0000FF"/>
                </a:solidFill>
                <a:ln w="9525">
                  <a:solidFill>
                    <a:schemeClr val="accent1"/>
                  </a:solidFill>
                </a:ln>
                <a:effectLst/>
              </c:spPr>
            </c:marker>
            <c:bubble3D val="0"/>
            <c:extLst>
              <c:ext xmlns:c16="http://schemas.microsoft.com/office/drawing/2014/chart" uri="{C3380CC4-5D6E-409C-BE32-E72D297353CC}">
                <c16:uniqueId val="{0000006A-01DB-4C1D-91FD-AC022CE63907}"/>
              </c:ext>
            </c:extLst>
          </c:dPt>
          <c:dPt>
            <c:idx val="107"/>
            <c:marker>
              <c:spPr>
                <a:solidFill>
                  <a:srgbClr val="0000FF"/>
                </a:solidFill>
                <a:ln w="9525">
                  <a:solidFill>
                    <a:schemeClr val="accent1"/>
                  </a:solidFill>
                </a:ln>
                <a:effectLst/>
              </c:spPr>
            </c:marker>
            <c:bubble3D val="0"/>
            <c:extLst>
              <c:ext xmlns:c16="http://schemas.microsoft.com/office/drawing/2014/chart" uri="{C3380CC4-5D6E-409C-BE32-E72D297353CC}">
                <c16:uniqueId val="{0000006B-01DB-4C1D-91FD-AC022CE63907}"/>
              </c:ext>
            </c:extLst>
          </c:dPt>
          <c:dPt>
            <c:idx val="108"/>
            <c:marker>
              <c:spPr>
                <a:solidFill>
                  <a:srgbClr val="0000FF"/>
                </a:solidFill>
                <a:ln w="9525">
                  <a:solidFill>
                    <a:schemeClr val="accent1"/>
                  </a:solidFill>
                </a:ln>
                <a:effectLst/>
              </c:spPr>
            </c:marker>
            <c:bubble3D val="0"/>
            <c:extLst>
              <c:ext xmlns:c16="http://schemas.microsoft.com/office/drawing/2014/chart" uri="{C3380CC4-5D6E-409C-BE32-E72D297353CC}">
                <c16:uniqueId val="{0000006C-01DB-4C1D-91FD-AC022CE63907}"/>
              </c:ext>
            </c:extLst>
          </c:dPt>
          <c:dPt>
            <c:idx val="109"/>
            <c:marker>
              <c:spPr>
                <a:solidFill>
                  <a:srgbClr val="4DB100"/>
                </a:solidFill>
                <a:ln w="9525">
                  <a:solidFill>
                    <a:schemeClr val="accent1"/>
                  </a:solidFill>
                </a:ln>
                <a:effectLst/>
              </c:spPr>
            </c:marker>
            <c:bubble3D val="0"/>
            <c:extLst>
              <c:ext xmlns:c16="http://schemas.microsoft.com/office/drawing/2014/chart" uri="{C3380CC4-5D6E-409C-BE32-E72D297353CC}">
                <c16:uniqueId val="{0000006D-01DB-4C1D-91FD-AC022CE63907}"/>
              </c:ext>
            </c:extLst>
          </c:dPt>
          <c:dPt>
            <c:idx val="110"/>
            <c:marker>
              <c:spPr>
                <a:solidFill>
                  <a:srgbClr val="0009F5"/>
                </a:solidFill>
                <a:ln w="9525">
                  <a:solidFill>
                    <a:schemeClr val="accent1"/>
                  </a:solidFill>
                </a:ln>
                <a:effectLst/>
              </c:spPr>
            </c:marker>
            <c:bubble3D val="0"/>
            <c:extLst>
              <c:ext xmlns:c16="http://schemas.microsoft.com/office/drawing/2014/chart" uri="{C3380CC4-5D6E-409C-BE32-E72D297353CC}">
                <c16:uniqueId val="{0000006E-01DB-4C1D-91FD-AC022CE63907}"/>
              </c:ext>
            </c:extLst>
          </c:dPt>
          <c:dPt>
            <c:idx val="111"/>
            <c:marker>
              <c:spPr>
                <a:solidFill>
                  <a:srgbClr val="00BD41"/>
                </a:solidFill>
                <a:ln w="9525">
                  <a:solidFill>
                    <a:schemeClr val="accent1"/>
                  </a:solidFill>
                </a:ln>
                <a:effectLst/>
              </c:spPr>
            </c:marker>
            <c:bubble3D val="0"/>
            <c:extLst>
              <c:ext xmlns:c16="http://schemas.microsoft.com/office/drawing/2014/chart" uri="{C3380CC4-5D6E-409C-BE32-E72D297353CC}">
                <c16:uniqueId val="{0000006F-01DB-4C1D-91FD-AC022CE63907}"/>
              </c:ext>
            </c:extLst>
          </c:dPt>
          <c:dPt>
            <c:idx val="112"/>
            <c:marker>
              <c:spPr>
                <a:solidFill>
                  <a:srgbClr val="0042BC"/>
                </a:solidFill>
                <a:ln w="9525">
                  <a:solidFill>
                    <a:schemeClr val="accent1"/>
                  </a:solidFill>
                </a:ln>
                <a:effectLst/>
              </c:spPr>
            </c:marker>
            <c:bubble3D val="0"/>
            <c:extLst>
              <c:ext xmlns:c16="http://schemas.microsoft.com/office/drawing/2014/chart" uri="{C3380CC4-5D6E-409C-BE32-E72D297353CC}">
                <c16:uniqueId val="{00000070-01DB-4C1D-91FD-AC022CE63907}"/>
              </c:ext>
            </c:extLst>
          </c:dPt>
          <c:dPt>
            <c:idx val="113"/>
            <c:marker>
              <c:spPr>
                <a:solidFill>
                  <a:srgbClr val="0052AC"/>
                </a:solidFill>
                <a:ln w="9525">
                  <a:solidFill>
                    <a:schemeClr val="accent1"/>
                  </a:solidFill>
                </a:ln>
                <a:effectLst/>
              </c:spPr>
            </c:marker>
            <c:bubble3D val="0"/>
            <c:extLst>
              <c:ext xmlns:c16="http://schemas.microsoft.com/office/drawing/2014/chart" uri="{C3380CC4-5D6E-409C-BE32-E72D297353CC}">
                <c16:uniqueId val="{00000071-01DB-4C1D-91FD-AC022CE63907}"/>
              </c:ext>
            </c:extLst>
          </c:dPt>
          <c:dPt>
            <c:idx val="114"/>
            <c:marker>
              <c:spPr>
                <a:solidFill>
                  <a:srgbClr val="006599"/>
                </a:solidFill>
                <a:ln w="9525">
                  <a:solidFill>
                    <a:schemeClr val="accent1"/>
                  </a:solidFill>
                </a:ln>
                <a:effectLst/>
              </c:spPr>
            </c:marker>
            <c:bubble3D val="0"/>
            <c:extLst>
              <c:ext xmlns:c16="http://schemas.microsoft.com/office/drawing/2014/chart" uri="{C3380CC4-5D6E-409C-BE32-E72D297353CC}">
                <c16:uniqueId val="{00000072-01DB-4C1D-91FD-AC022CE63907}"/>
              </c:ext>
            </c:extLst>
          </c:dPt>
          <c:dPt>
            <c:idx val="115"/>
            <c:marker>
              <c:spPr>
                <a:solidFill>
                  <a:srgbClr val="003FBF"/>
                </a:solidFill>
                <a:ln w="9525">
                  <a:solidFill>
                    <a:schemeClr val="accent1"/>
                  </a:solidFill>
                </a:ln>
                <a:effectLst/>
              </c:spPr>
            </c:marker>
            <c:bubble3D val="0"/>
            <c:extLst>
              <c:ext xmlns:c16="http://schemas.microsoft.com/office/drawing/2014/chart" uri="{C3380CC4-5D6E-409C-BE32-E72D297353CC}">
                <c16:uniqueId val="{00000073-01DB-4C1D-91FD-AC022CE63907}"/>
              </c:ext>
            </c:extLst>
          </c:dPt>
          <c:dPt>
            <c:idx val="116"/>
            <c:marker>
              <c:spPr>
                <a:solidFill>
                  <a:srgbClr val="0026D8"/>
                </a:solidFill>
                <a:ln w="9525">
                  <a:solidFill>
                    <a:schemeClr val="accent1"/>
                  </a:solidFill>
                </a:ln>
                <a:effectLst/>
              </c:spPr>
            </c:marker>
            <c:bubble3D val="0"/>
            <c:extLst>
              <c:ext xmlns:c16="http://schemas.microsoft.com/office/drawing/2014/chart" uri="{C3380CC4-5D6E-409C-BE32-E72D297353CC}">
                <c16:uniqueId val="{00000074-01DB-4C1D-91FD-AC022CE63907}"/>
              </c:ext>
            </c:extLst>
          </c:dPt>
          <c:dPt>
            <c:idx val="117"/>
            <c:marker>
              <c:spPr>
                <a:solidFill>
                  <a:srgbClr val="0049B5"/>
                </a:solidFill>
                <a:ln w="9525">
                  <a:solidFill>
                    <a:schemeClr val="accent1"/>
                  </a:solidFill>
                </a:ln>
                <a:effectLst/>
              </c:spPr>
            </c:marker>
            <c:bubble3D val="0"/>
            <c:extLst>
              <c:ext xmlns:c16="http://schemas.microsoft.com/office/drawing/2014/chart" uri="{C3380CC4-5D6E-409C-BE32-E72D297353CC}">
                <c16:uniqueId val="{00000075-01DB-4C1D-91FD-AC022CE63907}"/>
              </c:ext>
            </c:extLst>
          </c:dPt>
          <c:dPt>
            <c:idx val="118"/>
            <c:marker>
              <c:spPr>
                <a:solidFill>
                  <a:srgbClr val="00718D"/>
                </a:solidFill>
                <a:ln w="9525">
                  <a:solidFill>
                    <a:schemeClr val="accent1"/>
                  </a:solidFill>
                </a:ln>
                <a:effectLst/>
              </c:spPr>
            </c:marker>
            <c:bubble3D val="0"/>
            <c:extLst>
              <c:ext xmlns:c16="http://schemas.microsoft.com/office/drawing/2014/chart" uri="{C3380CC4-5D6E-409C-BE32-E72D297353CC}">
                <c16:uniqueId val="{00000076-01DB-4C1D-91FD-AC022CE63907}"/>
              </c:ext>
            </c:extLst>
          </c:dPt>
          <c:dPt>
            <c:idx val="119"/>
            <c:marker>
              <c:spPr>
                <a:solidFill>
                  <a:srgbClr val="0000FF"/>
                </a:solidFill>
                <a:ln w="9525">
                  <a:solidFill>
                    <a:schemeClr val="accent1"/>
                  </a:solidFill>
                </a:ln>
                <a:effectLst/>
              </c:spPr>
            </c:marker>
            <c:bubble3D val="0"/>
            <c:extLst>
              <c:ext xmlns:c16="http://schemas.microsoft.com/office/drawing/2014/chart" uri="{C3380CC4-5D6E-409C-BE32-E72D297353CC}">
                <c16:uniqueId val="{00000077-01DB-4C1D-91FD-AC022CE63907}"/>
              </c:ext>
            </c:extLst>
          </c:dPt>
          <c:dPt>
            <c:idx val="120"/>
            <c:marker>
              <c:spPr>
                <a:solidFill>
                  <a:srgbClr val="0047B7"/>
                </a:solidFill>
                <a:ln w="9525">
                  <a:solidFill>
                    <a:schemeClr val="accent1"/>
                  </a:solidFill>
                </a:ln>
                <a:effectLst/>
              </c:spPr>
            </c:marker>
            <c:bubble3D val="0"/>
            <c:extLst>
              <c:ext xmlns:c16="http://schemas.microsoft.com/office/drawing/2014/chart" uri="{C3380CC4-5D6E-409C-BE32-E72D297353CC}">
                <c16:uniqueId val="{00000078-01DB-4C1D-91FD-AC022CE63907}"/>
              </c:ext>
            </c:extLst>
          </c:dPt>
          <c:dPt>
            <c:idx val="121"/>
            <c:marker>
              <c:spPr>
                <a:solidFill>
                  <a:srgbClr val="007985"/>
                </a:solidFill>
                <a:ln w="9525">
                  <a:solidFill>
                    <a:schemeClr val="accent1"/>
                  </a:solidFill>
                </a:ln>
                <a:effectLst/>
              </c:spPr>
            </c:marker>
            <c:bubble3D val="0"/>
            <c:extLst>
              <c:ext xmlns:c16="http://schemas.microsoft.com/office/drawing/2014/chart" uri="{C3380CC4-5D6E-409C-BE32-E72D297353CC}">
                <c16:uniqueId val="{00000079-01DB-4C1D-91FD-AC022CE63907}"/>
              </c:ext>
            </c:extLst>
          </c:dPt>
          <c:dPt>
            <c:idx val="122"/>
            <c:marker>
              <c:spPr>
                <a:solidFill>
                  <a:srgbClr val="000AF4"/>
                </a:solidFill>
                <a:ln w="9525">
                  <a:solidFill>
                    <a:schemeClr val="accent1"/>
                  </a:solidFill>
                </a:ln>
                <a:effectLst/>
              </c:spPr>
            </c:marker>
            <c:bubble3D val="0"/>
            <c:extLst>
              <c:ext xmlns:c16="http://schemas.microsoft.com/office/drawing/2014/chart" uri="{C3380CC4-5D6E-409C-BE32-E72D297353CC}">
                <c16:uniqueId val="{0000007A-01DB-4C1D-91FD-AC022CE63907}"/>
              </c:ext>
            </c:extLst>
          </c:dPt>
          <c:dPt>
            <c:idx val="123"/>
            <c:marker>
              <c:spPr>
                <a:solidFill>
                  <a:srgbClr val="39C500"/>
                </a:solidFill>
                <a:ln w="9525">
                  <a:solidFill>
                    <a:schemeClr val="accent1"/>
                  </a:solidFill>
                </a:ln>
                <a:effectLst/>
              </c:spPr>
            </c:marker>
            <c:bubble3D val="0"/>
            <c:extLst>
              <c:ext xmlns:c16="http://schemas.microsoft.com/office/drawing/2014/chart" uri="{C3380CC4-5D6E-409C-BE32-E72D297353CC}">
                <c16:uniqueId val="{0000007B-01DB-4C1D-91FD-AC022CE63907}"/>
              </c:ext>
            </c:extLst>
          </c:dPt>
          <c:dPt>
            <c:idx val="124"/>
            <c:marker>
              <c:spPr>
                <a:solidFill>
                  <a:srgbClr val="00AE50"/>
                </a:solidFill>
                <a:ln w="9525">
                  <a:solidFill>
                    <a:schemeClr val="accent1"/>
                  </a:solidFill>
                </a:ln>
                <a:effectLst/>
              </c:spPr>
            </c:marker>
            <c:bubble3D val="0"/>
            <c:extLst>
              <c:ext xmlns:c16="http://schemas.microsoft.com/office/drawing/2014/chart" uri="{C3380CC4-5D6E-409C-BE32-E72D297353CC}">
                <c16:uniqueId val="{0000007C-01DB-4C1D-91FD-AC022CE63907}"/>
              </c:ext>
            </c:extLst>
          </c:dPt>
          <c:dPt>
            <c:idx val="125"/>
            <c:marker>
              <c:spPr>
                <a:solidFill>
                  <a:srgbClr val="005AA4"/>
                </a:solidFill>
                <a:ln w="9525">
                  <a:solidFill>
                    <a:schemeClr val="accent1"/>
                  </a:solidFill>
                </a:ln>
                <a:effectLst/>
              </c:spPr>
            </c:marker>
            <c:bubble3D val="0"/>
            <c:extLst>
              <c:ext xmlns:c16="http://schemas.microsoft.com/office/drawing/2014/chart" uri="{C3380CC4-5D6E-409C-BE32-E72D297353CC}">
                <c16:uniqueId val="{0000007D-01DB-4C1D-91FD-AC022CE63907}"/>
              </c:ext>
            </c:extLst>
          </c:dPt>
          <c:dPt>
            <c:idx val="126"/>
            <c:marker>
              <c:spPr>
                <a:solidFill>
                  <a:srgbClr val="005AA4"/>
                </a:solidFill>
                <a:ln w="9525">
                  <a:solidFill>
                    <a:schemeClr val="accent1"/>
                  </a:solidFill>
                </a:ln>
                <a:effectLst/>
              </c:spPr>
            </c:marker>
            <c:bubble3D val="0"/>
            <c:extLst>
              <c:ext xmlns:c16="http://schemas.microsoft.com/office/drawing/2014/chart" uri="{C3380CC4-5D6E-409C-BE32-E72D297353CC}">
                <c16:uniqueId val="{0000007E-01DB-4C1D-91FD-AC022CE63907}"/>
              </c:ext>
            </c:extLst>
          </c:dPt>
          <c:dPt>
            <c:idx val="127"/>
            <c:marker>
              <c:spPr>
                <a:solidFill>
                  <a:srgbClr val="00DA24"/>
                </a:solidFill>
                <a:ln w="9525">
                  <a:solidFill>
                    <a:schemeClr val="accent1"/>
                  </a:solidFill>
                </a:ln>
                <a:effectLst/>
              </c:spPr>
            </c:marker>
            <c:bubble3D val="0"/>
            <c:extLst>
              <c:ext xmlns:c16="http://schemas.microsoft.com/office/drawing/2014/chart" uri="{C3380CC4-5D6E-409C-BE32-E72D297353CC}">
                <c16:uniqueId val="{0000007F-01DB-4C1D-91FD-AC022CE63907}"/>
              </c:ext>
            </c:extLst>
          </c:dPt>
          <c:dPt>
            <c:idx val="128"/>
            <c:marker>
              <c:spPr>
                <a:solidFill>
                  <a:srgbClr val="00609E"/>
                </a:solidFill>
                <a:ln w="9525">
                  <a:solidFill>
                    <a:schemeClr val="accent1"/>
                  </a:solidFill>
                </a:ln>
                <a:effectLst/>
              </c:spPr>
            </c:marker>
            <c:bubble3D val="0"/>
            <c:extLst>
              <c:ext xmlns:c16="http://schemas.microsoft.com/office/drawing/2014/chart" uri="{C3380CC4-5D6E-409C-BE32-E72D297353CC}">
                <c16:uniqueId val="{00000080-01DB-4C1D-91FD-AC022CE63907}"/>
              </c:ext>
            </c:extLst>
          </c:dPt>
          <c:dPt>
            <c:idx val="129"/>
            <c:marker>
              <c:spPr>
                <a:solidFill>
                  <a:srgbClr val="0028D6"/>
                </a:solidFill>
                <a:ln w="9525">
                  <a:solidFill>
                    <a:schemeClr val="accent1"/>
                  </a:solidFill>
                </a:ln>
                <a:effectLst/>
              </c:spPr>
            </c:marker>
            <c:bubble3D val="0"/>
            <c:extLst>
              <c:ext xmlns:c16="http://schemas.microsoft.com/office/drawing/2014/chart" uri="{C3380CC4-5D6E-409C-BE32-E72D297353CC}">
                <c16:uniqueId val="{00000081-01DB-4C1D-91FD-AC022CE63907}"/>
              </c:ext>
            </c:extLst>
          </c:dPt>
          <c:dPt>
            <c:idx val="130"/>
            <c:marker>
              <c:spPr>
                <a:solidFill>
                  <a:srgbClr val="0000FF"/>
                </a:solidFill>
                <a:ln w="9525">
                  <a:solidFill>
                    <a:schemeClr val="accent1"/>
                  </a:solidFill>
                </a:ln>
                <a:effectLst/>
              </c:spPr>
            </c:marker>
            <c:bubble3D val="0"/>
            <c:extLst>
              <c:ext xmlns:c16="http://schemas.microsoft.com/office/drawing/2014/chart" uri="{C3380CC4-5D6E-409C-BE32-E72D297353CC}">
                <c16:uniqueId val="{00000082-01DB-4C1D-91FD-AC022CE63907}"/>
              </c:ext>
            </c:extLst>
          </c:dPt>
          <c:dPt>
            <c:idx val="131"/>
            <c:marker>
              <c:spPr>
                <a:solidFill>
                  <a:srgbClr val="001AE4"/>
                </a:solidFill>
                <a:ln w="9525">
                  <a:solidFill>
                    <a:schemeClr val="accent1"/>
                  </a:solidFill>
                </a:ln>
                <a:effectLst/>
              </c:spPr>
            </c:marker>
            <c:bubble3D val="0"/>
            <c:extLst>
              <c:ext xmlns:c16="http://schemas.microsoft.com/office/drawing/2014/chart" uri="{C3380CC4-5D6E-409C-BE32-E72D297353CC}">
                <c16:uniqueId val="{00000083-01DB-4C1D-91FD-AC022CE63907}"/>
              </c:ext>
            </c:extLst>
          </c:dPt>
          <c:dPt>
            <c:idx val="132"/>
            <c:marker>
              <c:spPr>
                <a:solidFill>
                  <a:srgbClr val="0000FF"/>
                </a:solidFill>
                <a:ln w="9525">
                  <a:solidFill>
                    <a:schemeClr val="accent1"/>
                  </a:solidFill>
                </a:ln>
                <a:effectLst/>
              </c:spPr>
            </c:marker>
            <c:bubble3D val="0"/>
            <c:extLst>
              <c:ext xmlns:c16="http://schemas.microsoft.com/office/drawing/2014/chart" uri="{C3380CC4-5D6E-409C-BE32-E72D297353CC}">
                <c16:uniqueId val="{00000084-01DB-4C1D-91FD-AC022CE63907}"/>
              </c:ext>
            </c:extLst>
          </c:dPt>
          <c:dPt>
            <c:idx val="133"/>
            <c:marker>
              <c:spPr>
                <a:solidFill>
                  <a:srgbClr val="0000FF"/>
                </a:solidFill>
                <a:ln w="9525">
                  <a:solidFill>
                    <a:schemeClr val="accent1"/>
                  </a:solidFill>
                </a:ln>
                <a:effectLst/>
              </c:spPr>
            </c:marker>
            <c:bubble3D val="0"/>
            <c:extLst>
              <c:ext xmlns:c16="http://schemas.microsoft.com/office/drawing/2014/chart" uri="{C3380CC4-5D6E-409C-BE32-E72D297353CC}">
                <c16:uniqueId val="{00000085-01DB-4C1D-91FD-AC022CE63907}"/>
              </c:ext>
            </c:extLst>
          </c:dPt>
          <c:dPt>
            <c:idx val="134"/>
            <c:marker>
              <c:spPr>
                <a:solidFill>
                  <a:srgbClr val="0000FF"/>
                </a:solidFill>
                <a:ln w="9525">
                  <a:solidFill>
                    <a:schemeClr val="accent1"/>
                  </a:solidFill>
                </a:ln>
                <a:effectLst/>
              </c:spPr>
            </c:marker>
            <c:bubble3D val="0"/>
            <c:extLst>
              <c:ext xmlns:c16="http://schemas.microsoft.com/office/drawing/2014/chart" uri="{C3380CC4-5D6E-409C-BE32-E72D297353CC}">
                <c16:uniqueId val="{00000086-01DB-4C1D-91FD-AC022CE63907}"/>
              </c:ext>
            </c:extLst>
          </c:dPt>
          <c:dPt>
            <c:idx val="135"/>
            <c:marker>
              <c:spPr>
                <a:solidFill>
                  <a:srgbClr val="0000FF"/>
                </a:solidFill>
                <a:ln w="9525">
                  <a:solidFill>
                    <a:schemeClr val="accent1"/>
                  </a:solidFill>
                </a:ln>
                <a:effectLst/>
              </c:spPr>
            </c:marker>
            <c:bubble3D val="0"/>
            <c:extLst>
              <c:ext xmlns:c16="http://schemas.microsoft.com/office/drawing/2014/chart" uri="{C3380CC4-5D6E-409C-BE32-E72D297353CC}">
                <c16:uniqueId val="{00000087-01DB-4C1D-91FD-AC022CE63907}"/>
              </c:ext>
            </c:extLst>
          </c:dPt>
          <c:dPt>
            <c:idx val="136"/>
            <c:marker>
              <c:spPr>
                <a:solidFill>
                  <a:srgbClr val="00A658"/>
                </a:solidFill>
                <a:ln w="9525">
                  <a:solidFill>
                    <a:schemeClr val="accent1"/>
                  </a:solidFill>
                </a:ln>
                <a:effectLst/>
              </c:spPr>
            </c:marker>
            <c:bubble3D val="0"/>
            <c:extLst>
              <c:ext xmlns:c16="http://schemas.microsoft.com/office/drawing/2014/chart" uri="{C3380CC4-5D6E-409C-BE32-E72D297353CC}">
                <c16:uniqueId val="{00000088-01DB-4C1D-91FD-AC022CE63907}"/>
              </c:ext>
            </c:extLst>
          </c:dPt>
          <c:dPt>
            <c:idx val="137"/>
            <c:marker>
              <c:spPr>
                <a:solidFill>
                  <a:srgbClr val="0048B6"/>
                </a:solidFill>
                <a:ln w="9525">
                  <a:solidFill>
                    <a:schemeClr val="accent1"/>
                  </a:solidFill>
                </a:ln>
                <a:effectLst/>
              </c:spPr>
            </c:marker>
            <c:bubble3D val="0"/>
            <c:extLst>
              <c:ext xmlns:c16="http://schemas.microsoft.com/office/drawing/2014/chart" uri="{C3380CC4-5D6E-409C-BE32-E72D297353CC}">
                <c16:uniqueId val="{00000089-01DB-4C1D-91FD-AC022CE63907}"/>
              </c:ext>
            </c:extLst>
          </c:dPt>
          <c:dPt>
            <c:idx val="138"/>
            <c:marker>
              <c:spPr>
                <a:solidFill>
                  <a:srgbClr val="0000FF"/>
                </a:solidFill>
                <a:ln w="9525">
                  <a:solidFill>
                    <a:schemeClr val="accent1"/>
                  </a:solidFill>
                </a:ln>
                <a:effectLst/>
              </c:spPr>
            </c:marker>
            <c:bubble3D val="0"/>
            <c:extLst>
              <c:ext xmlns:c16="http://schemas.microsoft.com/office/drawing/2014/chart" uri="{C3380CC4-5D6E-409C-BE32-E72D297353CC}">
                <c16:uniqueId val="{0000008A-01DB-4C1D-91FD-AC022CE63907}"/>
              </c:ext>
            </c:extLst>
          </c:dPt>
          <c:dPt>
            <c:idx val="139"/>
            <c:marker>
              <c:spPr>
                <a:solidFill>
                  <a:srgbClr val="009965"/>
                </a:solidFill>
                <a:ln w="9525">
                  <a:solidFill>
                    <a:schemeClr val="accent1"/>
                  </a:solidFill>
                </a:ln>
                <a:effectLst/>
              </c:spPr>
            </c:marker>
            <c:bubble3D val="0"/>
            <c:extLst>
              <c:ext xmlns:c16="http://schemas.microsoft.com/office/drawing/2014/chart" uri="{C3380CC4-5D6E-409C-BE32-E72D297353CC}">
                <c16:uniqueId val="{0000008B-01DB-4C1D-91FD-AC022CE63907}"/>
              </c:ext>
            </c:extLst>
          </c:dPt>
          <c:dPt>
            <c:idx val="140"/>
            <c:marker>
              <c:spPr>
                <a:solidFill>
                  <a:srgbClr val="005CA2"/>
                </a:solidFill>
                <a:ln w="9525">
                  <a:solidFill>
                    <a:schemeClr val="accent1"/>
                  </a:solidFill>
                </a:ln>
                <a:effectLst/>
              </c:spPr>
            </c:marker>
            <c:bubble3D val="0"/>
            <c:extLst>
              <c:ext xmlns:c16="http://schemas.microsoft.com/office/drawing/2014/chart" uri="{C3380CC4-5D6E-409C-BE32-E72D297353CC}">
                <c16:uniqueId val="{0000008C-01DB-4C1D-91FD-AC022CE63907}"/>
              </c:ext>
            </c:extLst>
          </c:dPt>
          <c:dPt>
            <c:idx val="141"/>
            <c:marker>
              <c:spPr>
                <a:solidFill>
                  <a:srgbClr val="3AC400"/>
                </a:solidFill>
                <a:ln w="9525">
                  <a:solidFill>
                    <a:schemeClr val="accent1"/>
                  </a:solidFill>
                </a:ln>
                <a:effectLst/>
              </c:spPr>
            </c:marker>
            <c:bubble3D val="0"/>
            <c:extLst>
              <c:ext xmlns:c16="http://schemas.microsoft.com/office/drawing/2014/chart" uri="{C3380CC4-5D6E-409C-BE32-E72D297353CC}">
                <c16:uniqueId val="{0000008D-01DB-4C1D-91FD-AC022CE63907}"/>
              </c:ext>
            </c:extLst>
          </c:dPt>
          <c:dPt>
            <c:idx val="142"/>
            <c:marker>
              <c:spPr>
                <a:solidFill>
                  <a:srgbClr val="28D600"/>
                </a:solidFill>
                <a:ln w="9525">
                  <a:solidFill>
                    <a:schemeClr val="accent1"/>
                  </a:solidFill>
                </a:ln>
                <a:effectLst/>
              </c:spPr>
            </c:marker>
            <c:bubble3D val="0"/>
            <c:extLst>
              <c:ext xmlns:c16="http://schemas.microsoft.com/office/drawing/2014/chart" uri="{C3380CC4-5D6E-409C-BE32-E72D297353CC}">
                <c16:uniqueId val="{0000008E-01DB-4C1D-91FD-AC022CE63907}"/>
              </c:ext>
            </c:extLst>
          </c:dPt>
          <c:dPt>
            <c:idx val="143"/>
            <c:marker>
              <c:spPr>
                <a:solidFill>
                  <a:srgbClr val="0000FF"/>
                </a:solidFill>
                <a:ln w="9525">
                  <a:solidFill>
                    <a:schemeClr val="accent1"/>
                  </a:solidFill>
                </a:ln>
                <a:effectLst/>
              </c:spPr>
            </c:marker>
            <c:bubble3D val="0"/>
            <c:extLst>
              <c:ext xmlns:c16="http://schemas.microsoft.com/office/drawing/2014/chart" uri="{C3380CC4-5D6E-409C-BE32-E72D297353CC}">
                <c16:uniqueId val="{0000008F-01DB-4C1D-91FD-AC022CE63907}"/>
              </c:ext>
            </c:extLst>
          </c:dPt>
          <c:dPt>
            <c:idx val="144"/>
            <c:marker>
              <c:spPr>
                <a:solidFill>
                  <a:srgbClr val="0000FF"/>
                </a:solidFill>
                <a:ln w="9525">
                  <a:solidFill>
                    <a:schemeClr val="accent1"/>
                  </a:solidFill>
                </a:ln>
                <a:effectLst/>
              </c:spPr>
            </c:marker>
            <c:bubble3D val="0"/>
            <c:extLst>
              <c:ext xmlns:c16="http://schemas.microsoft.com/office/drawing/2014/chart" uri="{C3380CC4-5D6E-409C-BE32-E72D297353CC}">
                <c16:uniqueId val="{00000090-01DB-4C1D-91FD-AC022CE63907}"/>
              </c:ext>
            </c:extLst>
          </c:dPt>
          <c:dPt>
            <c:idx val="145"/>
            <c:marker>
              <c:spPr>
                <a:solidFill>
                  <a:srgbClr val="0000FF"/>
                </a:solidFill>
                <a:ln w="9525">
                  <a:solidFill>
                    <a:schemeClr val="accent1"/>
                  </a:solidFill>
                </a:ln>
                <a:effectLst/>
              </c:spPr>
            </c:marker>
            <c:bubble3D val="0"/>
            <c:extLst>
              <c:ext xmlns:c16="http://schemas.microsoft.com/office/drawing/2014/chart" uri="{C3380CC4-5D6E-409C-BE32-E72D297353CC}">
                <c16:uniqueId val="{00000091-01DB-4C1D-91FD-AC022CE63907}"/>
              </c:ext>
            </c:extLst>
          </c:dPt>
          <c:dPt>
            <c:idx val="146"/>
            <c:marker>
              <c:spPr>
                <a:solidFill>
                  <a:srgbClr val="0000FF"/>
                </a:solidFill>
                <a:ln w="9525">
                  <a:solidFill>
                    <a:schemeClr val="accent1"/>
                  </a:solidFill>
                </a:ln>
                <a:effectLst/>
              </c:spPr>
            </c:marker>
            <c:bubble3D val="0"/>
            <c:extLst>
              <c:ext xmlns:c16="http://schemas.microsoft.com/office/drawing/2014/chart" uri="{C3380CC4-5D6E-409C-BE32-E72D297353CC}">
                <c16:uniqueId val="{00000092-01DB-4C1D-91FD-AC022CE63907}"/>
              </c:ext>
            </c:extLst>
          </c:dPt>
          <c:dPt>
            <c:idx val="147"/>
            <c:marker>
              <c:spPr>
                <a:solidFill>
                  <a:srgbClr val="0000FF"/>
                </a:solidFill>
                <a:ln w="9525">
                  <a:solidFill>
                    <a:schemeClr val="accent1"/>
                  </a:solidFill>
                </a:ln>
                <a:effectLst/>
              </c:spPr>
            </c:marker>
            <c:bubble3D val="0"/>
            <c:extLst>
              <c:ext xmlns:c16="http://schemas.microsoft.com/office/drawing/2014/chart" uri="{C3380CC4-5D6E-409C-BE32-E72D297353CC}">
                <c16:uniqueId val="{00000093-01DB-4C1D-91FD-AC022CE63907}"/>
              </c:ext>
            </c:extLst>
          </c:dPt>
          <c:dPt>
            <c:idx val="148"/>
            <c:marker>
              <c:spPr>
                <a:solidFill>
                  <a:srgbClr val="008C72"/>
                </a:solidFill>
                <a:ln w="9525">
                  <a:solidFill>
                    <a:schemeClr val="accent1"/>
                  </a:solidFill>
                </a:ln>
                <a:effectLst/>
              </c:spPr>
            </c:marker>
            <c:bubble3D val="0"/>
            <c:extLst>
              <c:ext xmlns:c16="http://schemas.microsoft.com/office/drawing/2014/chart" uri="{C3380CC4-5D6E-409C-BE32-E72D297353CC}">
                <c16:uniqueId val="{00000094-01DB-4C1D-91FD-AC022CE63907}"/>
              </c:ext>
            </c:extLst>
          </c:dPt>
          <c:dPt>
            <c:idx val="149"/>
            <c:marker>
              <c:spPr>
                <a:solidFill>
                  <a:srgbClr val="0000FF"/>
                </a:solidFill>
                <a:ln w="9525">
                  <a:solidFill>
                    <a:schemeClr val="accent1"/>
                  </a:solidFill>
                </a:ln>
                <a:effectLst/>
              </c:spPr>
            </c:marker>
            <c:bubble3D val="0"/>
            <c:extLst>
              <c:ext xmlns:c16="http://schemas.microsoft.com/office/drawing/2014/chart" uri="{C3380CC4-5D6E-409C-BE32-E72D297353CC}">
                <c16:uniqueId val="{00000095-01DB-4C1D-91FD-AC022CE63907}"/>
              </c:ext>
            </c:extLst>
          </c:dPt>
          <c:dPt>
            <c:idx val="150"/>
            <c:marker>
              <c:spPr>
                <a:solidFill>
                  <a:srgbClr val="0042BC"/>
                </a:solidFill>
                <a:ln w="9525">
                  <a:solidFill>
                    <a:schemeClr val="accent1"/>
                  </a:solidFill>
                </a:ln>
                <a:effectLst/>
              </c:spPr>
            </c:marker>
            <c:bubble3D val="0"/>
            <c:extLst>
              <c:ext xmlns:c16="http://schemas.microsoft.com/office/drawing/2014/chart" uri="{C3380CC4-5D6E-409C-BE32-E72D297353CC}">
                <c16:uniqueId val="{00000096-01DB-4C1D-91FD-AC022CE63907}"/>
              </c:ext>
            </c:extLst>
          </c:dPt>
          <c:dPt>
            <c:idx val="151"/>
            <c:marker>
              <c:spPr>
                <a:solidFill>
                  <a:srgbClr val="00AE50"/>
                </a:solidFill>
                <a:ln w="9525">
                  <a:solidFill>
                    <a:schemeClr val="accent1"/>
                  </a:solidFill>
                </a:ln>
                <a:effectLst/>
              </c:spPr>
            </c:marker>
            <c:bubble3D val="0"/>
            <c:extLst>
              <c:ext xmlns:c16="http://schemas.microsoft.com/office/drawing/2014/chart" uri="{C3380CC4-5D6E-409C-BE32-E72D297353CC}">
                <c16:uniqueId val="{00000097-01DB-4C1D-91FD-AC022CE63907}"/>
              </c:ext>
            </c:extLst>
          </c:dPt>
          <c:dPt>
            <c:idx val="152"/>
            <c:marker>
              <c:spPr>
                <a:solidFill>
                  <a:srgbClr val="0000FF"/>
                </a:solidFill>
                <a:ln w="9525">
                  <a:solidFill>
                    <a:schemeClr val="accent1"/>
                  </a:solidFill>
                </a:ln>
                <a:effectLst/>
              </c:spPr>
            </c:marker>
            <c:bubble3D val="0"/>
            <c:extLst>
              <c:ext xmlns:c16="http://schemas.microsoft.com/office/drawing/2014/chart" uri="{C3380CC4-5D6E-409C-BE32-E72D297353CC}">
                <c16:uniqueId val="{00000098-01DB-4C1D-91FD-AC022CE63907}"/>
              </c:ext>
            </c:extLst>
          </c:dPt>
          <c:dPt>
            <c:idx val="153"/>
            <c:marker>
              <c:spPr>
                <a:solidFill>
                  <a:srgbClr val="0008F6"/>
                </a:solidFill>
                <a:ln w="9525">
                  <a:solidFill>
                    <a:schemeClr val="accent1"/>
                  </a:solidFill>
                </a:ln>
                <a:effectLst/>
              </c:spPr>
            </c:marker>
            <c:bubble3D val="0"/>
            <c:extLst>
              <c:ext xmlns:c16="http://schemas.microsoft.com/office/drawing/2014/chart" uri="{C3380CC4-5D6E-409C-BE32-E72D297353CC}">
                <c16:uniqueId val="{00000099-01DB-4C1D-91FD-AC022CE63907}"/>
              </c:ext>
            </c:extLst>
          </c:dPt>
          <c:dPt>
            <c:idx val="154"/>
            <c:marker>
              <c:spPr>
                <a:solidFill>
                  <a:srgbClr val="0000FF"/>
                </a:solidFill>
                <a:ln w="9525">
                  <a:solidFill>
                    <a:schemeClr val="accent1"/>
                  </a:solidFill>
                </a:ln>
                <a:effectLst/>
              </c:spPr>
            </c:marker>
            <c:bubble3D val="0"/>
            <c:extLst>
              <c:ext xmlns:c16="http://schemas.microsoft.com/office/drawing/2014/chart" uri="{C3380CC4-5D6E-409C-BE32-E72D297353CC}">
                <c16:uniqueId val="{0000009A-01DB-4C1D-91FD-AC022CE63907}"/>
              </c:ext>
            </c:extLst>
          </c:dPt>
          <c:dPt>
            <c:idx val="155"/>
            <c:marker>
              <c:spPr>
                <a:solidFill>
                  <a:srgbClr val="006B93"/>
                </a:solidFill>
                <a:ln w="9525">
                  <a:solidFill>
                    <a:schemeClr val="accent1"/>
                  </a:solidFill>
                </a:ln>
                <a:effectLst/>
              </c:spPr>
            </c:marker>
            <c:bubble3D val="0"/>
            <c:extLst>
              <c:ext xmlns:c16="http://schemas.microsoft.com/office/drawing/2014/chart" uri="{C3380CC4-5D6E-409C-BE32-E72D297353CC}">
                <c16:uniqueId val="{0000009B-01DB-4C1D-91FD-AC022CE63907}"/>
              </c:ext>
            </c:extLst>
          </c:dPt>
          <c:dPt>
            <c:idx val="156"/>
            <c:marker>
              <c:spPr>
                <a:solidFill>
                  <a:srgbClr val="0000FF"/>
                </a:solidFill>
                <a:ln w="9525">
                  <a:solidFill>
                    <a:schemeClr val="accent1"/>
                  </a:solidFill>
                </a:ln>
                <a:effectLst/>
              </c:spPr>
            </c:marker>
            <c:bubble3D val="0"/>
            <c:extLst>
              <c:ext xmlns:c16="http://schemas.microsoft.com/office/drawing/2014/chart" uri="{C3380CC4-5D6E-409C-BE32-E72D297353CC}">
                <c16:uniqueId val="{0000009C-01DB-4C1D-91FD-AC022CE63907}"/>
              </c:ext>
            </c:extLst>
          </c:dPt>
          <c:dPt>
            <c:idx val="157"/>
            <c:marker>
              <c:spPr>
                <a:solidFill>
                  <a:srgbClr val="0000FF"/>
                </a:solidFill>
                <a:ln w="9525">
                  <a:solidFill>
                    <a:schemeClr val="accent1"/>
                  </a:solidFill>
                </a:ln>
                <a:effectLst/>
              </c:spPr>
            </c:marker>
            <c:bubble3D val="0"/>
            <c:extLst>
              <c:ext xmlns:c16="http://schemas.microsoft.com/office/drawing/2014/chart" uri="{C3380CC4-5D6E-409C-BE32-E72D297353CC}">
                <c16:uniqueId val="{0000009D-01DB-4C1D-91FD-AC022CE63907}"/>
              </c:ext>
            </c:extLst>
          </c:dPt>
          <c:dPt>
            <c:idx val="158"/>
            <c:marker>
              <c:spPr>
                <a:solidFill>
                  <a:srgbClr val="0000FF"/>
                </a:solidFill>
                <a:ln w="9525">
                  <a:solidFill>
                    <a:schemeClr val="accent1"/>
                  </a:solidFill>
                </a:ln>
                <a:effectLst/>
              </c:spPr>
            </c:marker>
            <c:bubble3D val="0"/>
            <c:extLst>
              <c:ext xmlns:c16="http://schemas.microsoft.com/office/drawing/2014/chart" uri="{C3380CC4-5D6E-409C-BE32-E72D297353CC}">
                <c16:uniqueId val="{0000009E-01DB-4C1D-91FD-AC022CE63907}"/>
              </c:ext>
            </c:extLst>
          </c:dPt>
          <c:dPt>
            <c:idx val="159"/>
            <c:marker>
              <c:spPr>
                <a:solidFill>
                  <a:srgbClr val="0000FF"/>
                </a:solidFill>
                <a:ln w="9525">
                  <a:solidFill>
                    <a:schemeClr val="accent1"/>
                  </a:solidFill>
                </a:ln>
                <a:effectLst/>
              </c:spPr>
            </c:marker>
            <c:bubble3D val="0"/>
            <c:extLst>
              <c:ext xmlns:c16="http://schemas.microsoft.com/office/drawing/2014/chart" uri="{C3380CC4-5D6E-409C-BE32-E72D297353CC}">
                <c16:uniqueId val="{0000009F-01DB-4C1D-91FD-AC022CE63907}"/>
              </c:ext>
            </c:extLst>
          </c:dPt>
          <c:dPt>
            <c:idx val="160"/>
            <c:marker>
              <c:spPr>
                <a:solidFill>
                  <a:srgbClr val="0046B8"/>
                </a:solidFill>
                <a:ln w="9525">
                  <a:solidFill>
                    <a:schemeClr val="accent1"/>
                  </a:solidFill>
                </a:ln>
                <a:effectLst/>
              </c:spPr>
            </c:marker>
            <c:bubble3D val="0"/>
            <c:extLst>
              <c:ext xmlns:c16="http://schemas.microsoft.com/office/drawing/2014/chart" uri="{C3380CC4-5D6E-409C-BE32-E72D297353CC}">
                <c16:uniqueId val="{000000A0-01DB-4C1D-91FD-AC022CE63907}"/>
              </c:ext>
            </c:extLst>
          </c:dPt>
          <c:dPt>
            <c:idx val="161"/>
            <c:marker>
              <c:spPr>
                <a:solidFill>
                  <a:srgbClr val="0057A7"/>
                </a:solidFill>
                <a:ln w="9525">
                  <a:solidFill>
                    <a:schemeClr val="accent1"/>
                  </a:solidFill>
                </a:ln>
                <a:effectLst/>
              </c:spPr>
            </c:marker>
            <c:bubble3D val="0"/>
            <c:extLst>
              <c:ext xmlns:c16="http://schemas.microsoft.com/office/drawing/2014/chart" uri="{C3380CC4-5D6E-409C-BE32-E72D297353CC}">
                <c16:uniqueId val="{000000A1-01DB-4C1D-91FD-AC022CE63907}"/>
              </c:ext>
            </c:extLst>
          </c:dPt>
          <c:dPt>
            <c:idx val="162"/>
            <c:marker>
              <c:spPr>
                <a:solidFill>
                  <a:srgbClr val="00ED11"/>
                </a:solidFill>
                <a:ln w="9525">
                  <a:solidFill>
                    <a:schemeClr val="accent1"/>
                  </a:solidFill>
                </a:ln>
                <a:effectLst/>
              </c:spPr>
            </c:marker>
            <c:bubble3D val="0"/>
            <c:extLst>
              <c:ext xmlns:c16="http://schemas.microsoft.com/office/drawing/2014/chart" uri="{C3380CC4-5D6E-409C-BE32-E72D297353CC}">
                <c16:uniqueId val="{000000A2-01DB-4C1D-91FD-AC022CE63907}"/>
              </c:ext>
            </c:extLst>
          </c:dPt>
          <c:dPt>
            <c:idx val="163"/>
            <c:marker>
              <c:spPr>
                <a:solidFill>
                  <a:srgbClr val="00C23C"/>
                </a:solidFill>
                <a:ln w="9525">
                  <a:solidFill>
                    <a:schemeClr val="accent1"/>
                  </a:solidFill>
                </a:ln>
                <a:effectLst/>
              </c:spPr>
            </c:marker>
            <c:bubble3D val="0"/>
            <c:extLst>
              <c:ext xmlns:c16="http://schemas.microsoft.com/office/drawing/2014/chart" uri="{C3380CC4-5D6E-409C-BE32-E72D297353CC}">
                <c16:uniqueId val="{000000A3-01DB-4C1D-91FD-AC022CE63907}"/>
              </c:ext>
            </c:extLst>
          </c:dPt>
          <c:dPt>
            <c:idx val="164"/>
            <c:marker>
              <c:spPr>
                <a:solidFill>
                  <a:srgbClr val="00BB43"/>
                </a:solidFill>
                <a:ln w="9525">
                  <a:solidFill>
                    <a:schemeClr val="accent1"/>
                  </a:solidFill>
                </a:ln>
                <a:effectLst/>
              </c:spPr>
            </c:marker>
            <c:bubble3D val="0"/>
            <c:extLst>
              <c:ext xmlns:c16="http://schemas.microsoft.com/office/drawing/2014/chart" uri="{C3380CC4-5D6E-409C-BE32-E72D297353CC}">
                <c16:uniqueId val="{000000A4-01DB-4C1D-91FD-AC022CE63907}"/>
              </c:ext>
            </c:extLst>
          </c:dPt>
          <c:dPt>
            <c:idx val="165"/>
            <c:marker>
              <c:spPr>
                <a:solidFill>
                  <a:srgbClr val="0000FF"/>
                </a:solidFill>
                <a:ln w="9525">
                  <a:solidFill>
                    <a:schemeClr val="accent1"/>
                  </a:solidFill>
                </a:ln>
                <a:effectLst/>
              </c:spPr>
            </c:marker>
            <c:bubble3D val="0"/>
            <c:extLst>
              <c:ext xmlns:c16="http://schemas.microsoft.com/office/drawing/2014/chart" uri="{C3380CC4-5D6E-409C-BE32-E72D297353CC}">
                <c16:uniqueId val="{000000A5-01DB-4C1D-91FD-AC022CE63907}"/>
              </c:ext>
            </c:extLst>
          </c:dPt>
          <c:dPt>
            <c:idx val="166"/>
            <c:marker>
              <c:spPr>
                <a:solidFill>
                  <a:srgbClr val="0000FF"/>
                </a:solidFill>
                <a:ln w="9525">
                  <a:solidFill>
                    <a:schemeClr val="accent1"/>
                  </a:solidFill>
                </a:ln>
                <a:effectLst/>
              </c:spPr>
            </c:marker>
            <c:bubble3D val="0"/>
            <c:extLst>
              <c:ext xmlns:c16="http://schemas.microsoft.com/office/drawing/2014/chart" uri="{C3380CC4-5D6E-409C-BE32-E72D297353CC}">
                <c16:uniqueId val="{000000A6-01DB-4C1D-91FD-AC022CE63907}"/>
              </c:ext>
            </c:extLst>
          </c:dPt>
          <c:dPt>
            <c:idx val="167"/>
            <c:marker>
              <c:spPr>
                <a:solidFill>
                  <a:srgbClr val="0000FF"/>
                </a:solidFill>
                <a:ln w="9525">
                  <a:solidFill>
                    <a:schemeClr val="accent1"/>
                  </a:solidFill>
                </a:ln>
                <a:effectLst/>
              </c:spPr>
            </c:marker>
            <c:bubble3D val="0"/>
            <c:extLst>
              <c:ext xmlns:c16="http://schemas.microsoft.com/office/drawing/2014/chart" uri="{C3380CC4-5D6E-409C-BE32-E72D297353CC}">
                <c16:uniqueId val="{000000A7-01DB-4C1D-91FD-AC022CE63907}"/>
              </c:ext>
            </c:extLst>
          </c:dPt>
          <c:dPt>
            <c:idx val="168"/>
            <c:marker>
              <c:spPr>
                <a:solidFill>
                  <a:srgbClr val="0000FF"/>
                </a:solidFill>
                <a:ln w="9525">
                  <a:solidFill>
                    <a:schemeClr val="accent1"/>
                  </a:solidFill>
                </a:ln>
                <a:effectLst/>
              </c:spPr>
            </c:marker>
            <c:bubble3D val="0"/>
            <c:extLst>
              <c:ext xmlns:c16="http://schemas.microsoft.com/office/drawing/2014/chart" uri="{C3380CC4-5D6E-409C-BE32-E72D297353CC}">
                <c16:uniqueId val="{000000A8-01DB-4C1D-91FD-AC022CE63907}"/>
              </c:ext>
            </c:extLst>
          </c:dPt>
          <c:dPt>
            <c:idx val="169"/>
            <c:marker>
              <c:spPr>
                <a:solidFill>
                  <a:srgbClr val="0000FF"/>
                </a:solidFill>
                <a:ln w="9525">
                  <a:solidFill>
                    <a:schemeClr val="accent1"/>
                  </a:solidFill>
                </a:ln>
                <a:effectLst/>
              </c:spPr>
            </c:marker>
            <c:bubble3D val="0"/>
            <c:extLst>
              <c:ext xmlns:c16="http://schemas.microsoft.com/office/drawing/2014/chart" uri="{C3380CC4-5D6E-409C-BE32-E72D297353CC}">
                <c16:uniqueId val="{000000A9-01DB-4C1D-91FD-AC022CE63907}"/>
              </c:ext>
            </c:extLst>
          </c:dPt>
          <c:dPt>
            <c:idx val="170"/>
            <c:marker>
              <c:spPr>
                <a:solidFill>
                  <a:srgbClr val="0000FF"/>
                </a:solidFill>
                <a:ln w="9525">
                  <a:solidFill>
                    <a:schemeClr val="accent1"/>
                  </a:solidFill>
                </a:ln>
                <a:effectLst/>
              </c:spPr>
            </c:marker>
            <c:bubble3D val="0"/>
            <c:extLst>
              <c:ext xmlns:c16="http://schemas.microsoft.com/office/drawing/2014/chart" uri="{C3380CC4-5D6E-409C-BE32-E72D297353CC}">
                <c16:uniqueId val="{000000AA-01DB-4C1D-91FD-AC022CE63907}"/>
              </c:ext>
            </c:extLst>
          </c:dPt>
          <c:dPt>
            <c:idx val="171"/>
            <c:marker>
              <c:spPr>
                <a:solidFill>
                  <a:srgbClr val="0000FF"/>
                </a:solidFill>
                <a:ln w="9525">
                  <a:solidFill>
                    <a:schemeClr val="accent1"/>
                  </a:solidFill>
                </a:ln>
                <a:effectLst/>
              </c:spPr>
            </c:marker>
            <c:bubble3D val="0"/>
            <c:extLst>
              <c:ext xmlns:c16="http://schemas.microsoft.com/office/drawing/2014/chart" uri="{C3380CC4-5D6E-409C-BE32-E72D297353CC}">
                <c16:uniqueId val="{000000AB-01DB-4C1D-91FD-AC022CE63907}"/>
              </c:ext>
            </c:extLst>
          </c:dPt>
          <c:dPt>
            <c:idx val="172"/>
            <c:marker>
              <c:spPr>
                <a:solidFill>
                  <a:srgbClr val="00B34B"/>
                </a:solidFill>
                <a:ln w="9525">
                  <a:solidFill>
                    <a:schemeClr val="accent1"/>
                  </a:solidFill>
                </a:ln>
                <a:effectLst/>
              </c:spPr>
            </c:marker>
            <c:bubble3D val="0"/>
            <c:extLst>
              <c:ext xmlns:c16="http://schemas.microsoft.com/office/drawing/2014/chart" uri="{C3380CC4-5D6E-409C-BE32-E72D297353CC}">
                <c16:uniqueId val="{000000AC-01DB-4C1D-91FD-AC022CE63907}"/>
              </c:ext>
            </c:extLst>
          </c:dPt>
          <c:dPt>
            <c:idx val="173"/>
            <c:marker>
              <c:spPr>
                <a:solidFill>
                  <a:srgbClr val="0020DE"/>
                </a:solidFill>
                <a:ln w="9525">
                  <a:solidFill>
                    <a:schemeClr val="accent1"/>
                  </a:solidFill>
                </a:ln>
                <a:effectLst/>
              </c:spPr>
            </c:marker>
            <c:bubble3D val="0"/>
            <c:extLst>
              <c:ext xmlns:c16="http://schemas.microsoft.com/office/drawing/2014/chart" uri="{C3380CC4-5D6E-409C-BE32-E72D297353CC}">
                <c16:uniqueId val="{000000AD-01DB-4C1D-91FD-AC022CE63907}"/>
              </c:ext>
            </c:extLst>
          </c:dPt>
          <c:dPt>
            <c:idx val="174"/>
            <c:marker>
              <c:spPr>
                <a:solidFill>
                  <a:srgbClr val="00ED11"/>
                </a:solidFill>
                <a:ln w="9525">
                  <a:solidFill>
                    <a:schemeClr val="accent1"/>
                  </a:solidFill>
                </a:ln>
                <a:effectLst/>
              </c:spPr>
            </c:marker>
            <c:bubble3D val="0"/>
            <c:extLst>
              <c:ext xmlns:c16="http://schemas.microsoft.com/office/drawing/2014/chart" uri="{C3380CC4-5D6E-409C-BE32-E72D297353CC}">
                <c16:uniqueId val="{000000AE-01DB-4C1D-91FD-AC022CE63907}"/>
              </c:ext>
            </c:extLst>
          </c:dPt>
          <c:dPt>
            <c:idx val="175"/>
            <c:marker>
              <c:spPr>
                <a:solidFill>
                  <a:srgbClr val="00A05E"/>
                </a:solidFill>
                <a:ln w="9525">
                  <a:solidFill>
                    <a:schemeClr val="accent1"/>
                  </a:solidFill>
                </a:ln>
                <a:effectLst/>
              </c:spPr>
            </c:marker>
            <c:bubble3D val="0"/>
            <c:extLst>
              <c:ext xmlns:c16="http://schemas.microsoft.com/office/drawing/2014/chart" uri="{C3380CC4-5D6E-409C-BE32-E72D297353CC}">
                <c16:uniqueId val="{000000AF-01DB-4C1D-91FD-AC022CE63907}"/>
              </c:ext>
            </c:extLst>
          </c:dPt>
          <c:dPt>
            <c:idx val="176"/>
            <c:marker>
              <c:spPr>
                <a:solidFill>
                  <a:srgbClr val="00D32B"/>
                </a:solidFill>
                <a:ln w="9525">
                  <a:solidFill>
                    <a:schemeClr val="accent1"/>
                  </a:solidFill>
                </a:ln>
                <a:effectLst/>
              </c:spPr>
            </c:marker>
            <c:bubble3D val="0"/>
            <c:extLst>
              <c:ext xmlns:c16="http://schemas.microsoft.com/office/drawing/2014/chart" uri="{C3380CC4-5D6E-409C-BE32-E72D297353CC}">
                <c16:uniqueId val="{000000B0-01DB-4C1D-91FD-AC022CE63907}"/>
              </c:ext>
            </c:extLst>
          </c:dPt>
          <c:dPt>
            <c:idx val="177"/>
            <c:marker>
              <c:spPr>
                <a:solidFill>
                  <a:srgbClr val="00D32B"/>
                </a:solidFill>
                <a:ln w="9525">
                  <a:solidFill>
                    <a:schemeClr val="accent1"/>
                  </a:solidFill>
                </a:ln>
                <a:effectLst/>
              </c:spPr>
            </c:marker>
            <c:bubble3D val="0"/>
            <c:extLst>
              <c:ext xmlns:c16="http://schemas.microsoft.com/office/drawing/2014/chart" uri="{C3380CC4-5D6E-409C-BE32-E72D297353CC}">
                <c16:uniqueId val="{000000B1-01DB-4C1D-91FD-AC022CE63907}"/>
              </c:ext>
            </c:extLst>
          </c:dPt>
          <c:dPt>
            <c:idx val="178"/>
            <c:marker>
              <c:spPr>
                <a:solidFill>
                  <a:srgbClr val="0048B6"/>
                </a:solidFill>
                <a:ln w="9525">
                  <a:solidFill>
                    <a:schemeClr val="accent1"/>
                  </a:solidFill>
                </a:ln>
                <a:effectLst/>
              </c:spPr>
            </c:marker>
            <c:bubble3D val="0"/>
            <c:extLst>
              <c:ext xmlns:c16="http://schemas.microsoft.com/office/drawing/2014/chart" uri="{C3380CC4-5D6E-409C-BE32-E72D297353CC}">
                <c16:uniqueId val="{000000B2-01DB-4C1D-91FD-AC022CE63907}"/>
              </c:ext>
            </c:extLst>
          </c:dPt>
          <c:dPt>
            <c:idx val="179"/>
            <c:marker>
              <c:spPr>
                <a:solidFill>
                  <a:srgbClr val="0000FF"/>
                </a:solidFill>
                <a:ln w="9525">
                  <a:solidFill>
                    <a:schemeClr val="accent1"/>
                  </a:solidFill>
                </a:ln>
                <a:effectLst/>
              </c:spPr>
            </c:marker>
            <c:bubble3D val="0"/>
            <c:extLst>
              <c:ext xmlns:c16="http://schemas.microsoft.com/office/drawing/2014/chart" uri="{C3380CC4-5D6E-409C-BE32-E72D297353CC}">
                <c16:uniqueId val="{000000B3-01DB-4C1D-91FD-AC022CE63907}"/>
              </c:ext>
            </c:extLst>
          </c:dPt>
          <c:dPt>
            <c:idx val="180"/>
            <c:marker>
              <c:spPr>
                <a:solidFill>
                  <a:srgbClr val="0000FF"/>
                </a:solidFill>
                <a:ln w="9525">
                  <a:solidFill>
                    <a:schemeClr val="accent1"/>
                  </a:solidFill>
                </a:ln>
                <a:effectLst/>
              </c:spPr>
            </c:marker>
            <c:bubble3D val="0"/>
            <c:extLst>
              <c:ext xmlns:c16="http://schemas.microsoft.com/office/drawing/2014/chart" uri="{C3380CC4-5D6E-409C-BE32-E72D297353CC}">
                <c16:uniqueId val="{000000B4-01DB-4C1D-91FD-AC022CE63907}"/>
              </c:ext>
            </c:extLst>
          </c:dPt>
          <c:dPt>
            <c:idx val="181"/>
            <c:marker>
              <c:spPr>
                <a:solidFill>
                  <a:srgbClr val="0000FF"/>
                </a:solidFill>
                <a:ln w="9525">
                  <a:solidFill>
                    <a:schemeClr val="accent1"/>
                  </a:solidFill>
                </a:ln>
                <a:effectLst/>
              </c:spPr>
            </c:marker>
            <c:bubble3D val="0"/>
            <c:extLst>
              <c:ext xmlns:c16="http://schemas.microsoft.com/office/drawing/2014/chart" uri="{C3380CC4-5D6E-409C-BE32-E72D297353CC}">
                <c16:uniqueId val="{000000B5-01DB-4C1D-91FD-AC022CE63907}"/>
              </c:ext>
            </c:extLst>
          </c:dPt>
          <c:dPt>
            <c:idx val="182"/>
            <c:marker>
              <c:spPr>
                <a:solidFill>
                  <a:srgbClr val="0015E9"/>
                </a:solidFill>
                <a:ln w="9525">
                  <a:solidFill>
                    <a:schemeClr val="accent1"/>
                  </a:solidFill>
                </a:ln>
                <a:effectLst/>
              </c:spPr>
            </c:marker>
            <c:bubble3D val="0"/>
            <c:extLst>
              <c:ext xmlns:c16="http://schemas.microsoft.com/office/drawing/2014/chart" uri="{C3380CC4-5D6E-409C-BE32-E72D297353CC}">
                <c16:uniqueId val="{000000B6-01DB-4C1D-91FD-AC022CE63907}"/>
              </c:ext>
            </c:extLst>
          </c:dPt>
          <c:dPt>
            <c:idx val="183"/>
            <c:marker>
              <c:spPr>
                <a:solidFill>
                  <a:srgbClr val="0000FF"/>
                </a:solidFill>
                <a:ln w="9525">
                  <a:solidFill>
                    <a:schemeClr val="accent1"/>
                  </a:solidFill>
                </a:ln>
                <a:effectLst/>
              </c:spPr>
            </c:marker>
            <c:bubble3D val="0"/>
            <c:extLst>
              <c:ext xmlns:c16="http://schemas.microsoft.com/office/drawing/2014/chart" uri="{C3380CC4-5D6E-409C-BE32-E72D297353CC}">
                <c16:uniqueId val="{000000B7-01DB-4C1D-91FD-AC022CE63907}"/>
              </c:ext>
            </c:extLst>
          </c:dPt>
          <c:dPt>
            <c:idx val="184"/>
            <c:marker>
              <c:spPr>
                <a:solidFill>
                  <a:srgbClr val="0038C6"/>
                </a:solidFill>
                <a:ln w="9525">
                  <a:solidFill>
                    <a:schemeClr val="accent1"/>
                  </a:solidFill>
                </a:ln>
                <a:effectLst/>
              </c:spPr>
            </c:marker>
            <c:bubble3D val="0"/>
            <c:extLst>
              <c:ext xmlns:c16="http://schemas.microsoft.com/office/drawing/2014/chart" uri="{C3380CC4-5D6E-409C-BE32-E72D297353CC}">
                <c16:uniqueId val="{000000B8-01DB-4C1D-91FD-AC022CE63907}"/>
              </c:ext>
            </c:extLst>
          </c:dPt>
          <c:dPt>
            <c:idx val="185"/>
            <c:marker>
              <c:spPr>
                <a:solidFill>
                  <a:srgbClr val="008A74"/>
                </a:solidFill>
                <a:ln w="9525">
                  <a:solidFill>
                    <a:schemeClr val="accent1"/>
                  </a:solidFill>
                </a:ln>
                <a:effectLst/>
              </c:spPr>
            </c:marker>
            <c:bubble3D val="0"/>
            <c:extLst>
              <c:ext xmlns:c16="http://schemas.microsoft.com/office/drawing/2014/chart" uri="{C3380CC4-5D6E-409C-BE32-E72D297353CC}">
                <c16:uniqueId val="{000000B9-01DB-4C1D-91FD-AC022CE63907}"/>
              </c:ext>
            </c:extLst>
          </c:dPt>
          <c:dPt>
            <c:idx val="186"/>
            <c:marker>
              <c:spPr>
                <a:solidFill>
                  <a:srgbClr val="0024DA"/>
                </a:solidFill>
                <a:ln w="9525">
                  <a:solidFill>
                    <a:schemeClr val="accent1"/>
                  </a:solidFill>
                </a:ln>
                <a:effectLst/>
              </c:spPr>
            </c:marker>
            <c:bubble3D val="0"/>
            <c:extLst>
              <c:ext xmlns:c16="http://schemas.microsoft.com/office/drawing/2014/chart" uri="{C3380CC4-5D6E-409C-BE32-E72D297353CC}">
                <c16:uniqueId val="{000000BA-01DB-4C1D-91FD-AC022CE63907}"/>
              </c:ext>
            </c:extLst>
          </c:dPt>
          <c:dPt>
            <c:idx val="187"/>
            <c:marker>
              <c:spPr>
                <a:solidFill>
                  <a:srgbClr val="0000FF"/>
                </a:solidFill>
                <a:ln w="9525">
                  <a:solidFill>
                    <a:schemeClr val="accent1"/>
                  </a:solidFill>
                </a:ln>
                <a:effectLst/>
              </c:spPr>
            </c:marker>
            <c:bubble3D val="0"/>
            <c:extLst>
              <c:ext xmlns:c16="http://schemas.microsoft.com/office/drawing/2014/chart" uri="{C3380CC4-5D6E-409C-BE32-E72D297353CC}">
                <c16:uniqueId val="{000000BB-01DB-4C1D-91FD-AC022CE63907}"/>
              </c:ext>
            </c:extLst>
          </c:dPt>
          <c:dPt>
            <c:idx val="188"/>
            <c:marker>
              <c:spPr>
                <a:solidFill>
                  <a:srgbClr val="0000FF"/>
                </a:solidFill>
                <a:ln w="9525">
                  <a:solidFill>
                    <a:schemeClr val="accent1"/>
                  </a:solidFill>
                </a:ln>
                <a:effectLst/>
              </c:spPr>
            </c:marker>
            <c:bubble3D val="0"/>
            <c:extLst>
              <c:ext xmlns:c16="http://schemas.microsoft.com/office/drawing/2014/chart" uri="{C3380CC4-5D6E-409C-BE32-E72D297353CC}">
                <c16:uniqueId val="{000000BC-01DB-4C1D-91FD-AC022CE63907}"/>
              </c:ext>
            </c:extLst>
          </c:dPt>
          <c:dPt>
            <c:idx val="189"/>
            <c:marker>
              <c:spPr>
                <a:solidFill>
                  <a:srgbClr val="0000FF"/>
                </a:solidFill>
                <a:ln w="9525">
                  <a:solidFill>
                    <a:schemeClr val="accent1"/>
                  </a:solidFill>
                </a:ln>
                <a:effectLst/>
              </c:spPr>
            </c:marker>
            <c:bubble3D val="0"/>
            <c:extLst>
              <c:ext xmlns:c16="http://schemas.microsoft.com/office/drawing/2014/chart" uri="{C3380CC4-5D6E-409C-BE32-E72D297353CC}">
                <c16:uniqueId val="{000000BD-01DB-4C1D-91FD-AC022CE63907}"/>
              </c:ext>
            </c:extLst>
          </c:dPt>
          <c:dPt>
            <c:idx val="190"/>
            <c:marker>
              <c:spPr>
                <a:solidFill>
                  <a:srgbClr val="0000FF"/>
                </a:solidFill>
                <a:ln w="9525">
                  <a:solidFill>
                    <a:schemeClr val="accent1"/>
                  </a:solidFill>
                </a:ln>
                <a:effectLst/>
              </c:spPr>
            </c:marker>
            <c:bubble3D val="0"/>
            <c:extLst>
              <c:ext xmlns:c16="http://schemas.microsoft.com/office/drawing/2014/chart" uri="{C3380CC4-5D6E-409C-BE32-E72D297353CC}">
                <c16:uniqueId val="{000000BE-01DB-4C1D-91FD-AC022CE63907}"/>
              </c:ext>
            </c:extLst>
          </c:dPt>
          <c:dPt>
            <c:idx val="191"/>
            <c:marker>
              <c:spPr>
                <a:solidFill>
                  <a:srgbClr val="0047B7"/>
                </a:solidFill>
                <a:ln w="9525">
                  <a:solidFill>
                    <a:schemeClr val="accent1"/>
                  </a:solidFill>
                </a:ln>
                <a:effectLst/>
              </c:spPr>
            </c:marker>
            <c:bubble3D val="0"/>
            <c:extLst>
              <c:ext xmlns:c16="http://schemas.microsoft.com/office/drawing/2014/chart" uri="{C3380CC4-5D6E-409C-BE32-E72D297353CC}">
                <c16:uniqueId val="{000000BF-01DB-4C1D-91FD-AC022CE63907}"/>
              </c:ext>
            </c:extLst>
          </c:dPt>
          <c:dPt>
            <c:idx val="192"/>
            <c:marker>
              <c:spPr>
                <a:solidFill>
                  <a:srgbClr val="0000FF"/>
                </a:solidFill>
                <a:ln w="9525">
                  <a:solidFill>
                    <a:schemeClr val="accent1"/>
                  </a:solidFill>
                </a:ln>
                <a:effectLst/>
              </c:spPr>
            </c:marker>
            <c:bubble3D val="0"/>
            <c:extLst>
              <c:ext xmlns:c16="http://schemas.microsoft.com/office/drawing/2014/chart" uri="{C3380CC4-5D6E-409C-BE32-E72D297353CC}">
                <c16:uniqueId val="{000000C0-01DB-4C1D-91FD-AC022CE63907}"/>
              </c:ext>
            </c:extLst>
          </c:dPt>
          <c:dPt>
            <c:idx val="193"/>
            <c:marker>
              <c:spPr>
                <a:solidFill>
                  <a:srgbClr val="00D22C"/>
                </a:solidFill>
                <a:ln w="9525">
                  <a:solidFill>
                    <a:schemeClr val="accent1"/>
                  </a:solidFill>
                </a:ln>
                <a:effectLst/>
              </c:spPr>
            </c:marker>
            <c:bubble3D val="0"/>
            <c:extLst>
              <c:ext xmlns:c16="http://schemas.microsoft.com/office/drawing/2014/chart" uri="{C3380CC4-5D6E-409C-BE32-E72D297353CC}">
                <c16:uniqueId val="{000000C1-01DB-4C1D-91FD-AC022CE63907}"/>
              </c:ext>
            </c:extLst>
          </c:dPt>
          <c:dPt>
            <c:idx val="194"/>
            <c:marker>
              <c:spPr>
                <a:solidFill>
                  <a:srgbClr val="00B846"/>
                </a:solidFill>
                <a:ln w="9525">
                  <a:solidFill>
                    <a:schemeClr val="accent1"/>
                  </a:solidFill>
                </a:ln>
                <a:effectLst/>
              </c:spPr>
            </c:marker>
            <c:bubble3D val="0"/>
            <c:extLst>
              <c:ext xmlns:c16="http://schemas.microsoft.com/office/drawing/2014/chart" uri="{C3380CC4-5D6E-409C-BE32-E72D297353CC}">
                <c16:uniqueId val="{000000C2-01DB-4C1D-91FD-AC022CE63907}"/>
              </c:ext>
            </c:extLst>
          </c:dPt>
          <c:dPt>
            <c:idx val="195"/>
            <c:marker>
              <c:spPr>
                <a:solidFill>
                  <a:srgbClr val="0050AE"/>
                </a:solidFill>
                <a:ln w="9525">
                  <a:solidFill>
                    <a:schemeClr val="accent1"/>
                  </a:solidFill>
                </a:ln>
                <a:effectLst/>
              </c:spPr>
            </c:marker>
            <c:bubble3D val="0"/>
            <c:extLst>
              <c:ext xmlns:c16="http://schemas.microsoft.com/office/drawing/2014/chart" uri="{C3380CC4-5D6E-409C-BE32-E72D297353CC}">
                <c16:uniqueId val="{000000C3-01DB-4C1D-91FD-AC022CE63907}"/>
              </c:ext>
            </c:extLst>
          </c:dPt>
          <c:dPt>
            <c:idx val="196"/>
            <c:marker>
              <c:spPr>
                <a:solidFill>
                  <a:srgbClr val="00C836"/>
                </a:solidFill>
                <a:ln w="9525">
                  <a:solidFill>
                    <a:schemeClr val="accent1"/>
                  </a:solidFill>
                </a:ln>
                <a:effectLst/>
              </c:spPr>
            </c:marker>
            <c:bubble3D val="0"/>
            <c:extLst>
              <c:ext xmlns:c16="http://schemas.microsoft.com/office/drawing/2014/chart" uri="{C3380CC4-5D6E-409C-BE32-E72D297353CC}">
                <c16:uniqueId val="{000000C4-01DB-4C1D-91FD-AC022CE63907}"/>
              </c:ext>
            </c:extLst>
          </c:dPt>
          <c:dPt>
            <c:idx val="197"/>
            <c:marker>
              <c:spPr>
                <a:solidFill>
                  <a:srgbClr val="15E900"/>
                </a:solidFill>
                <a:ln w="9525">
                  <a:solidFill>
                    <a:schemeClr val="accent1"/>
                  </a:solidFill>
                </a:ln>
                <a:effectLst/>
              </c:spPr>
            </c:marker>
            <c:bubble3D val="0"/>
            <c:extLst>
              <c:ext xmlns:c16="http://schemas.microsoft.com/office/drawing/2014/chart" uri="{C3380CC4-5D6E-409C-BE32-E72D297353CC}">
                <c16:uniqueId val="{000000C5-01DB-4C1D-91FD-AC022CE63907}"/>
              </c:ext>
            </c:extLst>
          </c:dPt>
          <c:dPt>
            <c:idx val="198"/>
            <c:marker>
              <c:spPr>
                <a:solidFill>
                  <a:srgbClr val="00B549"/>
                </a:solidFill>
                <a:ln w="9525">
                  <a:solidFill>
                    <a:schemeClr val="accent1"/>
                  </a:solidFill>
                </a:ln>
                <a:effectLst/>
              </c:spPr>
            </c:marker>
            <c:bubble3D val="0"/>
            <c:extLst>
              <c:ext xmlns:c16="http://schemas.microsoft.com/office/drawing/2014/chart" uri="{C3380CC4-5D6E-409C-BE32-E72D297353CC}">
                <c16:uniqueId val="{000000C6-01DB-4C1D-91FD-AC022CE63907}"/>
              </c:ext>
            </c:extLst>
          </c:dPt>
          <c:dPt>
            <c:idx val="199"/>
            <c:marker>
              <c:spPr>
                <a:solidFill>
                  <a:srgbClr val="0050AE"/>
                </a:solidFill>
                <a:ln w="9525">
                  <a:solidFill>
                    <a:schemeClr val="accent1"/>
                  </a:solidFill>
                </a:ln>
                <a:effectLst/>
              </c:spPr>
            </c:marker>
            <c:bubble3D val="0"/>
            <c:extLst>
              <c:ext xmlns:c16="http://schemas.microsoft.com/office/drawing/2014/chart" uri="{C3380CC4-5D6E-409C-BE32-E72D297353CC}">
                <c16:uniqueId val="{000000C7-01DB-4C1D-91FD-AC022CE63907}"/>
              </c:ext>
            </c:extLst>
          </c:dPt>
          <c:dLbls>
            <c:dLbl>
              <c:idx val="0"/>
              <c:tx>
                <c:rich>
                  <a:bodyPr wrap="square" lIns="38100" tIns="19050" rIns="38100" bIns="19050" anchor="ctr">
                    <a:spAutoFit/>
                  </a:bodyPr>
                  <a:lstStyle/>
                  <a:p>
                    <a:pPr>
                      <a:defRPr sz="800" b="1">
                        <a:solidFill>
                          <a:srgbClr val="000000"/>
                        </a:solidFill>
                      </a:defRPr>
                    </a:pPr>
                    <a:r>
                      <a:rPr lang="en-US"/>
                      <a:t>A01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1DB-4C1D-91FD-AC022CE63907}"/>
                </c:ext>
              </c:extLst>
            </c:dLbl>
            <c:dLbl>
              <c:idx val="1"/>
              <c:tx>
                <c:rich>
                  <a:bodyPr wrap="square" lIns="38100" tIns="19050" rIns="38100" bIns="19050" anchor="ctr">
                    <a:spAutoFit/>
                  </a:bodyPr>
                  <a:lstStyle/>
                  <a:p>
                    <a:pPr>
                      <a:defRPr sz="800" b="1">
                        <a:solidFill>
                          <a:srgbClr val="000000"/>
                        </a:solidFill>
                      </a:defRPr>
                    </a:pPr>
                    <a:r>
                      <a:rPr lang="en-US"/>
                      <a:t>A02</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01DB-4C1D-91FD-AC022CE63907}"/>
                </c:ext>
              </c:extLst>
            </c:dLbl>
            <c:dLbl>
              <c:idx val="2"/>
              <c:tx>
                <c:rich>
                  <a:bodyPr wrap="square" lIns="38100" tIns="19050" rIns="38100" bIns="19050" anchor="ctr">
                    <a:spAutoFit/>
                  </a:bodyPr>
                  <a:lstStyle/>
                  <a:p>
                    <a:pPr>
                      <a:defRPr sz="800" b="1">
                        <a:solidFill>
                          <a:srgbClr val="000000"/>
                        </a:solidFill>
                      </a:defRPr>
                    </a:pPr>
                    <a:r>
                      <a:rPr lang="en-US"/>
                      <a:t>A03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01DB-4C1D-91FD-AC022CE63907}"/>
                </c:ext>
              </c:extLst>
            </c:dLbl>
            <c:dLbl>
              <c:idx val="3"/>
              <c:tx>
                <c:rich>
                  <a:bodyPr wrap="square" lIns="38100" tIns="19050" rIns="38100" bIns="19050" anchor="ctr">
                    <a:spAutoFit/>
                  </a:bodyPr>
                  <a:lstStyle/>
                  <a:p>
                    <a:pPr>
                      <a:defRPr sz="800" b="1">
                        <a:solidFill>
                          <a:srgbClr val="000000"/>
                        </a:solidFill>
                      </a:defRPr>
                    </a:pPr>
                    <a:r>
                      <a:rPr lang="en-US"/>
                      <a:t>A04</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1DB-4C1D-91FD-AC022CE63907}"/>
                </c:ext>
              </c:extLst>
            </c:dLbl>
            <c:dLbl>
              <c:idx val="4"/>
              <c:tx>
                <c:rich>
                  <a:bodyPr wrap="square" lIns="38100" tIns="19050" rIns="38100" bIns="19050" anchor="ctr">
                    <a:spAutoFit/>
                  </a:bodyPr>
                  <a:lstStyle/>
                  <a:p>
                    <a:pPr>
                      <a:defRPr sz="800" b="1">
                        <a:solidFill>
                          <a:srgbClr val="000000"/>
                        </a:solidFill>
                      </a:defRPr>
                    </a:pPr>
                    <a:r>
                      <a:rPr lang="en-US"/>
                      <a:t>A06</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01DB-4C1D-91FD-AC022CE63907}"/>
                </c:ext>
              </c:extLst>
            </c:dLbl>
            <c:dLbl>
              <c:idx val="5"/>
              <c:tx>
                <c:rich>
                  <a:bodyPr wrap="square" lIns="38100" tIns="19050" rIns="38100" bIns="19050" anchor="ctr">
                    <a:spAutoFit/>
                  </a:bodyPr>
                  <a:lstStyle/>
                  <a:p>
                    <a:pPr>
                      <a:defRPr sz="800" b="1">
                        <a:solidFill>
                          <a:srgbClr val="000000"/>
                        </a:solidFill>
                      </a:defRPr>
                    </a:pPr>
                    <a:r>
                      <a:rPr lang="en-US"/>
                      <a:t>A07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01DB-4C1D-91FD-AC022CE63907}"/>
                </c:ext>
              </c:extLst>
            </c:dLbl>
            <c:dLbl>
              <c:idx val="6"/>
              <c:tx>
                <c:rich>
                  <a:bodyPr wrap="square" lIns="38100" tIns="19050" rIns="38100" bIns="19050" anchor="ctr">
                    <a:spAutoFit/>
                  </a:bodyPr>
                  <a:lstStyle/>
                  <a:p>
                    <a:pPr>
                      <a:defRPr sz="800" b="1">
                        <a:solidFill>
                          <a:srgbClr val="000000"/>
                        </a:solidFill>
                      </a:defRPr>
                    </a:pPr>
                    <a:r>
                      <a:rPr lang="en-US"/>
                      <a:t>A08</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01DB-4C1D-91FD-AC022CE63907}"/>
                </c:ext>
              </c:extLst>
            </c:dLbl>
            <c:dLbl>
              <c:idx val="7"/>
              <c:tx>
                <c:rich>
                  <a:bodyPr wrap="square" lIns="38100" tIns="19050" rIns="38100" bIns="19050" anchor="ctr">
                    <a:spAutoFit/>
                  </a:bodyPr>
                  <a:lstStyle/>
                  <a:p>
                    <a:pPr>
                      <a:defRPr sz="800" b="1">
                        <a:solidFill>
                          <a:srgbClr val="000000"/>
                        </a:solidFill>
                      </a:defRPr>
                    </a:pPr>
                    <a:r>
                      <a:rPr lang="en-US"/>
                      <a:t>A09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01DB-4C1D-91FD-AC022CE63907}"/>
                </c:ext>
              </c:extLst>
            </c:dLbl>
            <c:dLbl>
              <c:idx val="8"/>
              <c:tx>
                <c:rich>
                  <a:bodyPr wrap="square" lIns="38100" tIns="19050" rIns="38100" bIns="19050" anchor="ctr">
                    <a:spAutoFit/>
                  </a:bodyPr>
                  <a:lstStyle/>
                  <a:p>
                    <a:pPr>
                      <a:defRPr sz="800" b="1">
                        <a:solidFill>
                          <a:srgbClr val="000000"/>
                        </a:solidFill>
                      </a:defRPr>
                    </a:pPr>
                    <a:r>
                      <a:rPr lang="en-US"/>
                      <a:t>A10</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01DB-4C1D-91FD-AC022CE63907}"/>
                </c:ext>
              </c:extLst>
            </c:dLbl>
            <c:dLbl>
              <c:idx val="9"/>
              <c:tx>
                <c:rich>
                  <a:bodyPr wrap="square" lIns="38100" tIns="19050" rIns="38100" bIns="19050" anchor="ctr">
                    <a:spAutoFit/>
                  </a:bodyPr>
                  <a:lstStyle/>
                  <a:p>
                    <a:pPr>
                      <a:defRPr sz="800" b="1">
                        <a:solidFill>
                          <a:srgbClr val="000000"/>
                        </a:solidFill>
                      </a:defRPr>
                    </a:pPr>
                    <a:r>
                      <a:rPr lang="en-US"/>
                      <a:t>A11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01DB-4C1D-91FD-AC022CE63907}"/>
                </c:ext>
              </c:extLst>
            </c:dLbl>
            <c:dLbl>
              <c:idx val="10"/>
              <c:tx>
                <c:rich>
                  <a:bodyPr wrap="square" lIns="38100" tIns="19050" rIns="38100" bIns="19050" anchor="ctr">
                    <a:spAutoFit/>
                  </a:bodyPr>
                  <a:lstStyle/>
                  <a:p>
                    <a:pPr>
                      <a:defRPr sz="800" b="1">
                        <a:solidFill>
                          <a:srgbClr val="000000"/>
                        </a:solidFill>
                      </a:defRPr>
                    </a:pPr>
                    <a:r>
                      <a:rPr lang="en-US"/>
                      <a:t>A12</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01DB-4C1D-91FD-AC022CE63907}"/>
                </c:ext>
              </c:extLst>
            </c:dLbl>
            <c:dLbl>
              <c:idx val="11"/>
              <c:tx>
                <c:rich>
                  <a:bodyPr wrap="square" lIns="38100" tIns="19050" rIns="38100" bIns="19050" anchor="ctr">
                    <a:spAutoFit/>
                  </a:bodyPr>
                  <a:lstStyle/>
                  <a:p>
                    <a:pPr>
                      <a:defRPr sz="800" b="1">
                        <a:solidFill>
                          <a:srgbClr val="000000"/>
                        </a:solidFill>
                      </a:defRPr>
                    </a:pPr>
                    <a:r>
                      <a:rPr lang="en-US"/>
                      <a:t>A13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01DB-4C1D-91FD-AC022CE63907}"/>
                </c:ext>
              </c:extLst>
            </c:dLbl>
            <c:dLbl>
              <c:idx val="12"/>
              <c:tx>
                <c:rich>
                  <a:bodyPr wrap="square" lIns="38100" tIns="19050" rIns="38100" bIns="19050" anchor="ctr">
                    <a:spAutoFit/>
                  </a:bodyPr>
                  <a:lstStyle/>
                  <a:p>
                    <a:pPr>
                      <a:defRPr sz="800" b="1">
                        <a:solidFill>
                          <a:srgbClr val="000000"/>
                        </a:solidFill>
                      </a:defRPr>
                    </a:pPr>
                    <a:r>
                      <a:rPr lang="en-US"/>
                      <a:t>A14</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01DB-4C1D-91FD-AC022CE63907}"/>
                </c:ext>
              </c:extLst>
            </c:dLbl>
            <c:dLbl>
              <c:idx val="13"/>
              <c:tx>
                <c:rich>
                  <a:bodyPr wrap="square" lIns="38100" tIns="19050" rIns="38100" bIns="19050" anchor="ctr">
                    <a:spAutoFit/>
                  </a:bodyPr>
                  <a:lstStyle/>
                  <a:p>
                    <a:pPr>
                      <a:defRPr sz="800" b="1">
                        <a:solidFill>
                          <a:srgbClr val="000000"/>
                        </a:solidFill>
                      </a:defRPr>
                    </a:pPr>
                    <a:r>
                      <a:rPr lang="en-US"/>
                      <a:t>A15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01DB-4C1D-91FD-AC022CE63907}"/>
                </c:ext>
              </c:extLst>
            </c:dLbl>
            <c:dLbl>
              <c:idx val="14"/>
              <c:tx>
                <c:rich>
                  <a:bodyPr wrap="square" lIns="38100" tIns="19050" rIns="38100" bIns="19050" anchor="ctr">
                    <a:spAutoFit/>
                  </a:bodyPr>
                  <a:lstStyle/>
                  <a:p>
                    <a:pPr>
                      <a:defRPr sz="800" b="1">
                        <a:solidFill>
                          <a:srgbClr val="000000"/>
                        </a:solidFill>
                      </a:defRPr>
                    </a:pPr>
                    <a:r>
                      <a:rPr lang="en-US"/>
                      <a:t>A16</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01DB-4C1D-91FD-AC022CE63907}"/>
                </c:ext>
              </c:extLst>
            </c:dLbl>
            <c:dLbl>
              <c:idx val="15"/>
              <c:tx>
                <c:rich>
                  <a:bodyPr wrap="square" lIns="38100" tIns="19050" rIns="38100" bIns="19050" anchor="ctr">
                    <a:spAutoFit/>
                  </a:bodyPr>
                  <a:lstStyle/>
                  <a:p>
                    <a:pPr>
                      <a:defRPr sz="800" b="1">
                        <a:solidFill>
                          <a:srgbClr val="000000"/>
                        </a:solidFill>
                      </a:defRPr>
                    </a:pPr>
                    <a:r>
                      <a:rPr lang="en-US"/>
                      <a:t>A17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01DB-4C1D-91FD-AC022CE63907}"/>
                </c:ext>
              </c:extLst>
            </c:dLbl>
            <c:dLbl>
              <c:idx val="16"/>
              <c:tx>
                <c:rich>
                  <a:bodyPr wrap="square" lIns="38100" tIns="19050" rIns="38100" bIns="19050" anchor="ctr">
                    <a:spAutoFit/>
                  </a:bodyPr>
                  <a:lstStyle/>
                  <a:p>
                    <a:pPr>
                      <a:defRPr sz="800" b="1">
                        <a:solidFill>
                          <a:srgbClr val="000000"/>
                        </a:solidFill>
                      </a:defRPr>
                    </a:pPr>
                    <a:r>
                      <a:rPr lang="en-US"/>
                      <a:t>A19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01DB-4C1D-91FD-AC022CE63907}"/>
                </c:ext>
              </c:extLst>
            </c:dLbl>
            <c:dLbl>
              <c:idx val="17"/>
              <c:tx>
                <c:rich>
                  <a:bodyPr wrap="square" lIns="38100" tIns="19050" rIns="38100" bIns="19050" anchor="ctr">
                    <a:spAutoFit/>
                  </a:bodyPr>
                  <a:lstStyle/>
                  <a:p>
                    <a:pPr>
                      <a:defRPr sz="800" b="1">
                        <a:solidFill>
                          <a:srgbClr val="000000"/>
                        </a:solidFill>
                      </a:defRPr>
                    </a:pPr>
                    <a:r>
                      <a:rPr lang="en-US"/>
                      <a:t>A21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01DB-4C1D-91FD-AC022CE63907}"/>
                </c:ext>
              </c:extLst>
            </c:dLbl>
            <c:dLbl>
              <c:idx val="18"/>
              <c:tx>
                <c:rich>
                  <a:bodyPr wrap="square" lIns="38100" tIns="19050" rIns="38100" bIns="19050" anchor="ctr">
                    <a:spAutoFit/>
                  </a:bodyPr>
                  <a:lstStyle/>
                  <a:p>
                    <a:pPr>
                      <a:defRPr sz="800" b="1">
                        <a:solidFill>
                          <a:srgbClr val="000000"/>
                        </a:solidFill>
                      </a:defRPr>
                    </a:pPr>
                    <a:r>
                      <a:rPr lang="en-US"/>
                      <a:t>A22</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01DB-4C1D-91FD-AC022CE63907}"/>
                </c:ext>
              </c:extLst>
            </c:dLbl>
            <c:dLbl>
              <c:idx val="19"/>
              <c:tx>
                <c:rich>
                  <a:bodyPr wrap="square" lIns="38100" tIns="19050" rIns="38100" bIns="19050" anchor="ctr">
                    <a:spAutoFit/>
                  </a:bodyPr>
                  <a:lstStyle/>
                  <a:p>
                    <a:pPr>
                      <a:defRPr sz="800" b="1">
                        <a:solidFill>
                          <a:srgbClr val="000000"/>
                        </a:solidFill>
                      </a:defRPr>
                    </a:pPr>
                    <a:r>
                      <a:rPr lang="en-US"/>
                      <a:t>A23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01DB-4C1D-91FD-AC022CE63907}"/>
                </c:ext>
              </c:extLst>
            </c:dLbl>
            <c:dLbl>
              <c:idx val="20"/>
              <c:tx>
                <c:rich>
                  <a:bodyPr wrap="square" lIns="38100" tIns="19050" rIns="38100" bIns="19050" anchor="ctr">
                    <a:spAutoFit/>
                  </a:bodyPr>
                  <a:lstStyle/>
                  <a:p>
                    <a:pPr>
                      <a:defRPr sz="800" b="1">
                        <a:solidFill>
                          <a:srgbClr val="000000"/>
                        </a:solidFill>
                      </a:defRPr>
                    </a:pPr>
                    <a:r>
                      <a:rPr lang="en-US"/>
                      <a:t>A24</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01DB-4C1D-91FD-AC022CE63907}"/>
                </c:ext>
              </c:extLst>
            </c:dLbl>
            <c:dLbl>
              <c:idx val="21"/>
              <c:tx>
                <c:rich>
                  <a:bodyPr wrap="square" lIns="38100" tIns="19050" rIns="38100" bIns="19050" anchor="ctr">
                    <a:spAutoFit/>
                  </a:bodyPr>
                  <a:lstStyle/>
                  <a:p>
                    <a:pPr>
                      <a:defRPr sz="800" b="1">
                        <a:solidFill>
                          <a:srgbClr val="000000"/>
                        </a:solidFill>
                      </a:defRPr>
                    </a:pPr>
                    <a:r>
                      <a:rPr lang="en-US"/>
                      <a:t>B01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01DB-4C1D-91FD-AC022CE63907}"/>
                </c:ext>
              </c:extLst>
            </c:dLbl>
            <c:dLbl>
              <c:idx val="22"/>
              <c:tx>
                <c:rich>
                  <a:bodyPr wrap="square" lIns="38100" tIns="19050" rIns="38100" bIns="19050" anchor="ctr">
                    <a:spAutoFit/>
                  </a:bodyPr>
                  <a:lstStyle/>
                  <a:p>
                    <a:pPr>
                      <a:defRPr sz="800" b="1">
                        <a:solidFill>
                          <a:srgbClr val="000000"/>
                        </a:solidFill>
                      </a:defRPr>
                    </a:pPr>
                    <a:r>
                      <a:rPr lang="en-US"/>
                      <a:t>B03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01DB-4C1D-91FD-AC022CE63907}"/>
                </c:ext>
              </c:extLst>
            </c:dLbl>
            <c:dLbl>
              <c:idx val="23"/>
              <c:tx>
                <c:rich>
                  <a:bodyPr wrap="square" lIns="38100" tIns="19050" rIns="38100" bIns="19050" anchor="ctr">
                    <a:spAutoFit/>
                  </a:bodyPr>
                  <a:lstStyle/>
                  <a:p>
                    <a:pPr>
                      <a:defRPr sz="800" b="1">
                        <a:solidFill>
                          <a:srgbClr val="000000"/>
                        </a:solidFill>
                      </a:defRPr>
                    </a:pPr>
                    <a:r>
                      <a:rPr lang="en-US"/>
                      <a:t>B05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01DB-4C1D-91FD-AC022CE63907}"/>
                </c:ext>
              </c:extLst>
            </c:dLbl>
            <c:dLbl>
              <c:idx val="24"/>
              <c:tx>
                <c:rich>
                  <a:bodyPr wrap="square" lIns="38100" tIns="19050" rIns="38100" bIns="19050" anchor="ctr">
                    <a:spAutoFit/>
                  </a:bodyPr>
                  <a:lstStyle/>
                  <a:p>
                    <a:pPr>
                      <a:defRPr sz="800" b="1">
                        <a:solidFill>
                          <a:srgbClr val="000000"/>
                        </a:solidFill>
                      </a:defRPr>
                    </a:pPr>
                    <a:r>
                      <a:rPr lang="en-US"/>
                      <a:t>B07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01DB-4C1D-91FD-AC022CE63907}"/>
                </c:ext>
              </c:extLst>
            </c:dLbl>
            <c:dLbl>
              <c:idx val="25"/>
              <c:tx>
                <c:rich>
                  <a:bodyPr wrap="square" lIns="38100" tIns="19050" rIns="38100" bIns="19050" anchor="ctr">
                    <a:spAutoFit/>
                  </a:bodyPr>
                  <a:lstStyle/>
                  <a:p>
                    <a:pPr>
                      <a:defRPr sz="800" b="1">
                        <a:solidFill>
                          <a:srgbClr val="000000"/>
                        </a:solidFill>
                      </a:defRPr>
                    </a:pPr>
                    <a:r>
                      <a:rPr lang="en-US"/>
                      <a:t>B17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01DB-4C1D-91FD-AC022CE63907}"/>
                </c:ext>
              </c:extLst>
            </c:dLbl>
            <c:dLbl>
              <c:idx val="26"/>
              <c:tx>
                <c:rich>
                  <a:bodyPr wrap="square" lIns="38100" tIns="19050" rIns="38100" bIns="19050" anchor="ctr">
                    <a:spAutoFit/>
                  </a:bodyPr>
                  <a:lstStyle/>
                  <a:p>
                    <a:pPr>
                      <a:defRPr sz="800" b="1">
                        <a:solidFill>
                          <a:srgbClr val="000000"/>
                        </a:solidFill>
                      </a:defRPr>
                    </a:pPr>
                    <a:r>
                      <a:rPr lang="en-US"/>
                      <a:t>B19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01DB-4C1D-91FD-AC022CE63907}"/>
                </c:ext>
              </c:extLst>
            </c:dLbl>
            <c:dLbl>
              <c:idx val="27"/>
              <c:tx>
                <c:rich>
                  <a:bodyPr wrap="square" lIns="38100" tIns="19050" rIns="38100" bIns="19050" anchor="ctr">
                    <a:spAutoFit/>
                  </a:bodyPr>
                  <a:lstStyle/>
                  <a:p>
                    <a:pPr>
                      <a:defRPr sz="800" b="1">
                        <a:solidFill>
                          <a:srgbClr val="000000"/>
                        </a:solidFill>
                      </a:defRPr>
                    </a:pPr>
                    <a:r>
                      <a:rPr lang="en-US"/>
                      <a:t>B21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01DB-4C1D-91FD-AC022CE63907}"/>
                </c:ext>
              </c:extLst>
            </c:dLbl>
            <c:dLbl>
              <c:idx val="28"/>
              <c:tx>
                <c:rich>
                  <a:bodyPr wrap="square" lIns="38100" tIns="19050" rIns="38100" bIns="19050" anchor="ctr">
                    <a:spAutoFit/>
                  </a:bodyPr>
                  <a:lstStyle/>
                  <a:p>
                    <a:pPr>
                      <a:defRPr sz="800" b="1">
                        <a:solidFill>
                          <a:srgbClr val="000000"/>
                        </a:solidFill>
                      </a:defRPr>
                    </a:pPr>
                    <a:r>
                      <a:rPr lang="en-US"/>
                      <a:t>B22</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01DB-4C1D-91FD-AC022CE63907}"/>
                </c:ext>
              </c:extLst>
            </c:dLbl>
            <c:dLbl>
              <c:idx val="29"/>
              <c:tx>
                <c:rich>
                  <a:bodyPr wrap="square" lIns="38100" tIns="19050" rIns="38100" bIns="19050" anchor="ctr">
                    <a:spAutoFit/>
                  </a:bodyPr>
                  <a:lstStyle/>
                  <a:p>
                    <a:pPr>
                      <a:defRPr sz="800" b="1">
                        <a:solidFill>
                          <a:srgbClr val="000000"/>
                        </a:solidFill>
                      </a:defRPr>
                    </a:pPr>
                    <a:r>
                      <a:rPr lang="en-US"/>
                      <a:t>B23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01DB-4C1D-91FD-AC022CE63907}"/>
                </c:ext>
              </c:extLst>
            </c:dLbl>
            <c:dLbl>
              <c:idx val="30"/>
              <c:tx>
                <c:rich>
                  <a:bodyPr wrap="square" lIns="38100" tIns="19050" rIns="38100" bIns="19050" anchor="ctr">
                    <a:spAutoFit/>
                  </a:bodyPr>
                  <a:lstStyle/>
                  <a:p>
                    <a:pPr>
                      <a:defRPr sz="800" b="1">
                        <a:solidFill>
                          <a:srgbClr val="000000"/>
                        </a:solidFill>
                      </a:defRPr>
                    </a:pPr>
                    <a:r>
                      <a:rPr lang="en-US"/>
                      <a:t>B24</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01DB-4C1D-91FD-AC022CE63907}"/>
                </c:ext>
              </c:extLst>
            </c:dLbl>
            <c:dLbl>
              <c:idx val="31"/>
              <c:tx>
                <c:rich>
                  <a:bodyPr wrap="square" lIns="38100" tIns="19050" rIns="38100" bIns="19050" anchor="ctr">
                    <a:spAutoFit/>
                  </a:bodyPr>
                  <a:lstStyle/>
                  <a:p>
                    <a:pPr>
                      <a:defRPr sz="800" b="1">
                        <a:solidFill>
                          <a:srgbClr val="000000"/>
                        </a:solidFill>
                      </a:defRPr>
                    </a:pPr>
                    <a:r>
                      <a:rPr lang="en-US"/>
                      <a:t>C01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F-01DB-4C1D-91FD-AC022CE63907}"/>
                </c:ext>
              </c:extLst>
            </c:dLbl>
            <c:dLbl>
              <c:idx val="32"/>
              <c:tx>
                <c:rich>
                  <a:bodyPr wrap="square" lIns="38100" tIns="19050" rIns="38100" bIns="19050" anchor="ctr">
                    <a:spAutoFit/>
                  </a:bodyPr>
                  <a:lstStyle/>
                  <a:p>
                    <a:pPr>
                      <a:defRPr sz="800" b="1">
                        <a:solidFill>
                          <a:srgbClr val="000000"/>
                        </a:solidFill>
                      </a:defRPr>
                    </a:pPr>
                    <a:r>
                      <a:rPr lang="en-US"/>
                      <a:t>C03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01DB-4C1D-91FD-AC022CE63907}"/>
                </c:ext>
              </c:extLst>
            </c:dLbl>
            <c:dLbl>
              <c:idx val="33"/>
              <c:tx>
                <c:rich>
                  <a:bodyPr wrap="square" lIns="38100" tIns="19050" rIns="38100" bIns="19050" anchor="ctr">
                    <a:spAutoFit/>
                  </a:bodyPr>
                  <a:lstStyle/>
                  <a:p>
                    <a:pPr>
                      <a:defRPr sz="800" b="1">
                        <a:solidFill>
                          <a:srgbClr val="000000"/>
                        </a:solidFill>
                      </a:defRPr>
                    </a:pPr>
                    <a:r>
                      <a:rPr lang="en-US"/>
                      <a:t>C05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1-01DB-4C1D-91FD-AC022CE63907}"/>
                </c:ext>
              </c:extLst>
            </c:dLbl>
            <c:dLbl>
              <c:idx val="34"/>
              <c:tx>
                <c:rich>
                  <a:bodyPr wrap="square" lIns="38100" tIns="19050" rIns="38100" bIns="19050" anchor="ctr">
                    <a:spAutoFit/>
                  </a:bodyPr>
                  <a:lstStyle/>
                  <a:p>
                    <a:pPr>
                      <a:defRPr sz="800" b="1">
                        <a:solidFill>
                          <a:srgbClr val="000000"/>
                        </a:solidFill>
                      </a:defRPr>
                    </a:pPr>
                    <a:r>
                      <a:rPr lang="en-US"/>
                      <a:t>C07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01DB-4C1D-91FD-AC022CE63907}"/>
                </c:ext>
              </c:extLst>
            </c:dLbl>
            <c:dLbl>
              <c:idx val="35"/>
              <c:tx>
                <c:rich>
                  <a:bodyPr wrap="square" lIns="38100" tIns="19050" rIns="38100" bIns="19050" anchor="ctr">
                    <a:spAutoFit/>
                  </a:bodyPr>
                  <a:lstStyle/>
                  <a:p>
                    <a:pPr>
                      <a:defRPr sz="800" b="1">
                        <a:solidFill>
                          <a:srgbClr val="000000"/>
                        </a:solidFill>
                      </a:defRPr>
                    </a:pPr>
                    <a:r>
                      <a:rPr lang="en-US"/>
                      <a:t>C09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3-01DB-4C1D-91FD-AC022CE63907}"/>
                </c:ext>
              </c:extLst>
            </c:dLbl>
            <c:dLbl>
              <c:idx val="36"/>
              <c:tx>
                <c:rich>
                  <a:bodyPr wrap="square" lIns="38100" tIns="19050" rIns="38100" bIns="19050" anchor="ctr">
                    <a:spAutoFit/>
                  </a:bodyPr>
                  <a:lstStyle/>
                  <a:p>
                    <a:pPr>
                      <a:defRPr sz="800" b="1">
                        <a:solidFill>
                          <a:srgbClr val="000000"/>
                        </a:solidFill>
                      </a:defRPr>
                    </a:pPr>
                    <a:r>
                      <a:rPr lang="en-US"/>
                      <a:t>C11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4-01DB-4C1D-91FD-AC022CE63907}"/>
                </c:ext>
              </c:extLst>
            </c:dLbl>
            <c:dLbl>
              <c:idx val="37"/>
              <c:tx>
                <c:rich>
                  <a:bodyPr wrap="square" lIns="38100" tIns="19050" rIns="38100" bIns="19050" anchor="ctr">
                    <a:spAutoFit/>
                  </a:bodyPr>
                  <a:lstStyle/>
                  <a:p>
                    <a:pPr>
                      <a:defRPr sz="800" b="1">
                        <a:solidFill>
                          <a:srgbClr val="000000"/>
                        </a:solidFill>
                      </a:defRPr>
                    </a:pPr>
                    <a:r>
                      <a:rPr lang="en-US"/>
                      <a:t>C13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5-01DB-4C1D-91FD-AC022CE63907}"/>
                </c:ext>
              </c:extLst>
            </c:dLbl>
            <c:dLbl>
              <c:idx val="38"/>
              <c:tx>
                <c:rich>
                  <a:bodyPr wrap="square" lIns="38100" tIns="19050" rIns="38100" bIns="19050" anchor="ctr">
                    <a:spAutoFit/>
                  </a:bodyPr>
                  <a:lstStyle/>
                  <a:p>
                    <a:pPr>
                      <a:defRPr sz="800" b="1">
                        <a:solidFill>
                          <a:srgbClr val="000000"/>
                        </a:solidFill>
                      </a:defRPr>
                    </a:pPr>
                    <a:r>
                      <a:rPr lang="en-US"/>
                      <a:t>C15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6-01DB-4C1D-91FD-AC022CE63907}"/>
                </c:ext>
              </c:extLst>
            </c:dLbl>
            <c:dLbl>
              <c:idx val="39"/>
              <c:tx>
                <c:rich>
                  <a:bodyPr wrap="square" lIns="38100" tIns="19050" rIns="38100" bIns="19050" anchor="ctr">
                    <a:spAutoFit/>
                  </a:bodyPr>
                  <a:lstStyle/>
                  <a:p>
                    <a:pPr>
                      <a:defRPr sz="800" b="1">
                        <a:solidFill>
                          <a:srgbClr val="000000"/>
                        </a:solidFill>
                      </a:defRPr>
                    </a:pPr>
                    <a:r>
                      <a:rPr lang="en-US"/>
                      <a:t>C17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7-01DB-4C1D-91FD-AC022CE63907}"/>
                </c:ext>
              </c:extLst>
            </c:dLbl>
            <c:dLbl>
              <c:idx val="40"/>
              <c:tx>
                <c:rich>
                  <a:bodyPr wrap="square" lIns="38100" tIns="19050" rIns="38100" bIns="19050" anchor="ctr">
                    <a:spAutoFit/>
                  </a:bodyPr>
                  <a:lstStyle/>
                  <a:p>
                    <a:pPr>
                      <a:defRPr sz="800" b="1">
                        <a:solidFill>
                          <a:srgbClr val="000000"/>
                        </a:solidFill>
                      </a:defRPr>
                    </a:pPr>
                    <a:r>
                      <a:rPr lang="en-US"/>
                      <a:t>C19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8-01DB-4C1D-91FD-AC022CE63907}"/>
                </c:ext>
              </c:extLst>
            </c:dLbl>
            <c:dLbl>
              <c:idx val="41"/>
              <c:tx>
                <c:rich>
                  <a:bodyPr wrap="square" lIns="38100" tIns="19050" rIns="38100" bIns="19050" anchor="ctr">
                    <a:spAutoFit/>
                  </a:bodyPr>
                  <a:lstStyle/>
                  <a:p>
                    <a:pPr>
                      <a:defRPr sz="800" b="1">
                        <a:solidFill>
                          <a:srgbClr val="000000"/>
                        </a:solidFill>
                      </a:defRPr>
                    </a:pPr>
                    <a:r>
                      <a:rPr lang="en-US"/>
                      <a:t>C21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9-01DB-4C1D-91FD-AC022CE63907}"/>
                </c:ext>
              </c:extLst>
            </c:dLbl>
            <c:dLbl>
              <c:idx val="42"/>
              <c:tx>
                <c:rich>
                  <a:bodyPr wrap="square" lIns="38100" tIns="19050" rIns="38100" bIns="19050" anchor="ctr">
                    <a:spAutoFit/>
                  </a:bodyPr>
                  <a:lstStyle/>
                  <a:p>
                    <a:pPr>
                      <a:defRPr sz="800" b="1">
                        <a:solidFill>
                          <a:srgbClr val="000000"/>
                        </a:solidFill>
                      </a:defRPr>
                    </a:pPr>
                    <a:r>
                      <a:rPr lang="en-US"/>
                      <a:t>C22</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A-01DB-4C1D-91FD-AC022CE63907}"/>
                </c:ext>
              </c:extLst>
            </c:dLbl>
            <c:dLbl>
              <c:idx val="43"/>
              <c:tx>
                <c:rich>
                  <a:bodyPr wrap="square" lIns="38100" tIns="19050" rIns="38100" bIns="19050" anchor="ctr">
                    <a:spAutoFit/>
                  </a:bodyPr>
                  <a:lstStyle/>
                  <a:p>
                    <a:pPr>
                      <a:defRPr sz="800" b="1">
                        <a:solidFill>
                          <a:srgbClr val="000000"/>
                        </a:solidFill>
                      </a:defRPr>
                    </a:pPr>
                    <a:r>
                      <a:rPr lang="en-US"/>
                      <a:t>C23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B-01DB-4C1D-91FD-AC022CE63907}"/>
                </c:ext>
              </c:extLst>
            </c:dLbl>
            <c:dLbl>
              <c:idx val="44"/>
              <c:tx>
                <c:rich>
                  <a:bodyPr wrap="square" lIns="38100" tIns="19050" rIns="38100" bIns="19050" anchor="ctr">
                    <a:spAutoFit/>
                  </a:bodyPr>
                  <a:lstStyle/>
                  <a:p>
                    <a:pPr>
                      <a:defRPr sz="800" b="1">
                        <a:solidFill>
                          <a:srgbClr val="000000"/>
                        </a:solidFill>
                      </a:defRPr>
                    </a:pPr>
                    <a:r>
                      <a:rPr lang="en-US"/>
                      <a:t>C24</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C-01DB-4C1D-91FD-AC022CE63907}"/>
                </c:ext>
              </c:extLst>
            </c:dLbl>
            <c:dLbl>
              <c:idx val="45"/>
              <c:tx>
                <c:rich>
                  <a:bodyPr wrap="square" lIns="38100" tIns="19050" rIns="38100" bIns="19050" anchor="ctr">
                    <a:spAutoFit/>
                  </a:bodyPr>
                  <a:lstStyle/>
                  <a:p>
                    <a:pPr>
                      <a:defRPr sz="800" b="1">
                        <a:solidFill>
                          <a:srgbClr val="000000"/>
                        </a:solidFill>
                      </a:defRPr>
                    </a:pPr>
                    <a:r>
                      <a:rPr lang="en-US"/>
                      <a:t>D01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D-01DB-4C1D-91FD-AC022CE63907}"/>
                </c:ext>
              </c:extLst>
            </c:dLbl>
            <c:dLbl>
              <c:idx val="46"/>
              <c:tx>
                <c:rich>
                  <a:bodyPr wrap="square" lIns="38100" tIns="19050" rIns="38100" bIns="19050" anchor="ctr">
                    <a:spAutoFit/>
                  </a:bodyPr>
                  <a:lstStyle/>
                  <a:p>
                    <a:pPr>
                      <a:defRPr sz="800" b="1">
                        <a:solidFill>
                          <a:srgbClr val="000000"/>
                        </a:solidFill>
                      </a:defRPr>
                    </a:pPr>
                    <a:r>
                      <a:rPr lang="en-US"/>
                      <a:t>D05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E-01DB-4C1D-91FD-AC022CE63907}"/>
                </c:ext>
              </c:extLst>
            </c:dLbl>
            <c:dLbl>
              <c:idx val="47"/>
              <c:tx>
                <c:rich>
                  <a:bodyPr wrap="square" lIns="38100" tIns="19050" rIns="38100" bIns="19050" anchor="ctr">
                    <a:spAutoFit/>
                  </a:bodyPr>
                  <a:lstStyle/>
                  <a:p>
                    <a:pPr>
                      <a:defRPr sz="800" b="1">
                        <a:solidFill>
                          <a:srgbClr val="000000"/>
                        </a:solidFill>
                      </a:defRPr>
                    </a:pPr>
                    <a:r>
                      <a:rPr lang="en-US"/>
                      <a:t>D07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F-01DB-4C1D-91FD-AC022CE63907}"/>
                </c:ext>
              </c:extLst>
            </c:dLbl>
            <c:dLbl>
              <c:idx val="48"/>
              <c:tx>
                <c:rich>
                  <a:bodyPr wrap="square" lIns="38100" tIns="19050" rIns="38100" bIns="19050" anchor="ctr">
                    <a:spAutoFit/>
                  </a:bodyPr>
                  <a:lstStyle/>
                  <a:p>
                    <a:pPr>
                      <a:defRPr sz="800" b="1">
                        <a:solidFill>
                          <a:srgbClr val="000000"/>
                        </a:solidFill>
                      </a:defRPr>
                    </a:pPr>
                    <a:r>
                      <a:rPr lang="en-US"/>
                      <a:t>D09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0-01DB-4C1D-91FD-AC022CE63907}"/>
                </c:ext>
              </c:extLst>
            </c:dLbl>
            <c:dLbl>
              <c:idx val="49"/>
              <c:tx>
                <c:rich>
                  <a:bodyPr wrap="square" lIns="38100" tIns="19050" rIns="38100" bIns="19050" anchor="ctr">
                    <a:spAutoFit/>
                  </a:bodyPr>
                  <a:lstStyle/>
                  <a:p>
                    <a:pPr>
                      <a:defRPr sz="800" b="1">
                        <a:solidFill>
                          <a:srgbClr val="000000"/>
                        </a:solidFill>
                      </a:defRPr>
                    </a:pPr>
                    <a:r>
                      <a:rPr lang="en-US"/>
                      <a:t>D11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1-01DB-4C1D-91FD-AC022CE63907}"/>
                </c:ext>
              </c:extLst>
            </c:dLbl>
            <c:dLbl>
              <c:idx val="50"/>
              <c:tx>
                <c:rich>
                  <a:bodyPr wrap="square" lIns="38100" tIns="19050" rIns="38100" bIns="19050" anchor="ctr">
                    <a:spAutoFit/>
                  </a:bodyPr>
                  <a:lstStyle/>
                  <a:p>
                    <a:pPr>
                      <a:defRPr sz="800" b="1">
                        <a:solidFill>
                          <a:srgbClr val="000000"/>
                        </a:solidFill>
                      </a:defRPr>
                    </a:pPr>
                    <a:r>
                      <a:rPr lang="en-US"/>
                      <a:t>D13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2-01DB-4C1D-91FD-AC022CE63907}"/>
                </c:ext>
              </c:extLst>
            </c:dLbl>
            <c:dLbl>
              <c:idx val="51"/>
              <c:tx>
                <c:rich>
                  <a:bodyPr wrap="square" lIns="38100" tIns="19050" rIns="38100" bIns="19050" anchor="ctr">
                    <a:spAutoFit/>
                  </a:bodyPr>
                  <a:lstStyle/>
                  <a:p>
                    <a:pPr>
                      <a:defRPr sz="800" b="1">
                        <a:solidFill>
                          <a:srgbClr val="000000"/>
                        </a:solidFill>
                      </a:defRPr>
                    </a:pPr>
                    <a:r>
                      <a:rPr lang="en-US"/>
                      <a:t>D15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3-01DB-4C1D-91FD-AC022CE63907}"/>
                </c:ext>
              </c:extLst>
            </c:dLbl>
            <c:dLbl>
              <c:idx val="52"/>
              <c:tx>
                <c:rich>
                  <a:bodyPr wrap="square" lIns="38100" tIns="19050" rIns="38100" bIns="19050" anchor="ctr">
                    <a:spAutoFit/>
                  </a:bodyPr>
                  <a:lstStyle/>
                  <a:p>
                    <a:pPr>
                      <a:defRPr sz="800" b="1">
                        <a:solidFill>
                          <a:srgbClr val="000000"/>
                        </a:solidFill>
                      </a:defRPr>
                    </a:pPr>
                    <a:r>
                      <a:rPr lang="en-US"/>
                      <a:t>D17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4-01DB-4C1D-91FD-AC022CE63907}"/>
                </c:ext>
              </c:extLst>
            </c:dLbl>
            <c:dLbl>
              <c:idx val="53"/>
              <c:tx>
                <c:rich>
                  <a:bodyPr wrap="square" lIns="38100" tIns="19050" rIns="38100" bIns="19050" anchor="ctr">
                    <a:spAutoFit/>
                  </a:bodyPr>
                  <a:lstStyle/>
                  <a:p>
                    <a:pPr>
                      <a:defRPr sz="800" b="1">
                        <a:solidFill>
                          <a:srgbClr val="000000"/>
                        </a:solidFill>
                      </a:defRPr>
                    </a:pPr>
                    <a:r>
                      <a:rPr lang="en-US"/>
                      <a:t>D19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5-01DB-4C1D-91FD-AC022CE63907}"/>
                </c:ext>
              </c:extLst>
            </c:dLbl>
            <c:dLbl>
              <c:idx val="54"/>
              <c:tx>
                <c:rich>
                  <a:bodyPr wrap="square" lIns="38100" tIns="19050" rIns="38100" bIns="19050" anchor="ctr">
                    <a:spAutoFit/>
                  </a:bodyPr>
                  <a:lstStyle/>
                  <a:p>
                    <a:pPr>
                      <a:defRPr sz="800" b="1">
                        <a:solidFill>
                          <a:srgbClr val="000000"/>
                        </a:solidFill>
                      </a:defRPr>
                    </a:pPr>
                    <a:r>
                      <a:rPr lang="en-US"/>
                      <a:t>D21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6-01DB-4C1D-91FD-AC022CE63907}"/>
                </c:ext>
              </c:extLst>
            </c:dLbl>
            <c:dLbl>
              <c:idx val="55"/>
              <c:tx>
                <c:rich>
                  <a:bodyPr wrap="square" lIns="38100" tIns="19050" rIns="38100" bIns="19050" anchor="ctr">
                    <a:spAutoFit/>
                  </a:bodyPr>
                  <a:lstStyle/>
                  <a:p>
                    <a:pPr>
                      <a:defRPr sz="800" b="1">
                        <a:solidFill>
                          <a:srgbClr val="000000"/>
                        </a:solidFill>
                      </a:defRPr>
                    </a:pPr>
                    <a:r>
                      <a:rPr lang="en-US"/>
                      <a:t>D22</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7-01DB-4C1D-91FD-AC022CE63907}"/>
                </c:ext>
              </c:extLst>
            </c:dLbl>
            <c:dLbl>
              <c:idx val="56"/>
              <c:tx>
                <c:rich>
                  <a:bodyPr wrap="square" lIns="38100" tIns="19050" rIns="38100" bIns="19050" anchor="ctr">
                    <a:spAutoFit/>
                  </a:bodyPr>
                  <a:lstStyle/>
                  <a:p>
                    <a:pPr>
                      <a:defRPr sz="800" b="1">
                        <a:solidFill>
                          <a:srgbClr val="000000"/>
                        </a:solidFill>
                      </a:defRPr>
                    </a:pPr>
                    <a:r>
                      <a:rPr lang="en-US"/>
                      <a:t>D23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8-01DB-4C1D-91FD-AC022CE63907}"/>
                </c:ext>
              </c:extLst>
            </c:dLbl>
            <c:dLbl>
              <c:idx val="57"/>
              <c:tx>
                <c:rich>
                  <a:bodyPr wrap="square" lIns="38100" tIns="19050" rIns="38100" bIns="19050" anchor="ctr">
                    <a:spAutoFit/>
                  </a:bodyPr>
                  <a:lstStyle/>
                  <a:p>
                    <a:pPr>
                      <a:defRPr sz="800" b="1">
                        <a:solidFill>
                          <a:srgbClr val="000000"/>
                        </a:solidFill>
                      </a:defRPr>
                    </a:pPr>
                    <a:r>
                      <a:rPr lang="en-US"/>
                      <a:t>E01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9-01DB-4C1D-91FD-AC022CE63907}"/>
                </c:ext>
              </c:extLst>
            </c:dLbl>
            <c:dLbl>
              <c:idx val="58"/>
              <c:tx>
                <c:rich>
                  <a:bodyPr wrap="square" lIns="38100" tIns="19050" rIns="38100" bIns="19050" anchor="ctr">
                    <a:spAutoFit/>
                  </a:bodyPr>
                  <a:lstStyle/>
                  <a:p>
                    <a:pPr>
                      <a:defRPr sz="800" b="1">
                        <a:solidFill>
                          <a:srgbClr val="000000"/>
                        </a:solidFill>
                      </a:defRPr>
                    </a:pPr>
                    <a:r>
                      <a:rPr lang="en-US"/>
                      <a:t>E03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A-01DB-4C1D-91FD-AC022CE63907}"/>
                </c:ext>
              </c:extLst>
            </c:dLbl>
            <c:dLbl>
              <c:idx val="59"/>
              <c:tx>
                <c:rich>
                  <a:bodyPr wrap="square" lIns="38100" tIns="19050" rIns="38100" bIns="19050" anchor="ctr">
                    <a:spAutoFit/>
                  </a:bodyPr>
                  <a:lstStyle/>
                  <a:p>
                    <a:pPr>
                      <a:defRPr sz="800" b="1">
                        <a:solidFill>
                          <a:srgbClr val="000000"/>
                        </a:solidFill>
                      </a:defRPr>
                    </a:pPr>
                    <a:r>
                      <a:rPr lang="en-US"/>
                      <a:t>E05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B-01DB-4C1D-91FD-AC022CE63907}"/>
                </c:ext>
              </c:extLst>
            </c:dLbl>
            <c:dLbl>
              <c:idx val="60"/>
              <c:tx>
                <c:rich>
                  <a:bodyPr wrap="square" lIns="38100" tIns="19050" rIns="38100" bIns="19050" anchor="ctr">
                    <a:spAutoFit/>
                  </a:bodyPr>
                  <a:lstStyle/>
                  <a:p>
                    <a:pPr>
                      <a:defRPr sz="800" b="1">
                        <a:solidFill>
                          <a:srgbClr val="000000"/>
                        </a:solidFill>
                      </a:defRPr>
                    </a:pPr>
                    <a:r>
                      <a:rPr lang="en-US"/>
                      <a:t>E07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C-01DB-4C1D-91FD-AC022CE63907}"/>
                </c:ext>
              </c:extLst>
            </c:dLbl>
            <c:dLbl>
              <c:idx val="61"/>
              <c:tx>
                <c:rich>
                  <a:bodyPr wrap="square" lIns="38100" tIns="19050" rIns="38100" bIns="19050" anchor="ctr">
                    <a:spAutoFit/>
                  </a:bodyPr>
                  <a:lstStyle/>
                  <a:p>
                    <a:pPr>
                      <a:defRPr sz="800" b="1">
                        <a:solidFill>
                          <a:srgbClr val="000000"/>
                        </a:solidFill>
                      </a:defRPr>
                    </a:pPr>
                    <a:r>
                      <a:rPr lang="en-US"/>
                      <a:t>E09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D-01DB-4C1D-91FD-AC022CE63907}"/>
                </c:ext>
              </c:extLst>
            </c:dLbl>
            <c:dLbl>
              <c:idx val="62"/>
              <c:tx>
                <c:rich>
                  <a:bodyPr wrap="square" lIns="38100" tIns="19050" rIns="38100" bIns="19050" anchor="ctr">
                    <a:spAutoFit/>
                  </a:bodyPr>
                  <a:lstStyle/>
                  <a:p>
                    <a:pPr>
                      <a:defRPr sz="800" b="1">
                        <a:solidFill>
                          <a:srgbClr val="000000"/>
                        </a:solidFill>
                      </a:defRPr>
                    </a:pPr>
                    <a:r>
                      <a:rPr lang="en-US"/>
                      <a:t>E11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E-01DB-4C1D-91FD-AC022CE63907}"/>
                </c:ext>
              </c:extLst>
            </c:dLbl>
            <c:dLbl>
              <c:idx val="63"/>
              <c:tx>
                <c:rich>
                  <a:bodyPr wrap="square" lIns="38100" tIns="19050" rIns="38100" bIns="19050" anchor="ctr">
                    <a:spAutoFit/>
                  </a:bodyPr>
                  <a:lstStyle/>
                  <a:p>
                    <a:pPr>
                      <a:defRPr sz="800" b="1">
                        <a:solidFill>
                          <a:srgbClr val="000000"/>
                        </a:solidFill>
                      </a:defRPr>
                    </a:pPr>
                    <a:r>
                      <a:rPr lang="en-US"/>
                      <a:t>E13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F-01DB-4C1D-91FD-AC022CE63907}"/>
                </c:ext>
              </c:extLst>
            </c:dLbl>
            <c:dLbl>
              <c:idx val="64"/>
              <c:tx>
                <c:rich>
                  <a:bodyPr wrap="square" lIns="38100" tIns="19050" rIns="38100" bIns="19050" anchor="ctr">
                    <a:spAutoFit/>
                  </a:bodyPr>
                  <a:lstStyle/>
                  <a:p>
                    <a:pPr>
                      <a:defRPr sz="800" b="1">
                        <a:solidFill>
                          <a:srgbClr val="000000"/>
                        </a:solidFill>
                      </a:defRPr>
                    </a:pPr>
                    <a:r>
                      <a:rPr lang="en-US"/>
                      <a:t>E15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0-01DB-4C1D-91FD-AC022CE63907}"/>
                </c:ext>
              </c:extLst>
            </c:dLbl>
            <c:dLbl>
              <c:idx val="65"/>
              <c:tx>
                <c:rich>
                  <a:bodyPr wrap="square" lIns="38100" tIns="19050" rIns="38100" bIns="19050" anchor="ctr">
                    <a:spAutoFit/>
                  </a:bodyPr>
                  <a:lstStyle/>
                  <a:p>
                    <a:pPr>
                      <a:defRPr sz="800" b="1">
                        <a:solidFill>
                          <a:srgbClr val="000000"/>
                        </a:solidFill>
                      </a:defRPr>
                    </a:pPr>
                    <a:r>
                      <a:rPr lang="en-US"/>
                      <a:t>E17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1-01DB-4C1D-91FD-AC022CE63907}"/>
                </c:ext>
              </c:extLst>
            </c:dLbl>
            <c:dLbl>
              <c:idx val="66"/>
              <c:tx>
                <c:rich>
                  <a:bodyPr wrap="square" lIns="38100" tIns="19050" rIns="38100" bIns="19050" anchor="ctr">
                    <a:spAutoFit/>
                  </a:bodyPr>
                  <a:lstStyle/>
                  <a:p>
                    <a:pPr>
                      <a:defRPr sz="800" b="1">
                        <a:solidFill>
                          <a:srgbClr val="000000"/>
                        </a:solidFill>
                      </a:defRPr>
                    </a:pPr>
                    <a:r>
                      <a:rPr lang="en-US"/>
                      <a:t>E19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2-01DB-4C1D-91FD-AC022CE63907}"/>
                </c:ext>
              </c:extLst>
            </c:dLbl>
            <c:dLbl>
              <c:idx val="67"/>
              <c:tx>
                <c:rich>
                  <a:bodyPr wrap="square" lIns="38100" tIns="19050" rIns="38100" bIns="19050" anchor="ctr">
                    <a:spAutoFit/>
                  </a:bodyPr>
                  <a:lstStyle/>
                  <a:p>
                    <a:pPr>
                      <a:defRPr sz="800" b="1">
                        <a:solidFill>
                          <a:srgbClr val="000000"/>
                        </a:solidFill>
                      </a:defRPr>
                    </a:pPr>
                    <a:r>
                      <a:rPr lang="en-US"/>
                      <a:t>E21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3-01DB-4C1D-91FD-AC022CE63907}"/>
                </c:ext>
              </c:extLst>
            </c:dLbl>
            <c:dLbl>
              <c:idx val="68"/>
              <c:tx>
                <c:rich>
                  <a:bodyPr wrap="square" lIns="38100" tIns="19050" rIns="38100" bIns="19050" anchor="ctr">
                    <a:spAutoFit/>
                  </a:bodyPr>
                  <a:lstStyle/>
                  <a:p>
                    <a:pPr>
                      <a:defRPr sz="800" b="1">
                        <a:solidFill>
                          <a:srgbClr val="000000"/>
                        </a:solidFill>
                      </a:defRPr>
                    </a:pPr>
                    <a:r>
                      <a:rPr lang="en-US"/>
                      <a:t>E22</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4-01DB-4C1D-91FD-AC022CE63907}"/>
                </c:ext>
              </c:extLst>
            </c:dLbl>
            <c:dLbl>
              <c:idx val="69"/>
              <c:tx>
                <c:rich>
                  <a:bodyPr wrap="square" lIns="38100" tIns="19050" rIns="38100" bIns="19050" anchor="ctr">
                    <a:spAutoFit/>
                  </a:bodyPr>
                  <a:lstStyle/>
                  <a:p>
                    <a:pPr>
                      <a:defRPr sz="800" b="1">
                        <a:solidFill>
                          <a:srgbClr val="000000"/>
                        </a:solidFill>
                      </a:defRPr>
                    </a:pPr>
                    <a:r>
                      <a:rPr lang="en-US"/>
                      <a:t>E23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5-01DB-4C1D-91FD-AC022CE63907}"/>
                </c:ext>
              </c:extLst>
            </c:dLbl>
            <c:dLbl>
              <c:idx val="70"/>
              <c:tx>
                <c:rich>
                  <a:bodyPr wrap="square" lIns="38100" tIns="19050" rIns="38100" bIns="19050" anchor="ctr">
                    <a:spAutoFit/>
                  </a:bodyPr>
                  <a:lstStyle/>
                  <a:p>
                    <a:pPr>
                      <a:defRPr sz="800" b="1">
                        <a:solidFill>
                          <a:srgbClr val="000000"/>
                        </a:solidFill>
                      </a:defRPr>
                    </a:pPr>
                    <a:r>
                      <a:rPr lang="en-US"/>
                      <a:t>F01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6-01DB-4C1D-91FD-AC022CE63907}"/>
                </c:ext>
              </c:extLst>
            </c:dLbl>
            <c:dLbl>
              <c:idx val="71"/>
              <c:tx>
                <c:rich>
                  <a:bodyPr wrap="square" lIns="38100" tIns="19050" rIns="38100" bIns="19050" anchor="ctr">
                    <a:spAutoFit/>
                  </a:bodyPr>
                  <a:lstStyle/>
                  <a:p>
                    <a:pPr>
                      <a:defRPr sz="800" b="1">
                        <a:solidFill>
                          <a:srgbClr val="000000"/>
                        </a:solidFill>
                      </a:defRPr>
                    </a:pPr>
                    <a:r>
                      <a:rPr lang="en-US"/>
                      <a:t>F03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7-01DB-4C1D-91FD-AC022CE63907}"/>
                </c:ext>
              </c:extLst>
            </c:dLbl>
            <c:dLbl>
              <c:idx val="72"/>
              <c:tx>
                <c:rich>
                  <a:bodyPr wrap="square" lIns="38100" tIns="19050" rIns="38100" bIns="19050" anchor="ctr">
                    <a:spAutoFit/>
                  </a:bodyPr>
                  <a:lstStyle/>
                  <a:p>
                    <a:pPr>
                      <a:defRPr sz="800" b="1">
                        <a:solidFill>
                          <a:srgbClr val="000000"/>
                        </a:solidFill>
                      </a:defRPr>
                    </a:pPr>
                    <a:r>
                      <a:rPr lang="en-US"/>
                      <a:t>F05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8-01DB-4C1D-91FD-AC022CE63907}"/>
                </c:ext>
              </c:extLst>
            </c:dLbl>
            <c:dLbl>
              <c:idx val="73"/>
              <c:tx>
                <c:rich>
                  <a:bodyPr wrap="square" lIns="38100" tIns="19050" rIns="38100" bIns="19050" anchor="ctr">
                    <a:spAutoFit/>
                  </a:bodyPr>
                  <a:lstStyle/>
                  <a:p>
                    <a:pPr>
                      <a:defRPr sz="800" b="1">
                        <a:solidFill>
                          <a:srgbClr val="000000"/>
                        </a:solidFill>
                      </a:defRPr>
                    </a:pPr>
                    <a:r>
                      <a:rPr lang="en-US"/>
                      <a:t>F07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9-01DB-4C1D-91FD-AC022CE63907}"/>
                </c:ext>
              </c:extLst>
            </c:dLbl>
            <c:dLbl>
              <c:idx val="74"/>
              <c:tx>
                <c:rich>
                  <a:bodyPr wrap="square" lIns="38100" tIns="19050" rIns="38100" bIns="19050" anchor="ctr">
                    <a:spAutoFit/>
                  </a:bodyPr>
                  <a:lstStyle/>
                  <a:p>
                    <a:pPr>
                      <a:defRPr sz="800" b="1">
                        <a:solidFill>
                          <a:srgbClr val="000000"/>
                        </a:solidFill>
                      </a:defRPr>
                    </a:pPr>
                    <a:r>
                      <a:rPr lang="en-US"/>
                      <a:t>F09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A-01DB-4C1D-91FD-AC022CE63907}"/>
                </c:ext>
              </c:extLst>
            </c:dLbl>
            <c:dLbl>
              <c:idx val="75"/>
              <c:tx>
                <c:rich>
                  <a:bodyPr wrap="square" lIns="38100" tIns="19050" rIns="38100" bIns="19050" anchor="ctr">
                    <a:spAutoFit/>
                  </a:bodyPr>
                  <a:lstStyle/>
                  <a:p>
                    <a:pPr>
                      <a:defRPr sz="800" b="1">
                        <a:solidFill>
                          <a:srgbClr val="000000"/>
                        </a:solidFill>
                      </a:defRPr>
                    </a:pPr>
                    <a:r>
                      <a:rPr lang="en-US"/>
                      <a:t>F11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B-01DB-4C1D-91FD-AC022CE63907}"/>
                </c:ext>
              </c:extLst>
            </c:dLbl>
            <c:dLbl>
              <c:idx val="76"/>
              <c:tx>
                <c:rich>
                  <a:bodyPr wrap="square" lIns="38100" tIns="19050" rIns="38100" bIns="19050" anchor="ctr">
                    <a:spAutoFit/>
                  </a:bodyPr>
                  <a:lstStyle/>
                  <a:p>
                    <a:pPr>
                      <a:defRPr sz="800" b="1">
                        <a:solidFill>
                          <a:srgbClr val="000000"/>
                        </a:solidFill>
                      </a:defRPr>
                    </a:pPr>
                    <a:r>
                      <a:rPr lang="en-US"/>
                      <a:t>F13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C-01DB-4C1D-91FD-AC022CE63907}"/>
                </c:ext>
              </c:extLst>
            </c:dLbl>
            <c:dLbl>
              <c:idx val="77"/>
              <c:tx>
                <c:rich>
                  <a:bodyPr wrap="square" lIns="38100" tIns="19050" rIns="38100" bIns="19050" anchor="ctr">
                    <a:spAutoFit/>
                  </a:bodyPr>
                  <a:lstStyle/>
                  <a:p>
                    <a:pPr>
                      <a:defRPr sz="800" b="1">
                        <a:solidFill>
                          <a:srgbClr val="000000"/>
                        </a:solidFill>
                      </a:defRPr>
                    </a:pPr>
                    <a:r>
                      <a:rPr lang="en-US"/>
                      <a:t>F15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D-01DB-4C1D-91FD-AC022CE63907}"/>
                </c:ext>
              </c:extLst>
            </c:dLbl>
            <c:dLbl>
              <c:idx val="78"/>
              <c:tx>
                <c:rich>
                  <a:bodyPr wrap="square" lIns="38100" tIns="19050" rIns="38100" bIns="19050" anchor="ctr">
                    <a:spAutoFit/>
                  </a:bodyPr>
                  <a:lstStyle/>
                  <a:p>
                    <a:pPr>
                      <a:defRPr sz="800" b="1">
                        <a:solidFill>
                          <a:srgbClr val="000000"/>
                        </a:solidFill>
                      </a:defRPr>
                    </a:pPr>
                    <a:r>
                      <a:rPr lang="en-US"/>
                      <a:t>F17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E-01DB-4C1D-91FD-AC022CE63907}"/>
                </c:ext>
              </c:extLst>
            </c:dLbl>
            <c:dLbl>
              <c:idx val="79"/>
              <c:tx>
                <c:rich>
                  <a:bodyPr wrap="square" lIns="38100" tIns="19050" rIns="38100" bIns="19050" anchor="ctr">
                    <a:spAutoFit/>
                  </a:bodyPr>
                  <a:lstStyle/>
                  <a:p>
                    <a:pPr>
                      <a:defRPr sz="800" b="1">
                        <a:solidFill>
                          <a:srgbClr val="000000"/>
                        </a:solidFill>
                      </a:defRPr>
                    </a:pPr>
                    <a:r>
                      <a:rPr lang="en-US"/>
                      <a:t>F19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F-01DB-4C1D-91FD-AC022CE63907}"/>
                </c:ext>
              </c:extLst>
            </c:dLbl>
            <c:dLbl>
              <c:idx val="80"/>
              <c:tx>
                <c:rich>
                  <a:bodyPr wrap="square" lIns="38100" tIns="19050" rIns="38100" bIns="19050" anchor="ctr">
                    <a:spAutoFit/>
                  </a:bodyPr>
                  <a:lstStyle/>
                  <a:p>
                    <a:pPr>
                      <a:defRPr sz="800" b="1">
                        <a:solidFill>
                          <a:srgbClr val="000000"/>
                        </a:solidFill>
                      </a:defRPr>
                    </a:pPr>
                    <a:r>
                      <a:rPr lang="en-US"/>
                      <a:t>F21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0-01DB-4C1D-91FD-AC022CE63907}"/>
                </c:ext>
              </c:extLst>
            </c:dLbl>
            <c:dLbl>
              <c:idx val="81"/>
              <c:tx>
                <c:rich>
                  <a:bodyPr wrap="square" lIns="38100" tIns="19050" rIns="38100" bIns="19050" anchor="ctr">
                    <a:spAutoFit/>
                  </a:bodyPr>
                  <a:lstStyle/>
                  <a:p>
                    <a:pPr>
                      <a:defRPr sz="800" b="1">
                        <a:solidFill>
                          <a:srgbClr val="000000"/>
                        </a:solidFill>
                      </a:defRPr>
                    </a:pPr>
                    <a:r>
                      <a:rPr lang="en-US"/>
                      <a:t>F22</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1-01DB-4C1D-91FD-AC022CE63907}"/>
                </c:ext>
              </c:extLst>
            </c:dLbl>
            <c:dLbl>
              <c:idx val="82"/>
              <c:tx>
                <c:rich>
                  <a:bodyPr wrap="square" lIns="38100" tIns="19050" rIns="38100" bIns="19050" anchor="ctr">
                    <a:spAutoFit/>
                  </a:bodyPr>
                  <a:lstStyle/>
                  <a:p>
                    <a:pPr>
                      <a:defRPr sz="800" b="1">
                        <a:solidFill>
                          <a:srgbClr val="000000"/>
                        </a:solidFill>
                      </a:defRPr>
                    </a:pPr>
                    <a:r>
                      <a:rPr lang="en-US"/>
                      <a:t>F23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2-01DB-4C1D-91FD-AC022CE63907}"/>
                </c:ext>
              </c:extLst>
            </c:dLbl>
            <c:dLbl>
              <c:idx val="83"/>
              <c:tx>
                <c:rich>
                  <a:bodyPr wrap="square" lIns="38100" tIns="19050" rIns="38100" bIns="19050" anchor="ctr">
                    <a:spAutoFit/>
                  </a:bodyPr>
                  <a:lstStyle/>
                  <a:p>
                    <a:pPr>
                      <a:defRPr sz="800" b="1">
                        <a:solidFill>
                          <a:srgbClr val="000000"/>
                        </a:solidFill>
                      </a:defRPr>
                    </a:pPr>
                    <a:r>
                      <a:rPr lang="en-US"/>
                      <a:t>G01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3-01DB-4C1D-91FD-AC022CE63907}"/>
                </c:ext>
              </c:extLst>
            </c:dLbl>
            <c:dLbl>
              <c:idx val="84"/>
              <c:tx>
                <c:rich>
                  <a:bodyPr wrap="square" lIns="38100" tIns="19050" rIns="38100" bIns="19050" anchor="ctr">
                    <a:spAutoFit/>
                  </a:bodyPr>
                  <a:lstStyle/>
                  <a:p>
                    <a:pPr>
                      <a:defRPr sz="800" b="1">
                        <a:solidFill>
                          <a:srgbClr val="000000"/>
                        </a:solidFill>
                      </a:defRPr>
                    </a:pPr>
                    <a:r>
                      <a:rPr lang="en-US"/>
                      <a:t>G03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4-01DB-4C1D-91FD-AC022CE63907}"/>
                </c:ext>
              </c:extLst>
            </c:dLbl>
            <c:dLbl>
              <c:idx val="85"/>
              <c:tx>
                <c:rich>
                  <a:bodyPr wrap="square" lIns="38100" tIns="19050" rIns="38100" bIns="19050" anchor="ctr">
                    <a:spAutoFit/>
                  </a:bodyPr>
                  <a:lstStyle/>
                  <a:p>
                    <a:pPr>
                      <a:defRPr sz="800" b="1">
                        <a:solidFill>
                          <a:srgbClr val="000000"/>
                        </a:solidFill>
                      </a:defRPr>
                    </a:pPr>
                    <a:r>
                      <a:rPr lang="en-US"/>
                      <a:t>G05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5-01DB-4C1D-91FD-AC022CE63907}"/>
                </c:ext>
              </c:extLst>
            </c:dLbl>
            <c:dLbl>
              <c:idx val="86"/>
              <c:tx>
                <c:rich>
                  <a:bodyPr wrap="square" lIns="38100" tIns="19050" rIns="38100" bIns="19050" anchor="ctr">
                    <a:spAutoFit/>
                  </a:bodyPr>
                  <a:lstStyle/>
                  <a:p>
                    <a:pPr>
                      <a:defRPr sz="800" b="1">
                        <a:solidFill>
                          <a:srgbClr val="000000"/>
                        </a:solidFill>
                      </a:defRPr>
                    </a:pPr>
                    <a:r>
                      <a:rPr lang="en-US"/>
                      <a:t>G07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6-01DB-4C1D-91FD-AC022CE63907}"/>
                </c:ext>
              </c:extLst>
            </c:dLbl>
            <c:dLbl>
              <c:idx val="87"/>
              <c:tx>
                <c:rich>
                  <a:bodyPr wrap="square" lIns="38100" tIns="19050" rIns="38100" bIns="19050" anchor="ctr">
                    <a:spAutoFit/>
                  </a:bodyPr>
                  <a:lstStyle/>
                  <a:p>
                    <a:pPr>
                      <a:defRPr sz="800" b="1">
                        <a:solidFill>
                          <a:srgbClr val="000000"/>
                        </a:solidFill>
                      </a:defRPr>
                    </a:pPr>
                    <a:r>
                      <a:rPr lang="en-US"/>
                      <a:t>G09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7-01DB-4C1D-91FD-AC022CE63907}"/>
                </c:ext>
              </c:extLst>
            </c:dLbl>
            <c:dLbl>
              <c:idx val="88"/>
              <c:tx>
                <c:rich>
                  <a:bodyPr wrap="square" lIns="38100" tIns="19050" rIns="38100" bIns="19050" anchor="ctr">
                    <a:spAutoFit/>
                  </a:bodyPr>
                  <a:lstStyle/>
                  <a:p>
                    <a:pPr>
                      <a:defRPr sz="800" b="1">
                        <a:solidFill>
                          <a:srgbClr val="000000"/>
                        </a:solidFill>
                      </a:defRPr>
                    </a:pPr>
                    <a:r>
                      <a:rPr lang="en-US"/>
                      <a:t>G11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8-01DB-4C1D-91FD-AC022CE63907}"/>
                </c:ext>
              </c:extLst>
            </c:dLbl>
            <c:dLbl>
              <c:idx val="89"/>
              <c:tx>
                <c:rich>
                  <a:bodyPr wrap="square" lIns="38100" tIns="19050" rIns="38100" bIns="19050" anchor="ctr">
                    <a:spAutoFit/>
                  </a:bodyPr>
                  <a:lstStyle/>
                  <a:p>
                    <a:pPr>
                      <a:defRPr sz="800" b="1">
                        <a:solidFill>
                          <a:srgbClr val="000000"/>
                        </a:solidFill>
                      </a:defRPr>
                    </a:pPr>
                    <a:r>
                      <a:rPr lang="en-US"/>
                      <a:t>G13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9-01DB-4C1D-91FD-AC022CE63907}"/>
                </c:ext>
              </c:extLst>
            </c:dLbl>
            <c:dLbl>
              <c:idx val="90"/>
              <c:tx>
                <c:rich>
                  <a:bodyPr wrap="square" lIns="38100" tIns="19050" rIns="38100" bIns="19050" anchor="ctr">
                    <a:spAutoFit/>
                  </a:bodyPr>
                  <a:lstStyle/>
                  <a:p>
                    <a:pPr>
                      <a:defRPr sz="800" b="1">
                        <a:solidFill>
                          <a:srgbClr val="000000"/>
                        </a:solidFill>
                      </a:defRPr>
                    </a:pPr>
                    <a:r>
                      <a:rPr lang="en-US"/>
                      <a:t>G15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A-01DB-4C1D-91FD-AC022CE63907}"/>
                </c:ext>
              </c:extLst>
            </c:dLbl>
            <c:dLbl>
              <c:idx val="91"/>
              <c:tx>
                <c:rich>
                  <a:bodyPr wrap="square" lIns="38100" tIns="19050" rIns="38100" bIns="19050" anchor="ctr">
                    <a:spAutoFit/>
                  </a:bodyPr>
                  <a:lstStyle/>
                  <a:p>
                    <a:pPr>
                      <a:defRPr sz="800" b="1">
                        <a:solidFill>
                          <a:srgbClr val="000000"/>
                        </a:solidFill>
                      </a:defRPr>
                    </a:pPr>
                    <a:r>
                      <a:rPr lang="en-US"/>
                      <a:t>G17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B-01DB-4C1D-91FD-AC022CE63907}"/>
                </c:ext>
              </c:extLst>
            </c:dLbl>
            <c:dLbl>
              <c:idx val="92"/>
              <c:tx>
                <c:rich>
                  <a:bodyPr wrap="square" lIns="38100" tIns="19050" rIns="38100" bIns="19050" anchor="ctr">
                    <a:spAutoFit/>
                  </a:bodyPr>
                  <a:lstStyle/>
                  <a:p>
                    <a:pPr>
                      <a:defRPr sz="800" b="1">
                        <a:solidFill>
                          <a:srgbClr val="000000"/>
                        </a:solidFill>
                      </a:defRPr>
                    </a:pPr>
                    <a:r>
                      <a:rPr lang="en-US"/>
                      <a:t>G19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C-01DB-4C1D-91FD-AC022CE63907}"/>
                </c:ext>
              </c:extLst>
            </c:dLbl>
            <c:dLbl>
              <c:idx val="93"/>
              <c:tx>
                <c:rich>
                  <a:bodyPr wrap="square" lIns="38100" tIns="19050" rIns="38100" bIns="19050" anchor="ctr">
                    <a:spAutoFit/>
                  </a:bodyPr>
                  <a:lstStyle/>
                  <a:p>
                    <a:pPr>
                      <a:defRPr sz="800" b="1">
                        <a:solidFill>
                          <a:srgbClr val="000000"/>
                        </a:solidFill>
                      </a:defRPr>
                    </a:pPr>
                    <a:r>
                      <a:rPr lang="en-US"/>
                      <a:t>G21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D-01DB-4C1D-91FD-AC022CE63907}"/>
                </c:ext>
              </c:extLst>
            </c:dLbl>
            <c:dLbl>
              <c:idx val="94"/>
              <c:tx>
                <c:rich>
                  <a:bodyPr wrap="square" lIns="38100" tIns="19050" rIns="38100" bIns="19050" anchor="ctr">
                    <a:spAutoFit/>
                  </a:bodyPr>
                  <a:lstStyle/>
                  <a:p>
                    <a:pPr>
                      <a:defRPr sz="800" b="1">
                        <a:solidFill>
                          <a:srgbClr val="000000"/>
                        </a:solidFill>
                      </a:defRPr>
                    </a:pPr>
                    <a:r>
                      <a:rPr lang="en-US"/>
                      <a:t>G22</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E-01DB-4C1D-91FD-AC022CE63907}"/>
                </c:ext>
              </c:extLst>
            </c:dLbl>
            <c:dLbl>
              <c:idx val="95"/>
              <c:tx>
                <c:rich>
                  <a:bodyPr wrap="square" lIns="38100" tIns="19050" rIns="38100" bIns="19050" anchor="ctr">
                    <a:spAutoFit/>
                  </a:bodyPr>
                  <a:lstStyle/>
                  <a:p>
                    <a:pPr>
                      <a:defRPr sz="800" b="1">
                        <a:solidFill>
                          <a:srgbClr val="000000"/>
                        </a:solidFill>
                      </a:defRPr>
                    </a:pPr>
                    <a:r>
                      <a:rPr lang="en-US"/>
                      <a:t>H01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F-01DB-4C1D-91FD-AC022CE63907}"/>
                </c:ext>
              </c:extLst>
            </c:dLbl>
            <c:dLbl>
              <c:idx val="96"/>
              <c:tx>
                <c:rich>
                  <a:bodyPr wrap="square" lIns="38100" tIns="19050" rIns="38100" bIns="19050" anchor="ctr">
                    <a:spAutoFit/>
                  </a:bodyPr>
                  <a:lstStyle/>
                  <a:p>
                    <a:pPr>
                      <a:defRPr sz="800" b="1">
                        <a:solidFill>
                          <a:srgbClr val="000000"/>
                        </a:solidFill>
                      </a:defRPr>
                    </a:pPr>
                    <a:r>
                      <a:rPr lang="en-US"/>
                      <a:t>H03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0-01DB-4C1D-91FD-AC022CE63907}"/>
                </c:ext>
              </c:extLst>
            </c:dLbl>
            <c:dLbl>
              <c:idx val="97"/>
              <c:tx>
                <c:rich>
                  <a:bodyPr wrap="square" lIns="38100" tIns="19050" rIns="38100" bIns="19050" anchor="ctr">
                    <a:spAutoFit/>
                  </a:bodyPr>
                  <a:lstStyle/>
                  <a:p>
                    <a:pPr>
                      <a:defRPr sz="800" b="1">
                        <a:solidFill>
                          <a:srgbClr val="000000"/>
                        </a:solidFill>
                      </a:defRPr>
                    </a:pPr>
                    <a:r>
                      <a:rPr lang="en-US"/>
                      <a:t>H05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1-01DB-4C1D-91FD-AC022CE63907}"/>
                </c:ext>
              </c:extLst>
            </c:dLbl>
            <c:dLbl>
              <c:idx val="98"/>
              <c:tx>
                <c:rich>
                  <a:bodyPr wrap="square" lIns="38100" tIns="19050" rIns="38100" bIns="19050" anchor="ctr">
                    <a:spAutoFit/>
                  </a:bodyPr>
                  <a:lstStyle/>
                  <a:p>
                    <a:pPr>
                      <a:defRPr sz="800" b="1">
                        <a:solidFill>
                          <a:srgbClr val="000000"/>
                        </a:solidFill>
                      </a:defRPr>
                    </a:pPr>
                    <a:r>
                      <a:rPr lang="en-US"/>
                      <a:t>H07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2-01DB-4C1D-91FD-AC022CE63907}"/>
                </c:ext>
              </c:extLst>
            </c:dLbl>
            <c:dLbl>
              <c:idx val="99"/>
              <c:tx>
                <c:rich>
                  <a:bodyPr wrap="square" lIns="38100" tIns="19050" rIns="38100" bIns="19050" anchor="ctr">
                    <a:spAutoFit/>
                  </a:bodyPr>
                  <a:lstStyle/>
                  <a:p>
                    <a:pPr>
                      <a:defRPr sz="800" b="1">
                        <a:solidFill>
                          <a:srgbClr val="000000"/>
                        </a:solidFill>
                      </a:defRPr>
                    </a:pPr>
                    <a:r>
                      <a:rPr lang="en-US"/>
                      <a:t>H09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3-01DB-4C1D-91FD-AC022CE63907}"/>
                </c:ext>
              </c:extLst>
            </c:dLbl>
            <c:dLbl>
              <c:idx val="100"/>
              <c:tx>
                <c:rich>
                  <a:bodyPr wrap="square" lIns="38100" tIns="19050" rIns="38100" bIns="19050" anchor="ctr">
                    <a:spAutoFit/>
                  </a:bodyPr>
                  <a:lstStyle/>
                  <a:p>
                    <a:pPr>
                      <a:defRPr sz="800" b="1">
                        <a:solidFill>
                          <a:srgbClr val="000000"/>
                        </a:solidFill>
                      </a:defRPr>
                    </a:pPr>
                    <a:r>
                      <a:rPr lang="en-US"/>
                      <a:t>H11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4-01DB-4C1D-91FD-AC022CE63907}"/>
                </c:ext>
              </c:extLst>
            </c:dLbl>
            <c:dLbl>
              <c:idx val="101"/>
              <c:tx>
                <c:rich>
                  <a:bodyPr wrap="square" lIns="38100" tIns="19050" rIns="38100" bIns="19050" anchor="ctr">
                    <a:spAutoFit/>
                  </a:bodyPr>
                  <a:lstStyle/>
                  <a:p>
                    <a:pPr>
                      <a:defRPr sz="800" b="1">
                        <a:solidFill>
                          <a:srgbClr val="000000"/>
                        </a:solidFill>
                      </a:defRPr>
                    </a:pPr>
                    <a:r>
                      <a:rPr lang="en-US"/>
                      <a:t>H13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5-01DB-4C1D-91FD-AC022CE63907}"/>
                </c:ext>
              </c:extLst>
            </c:dLbl>
            <c:dLbl>
              <c:idx val="102"/>
              <c:tx>
                <c:rich>
                  <a:bodyPr wrap="square" lIns="38100" tIns="19050" rIns="38100" bIns="19050" anchor="ctr">
                    <a:spAutoFit/>
                  </a:bodyPr>
                  <a:lstStyle/>
                  <a:p>
                    <a:pPr>
                      <a:defRPr sz="800" b="1">
                        <a:solidFill>
                          <a:srgbClr val="000000"/>
                        </a:solidFill>
                      </a:defRPr>
                    </a:pPr>
                    <a:r>
                      <a:rPr lang="en-US"/>
                      <a:t>H15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6-01DB-4C1D-91FD-AC022CE63907}"/>
                </c:ext>
              </c:extLst>
            </c:dLbl>
            <c:dLbl>
              <c:idx val="103"/>
              <c:tx>
                <c:rich>
                  <a:bodyPr wrap="square" lIns="38100" tIns="19050" rIns="38100" bIns="19050" anchor="ctr">
                    <a:spAutoFit/>
                  </a:bodyPr>
                  <a:lstStyle/>
                  <a:p>
                    <a:pPr>
                      <a:defRPr sz="800" b="1">
                        <a:solidFill>
                          <a:srgbClr val="000000"/>
                        </a:solidFill>
                      </a:defRPr>
                    </a:pPr>
                    <a:r>
                      <a:rPr lang="en-US"/>
                      <a:t>H17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7-01DB-4C1D-91FD-AC022CE63907}"/>
                </c:ext>
              </c:extLst>
            </c:dLbl>
            <c:dLbl>
              <c:idx val="104"/>
              <c:tx>
                <c:rich>
                  <a:bodyPr wrap="square" lIns="38100" tIns="19050" rIns="38100" bIns="19050" anchor="ctr">
                    <a:spAutoFit/>
                  </a:bodyPr>
                  <a:lstStyle/>
                  <a:p>
                    <a:pPr>
                      <a:defRPr sz="800" b="1">
                        <a:solidFill>
                          <a:srgbClr val="000000"/>
                        </a:solidFill>
                      </a:defRPr>
                    </a:pPr>
                    <a:r>
                      <a:rPr lang="en-US"/>
                      <a:t>H19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8-01DB-4C1D-91FD-AC022CE63907}"/>
                </c:ext>
              </c:extLst>
            </c:dLbl>
            <c:dLbl>
              <c:idx val="105"/>
              <c:tx>
                <c:rich>
                  <a:bodyPr wrap="square" lIns="38100" tIns="19050" rIns="38100" bIns="19050" anchor="ctr">
                    <a:spAutoFit/>
                  </a:bodyPr>
                  <a:lstStyle/>
                  <a:p>
                    <a:pPr>
                      <a:defRPr sz="800" b="1">
                        <a:solidFill>
                          <a:srgbClr val="000000"/>
                        </a:solidFill>
                      </a:defRPr>
                    </a:pPr>
                    <a:r>
                      <a:rPr lang="en-US"/>
                      <a:t>H21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9-01DB-4C1D-91FD-AC022CE63907}"/>
                </c:ext>
              </c:extLst>
            </c:dLbl>
            <c:dLbl>
              <c:idx val="106"/>
              <c:tx>
                <c:rich>
                  <a:bodyPr wrap="square" lIns="38100" tIns="19050" rIns="38100" bIns="19050" anchor="ctr">
                    <a:spAutoFit/>
                  </a:bodyPr>
                  <a:lstStyle/>
                  <a:p>
                    <a:pPr>
                      <a:defRPr sz="800" b="1">
                        <a:solidFill>
                          <a:srgbClr val="000000"/>
                        </a:solidFill>
                      </a:defRPr>
                    </a:pPr>
                    <a:r>
                      <a:rPr lang="en-US"/>
                      <a:t>H22</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A-01DB-4C1D-91FD-AC022CE63907}"/>
                </c:ext>
              </c:extLst>
            </c:dLbl>
            <c:dLbl>
              <c:idx val="107"/>
              <c:tx>
                <c:rich>
                  <a:bodyPr wrap="square" lIns="38100" tIns="19050" rIns="38100" bIns="19050" anchor="ctr">
                    <a:spAutoFit/>
                  </a:bodyPr>
                  <a:lstStyle/>
                  <a:p>
                    <a:pPr>
                      <a:defRPr sz="800" b="1">
                        <a:solidFill>
                          <a:srgbClr val="000000"/>
                        </a:solidFill>
                      </a:defRPr>
                    </a:pPr>
                    <a:r>
                      <a:rPr lang="en-US"/>
                      <a:t>J01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B-01DB-4C1D-91FD-AC022CE63907}"/>
                </c:ext>
              </c:extLst>
            </c:dLbl>
            <c:dLbl>
              <c:idx val="108"/>
              <c:tx>
                <c:rich>
                  <a:bodyPr wrap="square" lIns="38100" tIns="19050" rIns="38100" bIns="19050" anchor="ctr">
                    <a:spAutoFit/>
                  </a:bodyPr>
                  <a:lstStyle/>
                  <a:p>
                    <a:pPr>
                      <a:defRPr sz="800" b="1">
                        <a:solidFill>
                          <a:srgbClr val="000000"/>
                        </a:solidFill>
                      </a:defRPr>
                    </a:pPr>
                    <a:r>
                      <a:rPr lang="en-US"/>
                      <a:t>J03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C-01DB-4C1D-91FD-AC022CE63907}"/>
                </c:ext>
              </c:extLst>
            </c:dLbl>
            <c:dLbl>
              <c:idx val="109"/>
              <c:tx>
                <c:rich>
                  <a:bodyPr wrap="square" lIns="38100" tIns="19050" rIns="38100" bIns="19050" anchor="ctr">
                    <a:spAutoFit/>
                  </a:bodyPr>
                  <a:lstStyle/>
                  <a:p>
                    <a:pPr>
                      <a:defRPr sz="800" b="1">
                        <a:solidFill>
                          <a:srgbClr val="000000"/>
                        </a:solidFill>
                      </a:defRPr>
                    </a:pPr>
                    <a:r>
                      <a:rPr lang="en-US"/>
                      <a:t>J05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D-01DB-4C1D-91FD-AC022CE63907}"/>
                </c:ext>
              </c:extLst>
            </c:dLbl>
            <c:dLbl>
              <c:idx val="110"/>
              <c:tx>
                <c:rich>
                  <a:bodyPr wrap="square" lIns="38100" tIns="19050" rIns="38100" bIns="19050" anchor="ctr">
                    <a:spAutoFit/>
                  </a:bodyPr>
                  <a:lstStyle/>
                  <a:p>
                    <a:pPr>
                      <a:defRPr sz="800" b="1">
                        <a:solidFill>
                          <a:srgbClr val="000000"/>
                        </a:solidFill>
                      </a:defRPr>
                    </a:pPr>
                    <a:r>
                      <a:rPr lang="en-US"/>
                      <a:t>J07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E-01DB-4C1D-91FD-AC022CE63907}"/>
                </c:ext>
              </c:extLst>
            </c:dLbl>
            <c:dLbl>
              <c:idx val="111"/>
              <c:tx>
                <c:rich>
                  <a:bodyPr wrap="square" lIns="38100" tIns="19050" rIns="38100" bIns="19050" anchor="ctr">
                    <a:spAutoFit/>
                  </a:bodyPr>
                  <a:lstStyle/>
                  <a:p>
                    <a:pPr>
                      <a:defRPr sz="800" b="1">
                        <a:solidFill>
                          <a:srgbClr val="000000"/>
                        </a:solidFill>
                      </a:defRPr>
                    </a:pPr>
                    <a:r>
                      <a:rPr lang="en-US"/>
                      <a:t>J09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F-01DB-4C1D-91FD-AC022CE63907}"/>
                </c:ext>
              </c:extLst>
            </c:dLbl>
            <c:dLbl>
              <c:idx val="112"/>
              <c:tx>
                <c:rich>
                  <a:bodyPr wrap="square" lIns="38100" tIns="19050" rIns="38100" bIns="19050" anchor="ctr">
                    <a:spAutoFit/>
                  </a:bodyPr>
                  <a:lstStyle/>
                  <a:p>
                    <a:pPr>
                      <a:defRPr sz="800" b="1">
                        <a:solidFill>
                          <a:srgbClr val="000000"/>
                        </a:solidFill>
                      </a:defRPr>
                    </a:pPr>
                    <a:r>
                      <a:rPr lang="en-US"/>
                      <a:t>J11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0-01DB-4C1D-91FD-AC022CE63907}"/>
                </c:ext>
              </c:extLst>
            </c:dLbl>
            <c:dLbl>
              <c:idx val="113"/>
              <c:tx>
                <c:rich>
                  <a:bodyPr wrap="square" lIns="38100" tIns="19050" rIns="38100" bIns="19050" anchor="ctr">
                    <a:spAutoFit/>
                  </a:bodyPr>
                  <a:lstStyle/>
                  <a:p>
                    <a:pPr>
                      <a:defRPr sz="800" b="1">
                        <a:solidFill>
                          <a:srgbClr val="000000"/>
                        </a:solidFill>
                      </a:defRPr>
                    </a:pPr>
                    <a:r>
                      <a:rPr lang="en-US"/>
                      <a:t>J13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1-01DB-4C1D-91FD-AC022CE63907}"/>
                </c:ext>
              </c:extLst>
            </c:dLbl>
            <c:dLbl>
              <c:idx val="114"/>
              <c:tx>
                <c:rich>
                  <a:bodyPr wrap="square" lIns="38100" tIns="19050" rIns="38100" bIns="19050" anchor="ctr">
                    <a:spAutoFit/>
                  </a:bodyPr>
                  <a:lstStyle/>
                  <a:p>
                    <a:pPr>
                      <a:defRPr sz="800" b="1">
                        <a:solidFill>
                          <a:srgbClr val="000000"/>
                        </a:solidFill>
                      </a:defRPr>
                    </a:pPr>
                    <a:r>
                      <a:rPr lang="en-US"/>
                      <a:t>J15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2-01DB-4C1D-91FD-AC022CE63907}"/>
                </c:ext>
              </c:extLst>
            </c:dLbl>
            <c:dLbl>
              <c:idx val="115"/>
              <c:tx>
                <c:rich>
                  <a:bodyPr wrap="square" lIns="38100" tIns="19050" rIns="38100" bIns="19050" anchor="ctr">
                    <a:spAutoFit/>
                  </a:bodyPr>
                  <a:lstStyle/>
                  <a:p>
                    <a:pPr>
                      <a:defRPr sz="800" b="1">
                        <a:solidFill>
                          <a:srgbClr val="000000"/>
                        </a:solidFill>
                      </a:defRPr>
                    </a:pPr>
                    <a:r>
                      <a:rPr lang="en-US"/>
                      <a:t>J17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3-01DB-4C1D-91FD-AC022CE63907}"/>
                </c:ext>
              </c:extLst>
            </c:dLbl>
            <c:dLbl>
              <c:idx val="116"/>
              <c:tx>
                <c:rich>
                  <a:bodyPr wrap="square" lIns="38100" tIns="19050" rIns="38100" bIns="19050" anchor="ctr">
                    <a:spAutoFit/>
                  </a:bodyPr>
                  <a:lstStyle/>
                  <a:p>
                    <a:pPr>
                      <a:defRPr sz="800" b="1">
                        <a:solidFill>
                          <a:srgbClr val="000000"/>
                        </a:solidFill>
                      </a:defRPr>
                    </a:pPr>
                    <a:r>
                      <a:rPr lang="en-US"/>
                      <a:t>J19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4-01DB-4C1D-91FD-AC022CE63907}"/>
                </c:ext>
              </c:extLst>
            </c:dLbl>
            <c:dLbl>
              <c:idx val="117"/>
              <c:tx>
                <c:rich>
                  <a:bodyPr wrap="square" lIns="38100" tIns="19050" rIns="38100" bIns="19050" anchor="ctr">
                    <a:spAutoFit/>
                  </a:bodyPr>
                  <a:lstStyle/>
                  <a:p>
                    <a:pPr>
                      <a:defRPr sz="800" b="1">
                        <a:solidFill>
                          <a:srgbClr val="000000"/>
                        </a:solidFill>
                      </a:defRPr>
                    </a:pPr>
                    <a:r>
                      <a:rPr lang="en-US"/>
                      <a:t>J21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5-01DB-4C1D-91FD-AC022CE63907}"/>
                </c:ext>
              </c:extLst>
            </c:dLbl>
            <c:dLbl>
              <c:idx val="118"/>
              <c:tx>
                <c:rich>
                  <a:bodyPr wrap="square" lIns="38100" tIns="19050" rIns="38100" bIns="19050" anchor="ctr">
                    <a:spAutoFit/>
                  </a:bodyPr>
                  <a:lstStyle/>
                  <a:p>
                    <a:pPr>
                      <a:defRPr sz="800" b="1">
                        <a:solidFill>
                          <a:srgbClr val="000000"/>
                        </a:solidFill>
                      </a:defRPr>
                    </a:pPr>
                    <a:r>
                      <a:rPr lang="en-US"/>
                      <a:t>J22</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6-01DB-4C1D-91FD-AC022CE63907}"/>
                </c:ext>
              </c:extLst>
            </c:dLbl>
            <c:dLbl>
              <c:idx val="119"/>
              <c:tx>
                <c:rich>
                  <a:bodyPr wrap="square" lIns="38100" tIns="19050" rIns="38100" bIns="19050" anchor="ctr">
                    <a:spAutoFit/>
                  </a:bodyPr>
                  <a:lstStyle/>
                  <a:p>
                    <a:pPr>
                      <a:defRPr sz="800" b="1">
                        <a:solidFill>
                          <a:srgbClr val="000000"/>
                        </a:solidFill>
                      </a:defRPr>
                    </a:pPr>
                    <a:r>
                      <a:rPr lang="en-US"/>
                      <a:t>K01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7-01DB-4C1D-91FD-AC022CE63907}"/>
                </c:ext>
              </c:extLst>
            </c:dLbl>
            <c:dLbl>
              <c:idx val="120"/>
              <c:tx>
                <c:rich>
                  <a:bodyPr wrap="square" lIns="38100" tIns="19050" rIns="38100" bIns="19050" anchor="ctr">
                    <a:spAutoFit/>
                  </a:bodyPr>
                  <a:lstStyle/>
                  <a:p>
                    <a:pPr>
                      <a:defRPr sz="800" b="1">
                        <a:solidFill>
                          <a:srgbClr val="000000"/>
                        </a:solidFill>
                      </a:defRPr>
                    </a:pPr>
                    <a:r>
                      <a:rPr lang="en-US"/>
                      <a:t>K03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8-01DB-4C1D-91FD-AC022CE63907}"/>
                </c:ext>
              </c:extLst>
            </c:dLbl>
            <c:dLbl>
              <c:idx val="121"/>
              <c:tx>
                <c:rich>
                  <a:bodyPr wrap="square" lIns="38100" tIns="19050" rIns="38100" bIns="19050" anchor="ctr">
                    <a:spAutoFit/>
                  </a:bodyPr>
                  <a:lstStyle/>
                  <a:p>
                    <a:pPr>
                      <a:defRPr sz="800" b="1">
                        <a:solidFill>
                          <a:srgbClr val="000000"/>
                        </a:solidFill>
                      </a:defRPr>
                    </a:pPr>
                    <a:r>
                      <a:rPr lang="en-US"/>
                      <a:t>K05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9-01DB-4C1D-91FD-AC022CE63907}"/>
                </c:ext>
              </c:extLst>
            </c:dLbl>
            <c:dLbl>
              <c:idx val="122"/>
              <c:tx>
                <c:rich>
                  <a:bodyPr wrap="square" lIns="38100" tIns="19050" rIns="38100" bIns="19050" anchor="ctr">
                    <a:spAutoFit/>
                  </a:bodyPr>
                  <a:lstStyle/>
                  <a:p>
                    <a:pPr>
                      <a:defRPr sz="800" b="1">
                        <a:solidFill>
                          <a:srgbClr val="000000"/>
                        </a:solidFill>
                      </a:defRPr>
                    </a:pPr>
                    <a:r>
                      <a:rPr lang="en-US"/>
                      <a:t>K07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A-01DB-4C1D-91FD-AC022CE63907}"/>
                </c:ext>
              </c:extLst>
            </c:dLbl>
            <c:dLbl>
              <c:idx val="123"/>
              <c:tx>
                <c:rich>
                  <a:bodyPr wrap="square" lIns="38100" tIns="19050" rIns="38100" bIns="19050" anchor="ctr">
                    <a:spAutoFit/>
                  </a:bodyPr>
                  <a:lstStyle/>
                  <a:p>
                    <a:pPr>
                      <a:defRPr sz="800" b="1">
                        <a:solidFill>
                          <a:srgbClr val="000000"/>
                        </a:solidFill>
                      </a:defRPr>
                    </a:pPr>
                    <a:r>
                      <a:rPr lang="en-US"/>
                      <a:t>K09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B-01DB-4C1D-91FD-AC022CE63907}"/>
                </c:ext>
              </c:extLst>
            </c:dLbl>
            <c:dLbl>
              <c:idx val="124"/>
              <c:tx>
                <c:rich>
                  <a:bodyPr wrap="square" lIns="38100" tIns="19050" rIns="38100" bIns="19050" anchor="ctr">
                    <a:spAutoFit/>
                  </a:bodyPr>
                  <a:lstStyle/>
                  <a:p>
                    <a:pPr>
                      <a:defRPr sz="800" b="1">
                        <a:solidFill>
                          <a:srgbClr val="000000"/>
                        </a:solidFill>
                      </a:defRPr>
                    </a:pPr>
                    <a:r>
                      <a:rPr lang="en-US"/>
                      <a:t>K11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C-01DB-4C1D-91FD-AC022CE63907}"/>
                </c:ext>
              </c:extLst>
            </c:dLbl>
            <c:dLbl>
              <c:idx val="125"/>
              <c:tx>
                <c:rich>
                  <a:bodyPr wrap="square" lIns="38100" tIns="19050" rIns="38100" bIns="19050" anchor="ctr">
                    <a:spAutoFit/>
                  </a:bodyPr>
                  <a:lstStyle/>
                  <a:p>
                    <a:pPr>
                      <a:defRPr sz="800" b="1">
                        <a:solidFill>
                          <a:srgbClr val="000000"/>
                        </a:solidFill>
                      </a:defRPr>
                    </a:pPr>
                    <a:r>
                      <a:rPr lang="en-US"/>
                      <a:t>K13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D-01DB-4C1D-91FD-AC022CE63907}"/>
                </c:ext>
              </c:extLst>
            </c:dLbl>
            <c:dLbl>
              <c:idx val="126"/>
              <c:tx>
                <c:rich>
                  <a:bodyPr wrap="square" lIns="38100" tIns="19050" rIns="38100" bIns="19050" anchor="ctr">
                    <a:spAutoFit/>
                  </a:bodyPr>
                  <a:lstStyle/>
                  <a:p>
                    <a:pPr>
                      <a:defRPr sz="800" b="1">
                        <a:solidFill>
                          <a:srgbClr val="000000"/>
                        </a:solidFill>
                      </a:defRPr>
                    </a:pPr>
                    <a:r>
                      <a:rPr lang="en-US"/>
                      <a:t>K15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E-01DB-4C1D-91FD-AC022CE63907}"/>
                </c:ext>
              </c:extLst>
            </c:dLbl>
            <c:dLbl>
              <c:idx val="127"/>
              <c:tx>
                <c:rich>
                  <a:bodyPr wrap="square" lIns="38100" tIns="19050" rIns="38100" bIns="19050" anchor="ctr">
                    <a:spAutoFit/>
                  </a:bodyPr>
                  <a:lstStyle/>
                  <a:p>
                    <a:pPr>
                      <a:defRPr sz="800" b="1">
                        <a:solidFill>
                          <a:srgbClr val="000000"/>
                        </a:solidFill>
                      </a:defRPr>
                    </a:pPr>
                    <a:r>
                      <a:rPr lang="en-US"/>
                      <a:t>K17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F-01DB-4C1D-91FD-AC022CE63907}"/>
                </c:ext>
              </c:extLst>
            </c:dLbl>
            <c:dLbl>
              <c:idx val="128"/>
              <c:tx>
                <c:rich>
                  <a:bodyPr wrap="square" lIns="38100" tIns="19050" rIns="38100" bIns="19050" anchor="ctr">
                    <a:spAutoFit/>
                  </a:bodyPr>
                  <a:lstStyle/>
                  <a:p>
                    <a:pPr>
                      <a:defRPr sz="800" b="1">
                        <a:solidFill>
                          <a:srgbClr val="000000"/>
                        </a:solidFill>
                      </a:defRPr>
                    </a:pPr>
                    <a:r>
                      <a:rPr lang="en-US"/>
                      <a:t>K19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0-01DB-4C1D-91FD-AC022CE63907}"/>
                </c:ext>
              </c:extLst>
            </c:dLbl>
            <c:dLbl>
              <c:idx val="129"/>
              <c:tx>
                <c:rich>
                  <a:bodyPr wrap="square" lIns="38100" tIns="19050" rIns="38100" bIns="19050" anchor="ctr">
                    <a:spAutoFit/>
                  </a:bodyPr>
                  <a:lstStyle/>
                  <a:p>
                    <a:pPr>
                      <a:defRPr sz="800" b="1">
                        <a:solidFill>
                          <a:srgbClr val="000000"/>
                        </a:solidFill>
                      </a:defRPr>
                    </a:pPr>
                    <a:r>
                      <a:rPr lang="en-US"/>
                      <a:t>K21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1-01DB-4C1D-91FD-AC022CE63907}"/>
                </c:ext>
              </c:extLst>
            </c:dLbl>
            <c:dLbl>
              <c:idx val="130"/>
              <c:tx>
                <c:rich>
                  <a:bodyPr wrap="square" lIns="38100" tIns="19050" rIns="38100" bIns="19050" anchor="ctr">
                    <a:spAutoFit/>
                  </a:bodyPr>
                  <a:lstStyle/>
                  <a:p>
                    <a:pPr>
                      <a:defRPr sz="800" b="1">
                        <a:solidFill>
                          <a:srgbClr val="000000"/>
                        </a:solidFill>
                      </a:defRPr>
                    </a:pPr>
                    <a:r>
                      <a:rPr lang="en-US"/>
                      <a:t>L01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2-01DB-4C1D-91FD-AC022CE63907}"/>
                </c:ext>
              </c:extLst>
            </c:dLbl>
            <c:dLbl>
              <c:idx val="131"/>
              <c:tx>
                <c:rich>
                  <a:bodyPr wrap="square" lIns="38100" tIns="19050" rIns="38100" bIns="19050" anchor="ctr">
                    <a:spAutoFit/>
                  </a:bodyPr>
                  <a:lstStyle/>
                  <a:p>
                    <a:pPr>
                      <a:defRPr sz="800" b="1">
                        <a:solidFill>
                          <a:srgbClr val="000000"/>
                        </a:solidFill>
                      </a:defRPr>
                    </a:pPr>
                    <a:r>
                      <a:rPr lang="en-US"/>
                      <a:t>L03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3-01DB-4C1D-91FD-AC022CE63907}"/>
                </c:ext>
              </c:extLst>
            </c:dLbl>
            <c:dLbl>
              <c:idx val="132"/>
              <c:tx>
                <c:rich>
                  <a:bodyPr wrap="square" lIns="38100" tIns="19050" rIns="38100" bIns="19050" anchor="ctr">
                    <a:spAutoFit/>
                  </a:bodyPr>
                  <a:lstStyle/>
                  <a:p>
                    <a:pPr>
                      <a:defRPr sz="800" b="1">
                        <a:solidFill>
                          <a:srgbClr val="000000"/>
                        </a:solidFill>
                      </a:defRPr>
                    </a:pPr>
                    <a:r>
                      <a:rPr lang="en-US"/>
                      <a:t>L05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4-01DB-4C1D-91FD-AC022CE63907}"/>
                </c:ext>
              </c:extLst>
            </c:dLbl>
            <c:dLbl>
              <c:idx val="133"/>
              <c:tx>
                <c:rich>
                  <a:bodyPr wrap="square" lIns="38100" tIns="19050" rIns="38100" bIns="19050" anchor="ctr">
                    <a:spAutoFit/>
                  </a:bodyPr>
                  <a:lstStyle/>
                  <a:p>
                    <a:pPr>
                      <a:defRPr sz="800" b="1">
                        <a:solidFill>
                          <a:srgbClr val="000000"/>
                        </a:solidFill>
                      </a:defRPr>
                    </a:pPr>
                    <a:r>
                      <a:rPr lang="en-US"/>
                      <a:t>L07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5-01DB-4C1D-91FD-AC022CE63907}"/>
                </c:ext>
              </c:extLst>
            </c:dLbl>
            <c:dLbl>
              <c:idx val="134"/>
              <c:tx>
                <c:rich>
                  <a:bodyPr wrap="square" lIns="38100" tIns="19050" rIns="38100" bIns="19050" anchor="ctr">
                    <a:spAutoFit/>
                  </a:bodyPr>
                  <a:lstStyle/>
                  <a:p>
                    <a:pPr>
                      <a:defRPr sz="800" b="1">
                        <a:solidFill>
                          <a:srgbClr val="000000"/>
                        </a:solidFill>
                      </a:defRPr>
                    </a:pPr>
                    <a:r>
                      <a:rPr lang="en-US"/>
                      <a:t>L09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6-01DB-4C1D-91FD-AC022CE63907}"/>
                </c:ext>
              </c:extLst>
            </c:dLbl>
            <c:dLbl>
              <c:idx val="135"/>
              <c:tx>
                <c:rich>
                  <a:bodyPr wrap="square" lIns="38100" tIns="19050" rIns="38100" bIns="19050" anchor="ctr">
                    <a:spAutoFit/>
                  </a:bodyPr>
                  <a:lstStyle/>
                  <a:p>
                    <a:pPr>
                      <a:defRPr sz="800" b="1">
                        <a:solidFill>
                          <a:srgbClr val="000000"/>
                        </a:solidFill>
                      </a:defRPr>
                    </a:pPr>
                    <a:r>
                      <a:rPr lang="en-US"/>
                      <a:t>L11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7-01DB-4C1D-91FD-AC022CE63907}"/>
                </c:ext>
              </c:extLst>
            </c:dLbl>
            <c:dLbl>
              <c:idx val="136"/>
              <c:tx>
                <c:rich>
                  <a:bodyPr wrap="square" lIns="38100" tIns="19050" rIns="38100" bIns="19050" anchor="ctr">
                    <a:spAutoFit/>
                  </a:bodyPr>
                  <a:lstStyle/>
                  <a:p>
                    <a:pPr>
                      <a:defRPr sz="800" b="1">
                        <a:solidFill>
                          <a:srgbClr val="000000"/>
                        </a:solidFill>
                      </a:defRPr>
                    </a:pPr>
                    <a:r>
                      <a:rPr lang="en-US"/>
                      <a:t>L13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8-01DB-4C1D-91FD-AC022CE63907}"/>
                </c:ext>
              </c:extLst>
            </c:dLbl>
            <c:dLbl>
              <c:idx val="137"/>
              <c:tx>
                <c:rich>
                  <a:bodyPr wrap="square" lIns="38100" tIns="19050" rIns="38100" bIns="19050" anchor="ctr">
                    <a:spAutoFit/>
                  </a:bodyPr>
                  <a:lstStyle/>
                  <a:p>
                    <a:pPr>
                      <a:defRPr sz="800" b="1">
                        <a:solidFill>
                          <a:srgbClr val="000000"/>
                        </a:solidFill>
                      </a:defRPr>
                    </a:pPr>
                    <a:r>
                      <a:rPr lang="en-US"/>
                      <a:t>L15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9-01DB-4C1D-91FD-AC022CE63907}"/>
                </c:ext>
              </c:extLst>
            </c:dLbl>
            <c:dLbl>
              <c:idx val="138"/>
              <c:tx>
                <c:rich>
                  <a:bodyPr wrap="square" lIns="38100" tIns="19050" rIns="38100" bIns="19050" anchor="ctr">
                    <a:spAutoFit/>
                  </a:bodyPr>
                  <a:lstStyle/>
                  <a:p>
                    <a:pPr>
                      <a:defRPr sz="800" b="1">
                        <a:solidFill>
                          <a:srgbClr val="000000"/>
                        </a:solidFill>
                      </a:defRPr>
                    </a:pPr>
                    <a:r>
                      <a:rPr lang="en-US"/>
                      <a:t>L17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A-01DB-4C1D-91FD-AC022CE63907}"/>
                </c:ext>
              </c:extLst>
            </c:dLbl>
            <c:dLbl>
              <c:idx val="139"/>
              <c:tx>
                <c:rich>
                  <a:bodyPr wrap="square" lIns="38100" tIns="19050" rIns="38100" bIns="19050" anchor="ctr">
                    <a:spAutoFit/>
                  </a:bodyPr>
                  <a:lstStyle/>
                  <a:p>
                    <a:pPr>
                      <a:defRPr sz="800" b="1">
                        <a:solidFill>
                          <a:srgbClr val="000000"/>
                        </a:solidFill>
                      </a:defRPr>
                    </a:pPr>
                    <a:r>
                      <a:rPr lang="en-US"/>
                      <a:t>L19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B-01DB-4C1D-91FD-AC022CE63907}"/>
                </c:ext>
              </c:extLst>
            </c:dLbl>
            <c:dLbl>
              <c:idx val="140"/>
              <c:tx>
                <c:rich>
                  <a:bodyPr wrap="square" lIns="38100" tIns="19050" rIns="38100" bIns="19050" anchor="ctr">
                    <a:spAutoFit/>
                  </a:bodyPr>
                  <a:lstStyle/>
                  <a:p>
                    <a:pPr>
                      <a:defRPr sz="800" b="1">
                        <a:solidFill>
                          <a:srgbClr val="000000"/>
                        </a:solidFill>
                      </a:defRPr>
                    </a:pPr>
                    <a:r>
                      <a:rPr lang="en-US"/>
                      <a:t>L21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C-01DB-4C1D-91FD-AC022CE63907}"/>
                </c:ext>
              </c:extLst>
            </c:dLbl>
            <c:dLbl>
              <c:idx val="141"/>
              <c:tx>
                <c:rich>
                  <a:bodyPr wrap="square" lIns="38100" tIns="19050" rIns="38100" bIns="19050" anchor="ctr">
                    <a:spAutoFit/>
                  </a:bodyPr>
                  <a:lstStyle/>
                  <a:p>
                    <a:pPr>
                      <a:defRPr sz="800" b="1">
                        <a:solidFill>
                          <a:srgbClr val="000000"/>
                        </a:solidFill>
                      </a:defRPr>
                    </a:pPr>
                    <a:r>
                      <a:rPr lang="en-US"/>
                      <a:t>M01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D-01DB-4C1D-91FD-AC022CE63907}"/>
                </c:ext>
              </c:extLst>
            </c:dLbl>
            <c:dLbl>
              <c:idx val="142"/>
              <c:tx>
                <c:rich>
                  <a:bodyPr wrap="square" lIns="38100" tIns="19050" rIns="38100" bIns="19050" anchor="ctr">
                    <a:spAutoFit/>
                  </a:bodyPr>
                  <a:lstStyle/>
                  <a:p>
                    <a:pPr>
                      <a:defRPr sz="800" b="1">
                        <a:solidFill>
                          <a:srgbClr val="000000"/>
                        </a:solidFill>
                      </a:defRPr>
                    </a:pPr>
                    <a:r>
                      <a:rPr lang="en-US"/>
                      <a:t>M03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E-01DB-4C1D-91FD-AC022CE63907}"/>
                </c:ext>
              </c:extLst>
            </c:dLbl>
            <c:dLbl>
              <c:idx val="143"/>
              <c:tx>
                <c:rich>
                  <a:bodyPr wrap="square" lIns="38100" tIns="19050" rIns="38100" bIns="19050" anchor="ctr">
                    <a:spAutoFit/>
                  </a:bodyPr>
                  <a:lstStyle/>
                  <a:p>
                    <a:pPr>
                      <a:defRPr sz="800" b="1">
                        <a:solidFill>
                          <a:srgbClr val="000000"/>
                        </a:solidFill>
                      </a:defRPr>
                    </a:pPr>
                    <a:r>
                      <a:rPr lang="en-US"/>
                      <a:t>M05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F-01DB-4C1D-91FD-AC022CE63907}"/>
                </c:ext>
              </c:extLst>
            </c:dLbl>
            <c:dLbl>
              <c:idx val="144"/>
              <c:tx>
                <c:rich>
                  <a:bodyPr wrap="square" lIns="38100" tIns="19050" rIns="38100" bIns="19050" anchor="ctr">
                    <a:spAutoFit/>
                  </a:bodyPr>
                  <a:lstStyle/>
                  <a:p>
                    <a:pPr>
                      <a:defRPr sz="800" b="1">
                        <a:solidFill>
                          <a:srgbClr val="000000"/>
                        </a:solidFill>
                      </a:defRPr>
                    </a:pPr>
                    <a:r>
                      <a:rPr lang="en-US"/>
                      <a:t>M07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0-01DB-4C1D-91FD-AC022CE63907}"/>
                </c:ext>
              </c:extLst>
            </c:dLbl>
            <c:dLbl>
              <c:idx val="145"/>
              <c:tx>
                <c:rich>
                  <a:bodyPr wrap="square" lIns="38100" tIns="19050" rIns="38100" bIns="19050" anchor="ctr">
                    <a:spAutoFit/>
                  </a:bodyPr>
                  <a:lstStyle/>
                  <a:p>
                    <a:pPr>
                      <a:defRPr sz="800" b="1">
                        <a:solidFill>
                          <a:srgbClr val="000000"/>
                        </a:solidFill>
                      </a:defRPr>
                    </a:pPr>
                    <a:r>
                      <a:rPr lang="en-US"/>
                      <a:t>M09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1-01DB-4C1D-91FD-AC022CE63907}"/>
                </c:ext>
              </c:extLst>
            </c:dLbl>
            <c:dLbl>
              <c:idx val="146"/>
              <c:tx>
                <c:rich>
                  <a:bodyPr wrap="square" lIns="38100" tIns="19050" rIns="38100" bIns="19050" anchor="ctr">
                    <a:spAutoFit/>
                  </a:bodyPr>
                  <a:lstStyle/>
                  <a:p>
                    <a:pPr>
                      <a:defRPr sz="800" b="1">
                        <a:solidFill>
                          <a:srgbClr val="000000"/>
                        </a:solidFill>
                      </a:defRPr>
                    </a:pPr>
                    <a:r>
                      <a:rPr lang="en-US"/>
                      <a:t>M11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2-01DB-4C1D-91FD-AC022CE63907}"/>
                </c:ext>
              </c:extLst>
            </c:dLbl>
            <c:dLbl>
              <c:idx val="147"/>
              <c:tx>
                <c:rich>
                  <a:bodyPr wrap="square" lIns="38100" tIns="19050" rIns="38100" bIns="19050" anchor="ctr">
                    <a:spAutoFit/>
                  </a:bodyPr>
                  <a:lstStyle/>
                  <a:p>
                    <a:pPr>
                      <a:defRPr sz="800" b="1">
                        <a:solidFill>
                          <a:srgbClr val="000000"/>
                        </a:solidFill>
                      </a:defRPr>
                    </a:pPr>
                    <a:r>
                      <a:rPr lang="en-US"/>
                      <a:t>M13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3-01DB-4C1D-91FD-AC022CE63907}"/>
                </c:ext>
              </c:extLst>
            </c:dLbl>
            <c:dLbl>
              <c:idx val="148"/>
              <c:tx>
                <c:rich>
                  <a:bodyPr wrap="square" lIns="38100" tIns="19050" rIns="38100" bIns="19050" anchor="ctr">
                    <a:spAutoFit/>
                  </a:bodyPr>
                  <a:lstStyle/>
                  <a:p>
                    <a:pPr>
                      <a:defRPr sz="800" b="1">
                        <a:solidFill>
                          <a:srgbClr val="000000"/>
                        </a:solidFill>
                      </a:defRPr>
                    </a:pPr>
                    <a:r>
                      <a:rPr lang="en-US"/>
                      <a:t>M15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4-01DB-4C1D-91FD-AC022CE63907}"/>
                </c:ext>
              </c:extLst>
            </c:dLbl>
            <c:dLbl>
              <c:idx val="149"/>
              <c:tx>
                <c:rich>
                  <a:bodyPr wrap="square" lIns="38100" tIns="19050" rIns="38100" bIns="19050" anchor="ctr">
                    <a:spAutoFit/>
                  </a:bodyPr>
                  <a:lstStyle/>
                  <a:p>
                    <a:pPr>
                      <a:defRPr sz="800" b="1">
                        <a:solidFill>
                          <a:srgbClr val="000000"/>
                        </a:solidFill>
                      </a:defRPr>
                    </a:pPr>
                    <a:r>
                      <a:rPr lang="en-US"/>
                      <a:t>M17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5-01DB-4C1D-91FD-AC022CE63907}"/>
                </c:ext>
              </c:extLst>
            </c:dLbl>
            <c:dLbl>
              <c:idx val="150"/>
              <c:tx>
                <c:rich>
                  <a:bodyPr wrap="square" lIns="38100" tIns="19050" rIns="38100" bIns="19050" anchor="ctr">
                    <a:spAutoFit/>
                  </a:bodyPr>
                  <a:lstStyle/>
                  <a:p>
                    <a:pPr>
                      <a:defRPr sz="800" b="1">
                        <a:solidFill>
                          <a:srgbClr val="000000"/>
                        </a:solidFill>
                      </a:defRPr>
                    </a:pPr>
                    <a:r>
                      <a:rPr lang="en-US"/>
                      <a:t>M19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6-01DB-4C1D-91FD-AC022CE63907}"/>
                </c:ext>
              </c:extLst>
            </c:dLbl>
            <c:dLbl>
              <c:idx val="151"/>
              <c:tx>
                <c:rich>
                  <a:bodyPr wrap="square" lIns="38100" tIns="19050" rIns="38100" bIns="19050" anchor="ctr">
                    <a:spAutoFit/>
                  </a:bodyPr>
                  <a:lstStyle/>
                  <a:p>
                    <a:pPr>
                      <a:defRPr sz="800" b="1">
                        <a:solidFill>
                          <a:srgbClr val="000000"/>
                        </a:solidFill>
                      </a:defRPr>
                    </a:pPr>
                    <a:r>
                      <a:rPr lang="en-US"/>
                      <a:t>N01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7-01DB-4C1D-91FD-AC022CE63907}"/>
                </c:ext>
              </c:extLst>
            </c:dLbl>
            <c:dLbl>
              <c:idx val="152"/>
              <c:tx>
                <c:rich>
                  <a:bodyPr wrap="square" lIns="38100" tIns="19050" rIns="38100" bIns="19050" anchor="ctr">
                    <a:spAutoFit/>
                  </a:bodyPr>
                  <a:lstStyle/>
                  <a:p>
                    <a:pPr>
                      <a:defRPr sz="800" b="1">
                        <a:solidFill>
                          <a:srgbClr val="000000"/>
                        </a:solidFill>
                      </a:defRPr>
                    </a:pPr>
                    <a:r>
                      <a:rPr lang="en-US"/>
                      <a:t>N03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8-01DB-4C1D-91FD-AC022CE63907}"/>
                </c:ext>
              </c:extLst>
            </c:dLbl>
            <c:dLbl>
              <c:idx val="153"/>
              <c:tx>
                <c:rich>
                  <a:bodyPr wrap="square" lIns="38100" tIns="19050" rIns="38100" bIns="19050" anchor="ctr">
                    <a:spAutoFit/>
                  </a:bodyPr>
                  <a:lstStyle/>
                  <a:p>
                    <a:pPr>
                      <a:defRPr sz="800" b="1">
                        <a:solidFill>
                          <a:srgbClr val="000000"/>
                        </a:solidFill>
                      </a:defRPr>
                    </a:pPr>
                    <a:r>
                      <a:rPr lang="en-US"/>
                      <a:t>N05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9-01DB-4C1D-91FD-AC022CE63907}"/>
                </c:ext>
              </c:extLst>
            </c:dLbl>
            <c:dLbl>
              <c:idx val="154"/>
              <c:tx>
                <c:rich>
                  <a:bodyPr wrap="square" lIns="38100" tIns="19050" rIns="38100" bIns="19050" anchor="ctr">
                    <a:spAutoFit/>
                  </a:bodyPr>
                  <a:lstStyle/>
                  <a:p>
                    <a:pPr>
                      <a:defRPr sz="800" b="1">
                        <a:solidFill>
                          <a:srgbClr val="000000"/>
                        </a:solidFill>
                      </a:defRPr>
                    </a:pPr>
                    <a:r>
                      <a:rPr lang="en-US"/>
                      <a:t>N07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A-01DB-4C1D-91FD-AC022CE63907}"/>
                </c:ext>
              </c:extLst>
            </c:dLbl>
            <c:dLbl>
              <c:idx val="155"/>
              <c:tx>
                <c:rich>
                  <a:bodyPr wrap="square" lIns="38100" tIns="19050" rIns="38100" bIns="19050" anchor="ctr">
                    <a:spAutoFit/>
                  </a:bodyPr>
                  <a:lstStyle/>
                  <a:p>
                    <a:pPr>
                      <a:defRPr sz="800" b="1">
                        <a:solidFill>
                          <a:srgbClr val="000000"/>
                        </a:solidFill>
                      </a:defRPr>
                    </a:pPr>
                    <a:r>
                      <a:rPr lang="en-US"/>
                      <a:t>N09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B-01DB-4C1D-91FD-AC022CE63907}"/>
                </c:ext>
              </c:extLst>
            </c:dLbl>
            <c:dLbl>
              <c:idx val="156"/>
              <c:tx>
                <c:rich>
                  <a:bodyPr wrap="square" lIns="38100" tIns="19050" rIns="38100" bIns="19050" anchor="ctr">
                    <a:spAutoFit/>
                  </a:bodyPr>
                  <a:lstStyle/>
                  <a:p>
                    <a:pPr>
                      <a:defRPr sz="800" b="1">
                        <a:solidFill>
                          <a:srgbClr val="000000"/>
                        </a:solidFill>
                      </a:defRPr>
                    </a:pPr>
                    <a:r>
                      <a:rPr lang="en-US"/>
                      <a:t>N11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C-01DB-4C1D-91FD-AC022CE63907}"/>
                </c:ext>
              </c:extLst>
            </c:dLbl>
            <c:dLbl>
              <c:idx val="157"/>
              <c:tx>
                <c:rich>
                  <a:bodyPr wrap="square" lIns="38100" tIns="19050" rIns="38100" bIns="19050" anchor="ctr">
                    <a:spAutoFit/>
                  </a:bodyPr>
                  <a:lstStyle/>
                  <a:p>
                    <a:pPr>
                      <a:defRPr sz="800" b="1">
                        <a:solidFill>
                          <a:srgbClr val="000000"/>
                        </a:solidFill>
                      </a:defRPr>
                    </a:pPr>
                    <a:r>
                      <a:rPr lang="en-US"/>
                      <a:t>N13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D-01DB-4C1D-91FD-AC022CE63907}"/>
                </c:ext>
              </c:extLst>
            </c:dLbl>
            <c:dLbl>
              <c:idx val="158"/>
              <c:tx>
                <c:rich>
                  <a:bodyPr wrap="square" lIns="38100" tIns="19050" rIns="38100" bIns="19050" anchor="ctr">
                    <a:spAutoFit/>
                  </a:bodyPr>
                  <a:lstStyle/>
                  <a:p>
                    <a:pPr>
                      <a:defRPr sz="800" b="1">
                        <a:solidFill>
                          <a:srgbClr val="000000"/>
                        </a:solidFill>
                      </a:defRPr>
                    </a:pPr>
                    <a:r>
                      <a:rPr lang="en-US"/>
                      <a:t>N15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E-01DB-4C1D-91FD-AC022CE63907}"/>
                </c:ext>
              </c:extLst>
            </c:dLbl>
            <c:dLbl>
              <c:idx val="159"/>
              <c:tx>
                <c:rich>
                  <a:bodyPr wrap="square" lIns="38100" tIns="19050" rIns="38100" bIns="19050" anchor="ctr">
                    <a:spAutoFit/>
                  </a:bodyPr>
                  <a:lstStyle/>
                  <a:p>
                    <a:pPr>
                      <a:defRPr sz="800" b="1">
                        <a:solidFill>
                          <a:srgbClr val="000000"/>
                        </a:solidFill>
                      </a:defRPr>
                    </a:pPr>
                    <a:r>
                      <a:rPr lang="en-US"/>
                      <a:t>N17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F-01DB-4C1D-91FD-AC022CE63907}"/>
                </c:ext>
              </c:extLst>
            </c:dLbl>
            <c:dLbl>
              <c:idx val="160"/>
              <c:tx>
                <c:rich>
                  <a:bodyPr wrap="square" lIns="38100" tIns="19050" rIns="38100" bIns="19050" anchor="ctr">
                    <a:spAutoFit/>
                  </a:bodyPr>
                  <a:lstStyle/>
                  <a:p>
                    <a:pPr>
                      <a:defRPr sz="800" b="1">
                        <a:solidFill>
                          <a:srgbClr val="000000"/>
                        </a:solidFill>
                      </a:defRPr>
                    </a:pPr>
                    <a:r>
                      <a:rPr lang="en-US"/>
                      <a:t>N19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0-01DB-4C1D-91FD-AC022CE63907}"/>
                </c:ext>
              </c:extLst>
            </c:dLbl>
            <c:dLbl>
              <c:idx val="161"/>
              <c:tx>
                <c:rich>
                  <a:bodyPr wrap="square" lIns="38100" tIns="19050" rIns="38100" bIns="19050" anchor="ctr">
                    <a:spAutoFit/>
                  </a:bodyPr>
                  <a:lstStyle/>
                  <a:p>
                    <a:pPr>
                      <a:defRPr sz="800" b="1">
                        <a:solidFill>
                          <a:srgbClr val="000000"/>
                        </a:solidFill>
                      </a:defRPr>
                    </a:pPr>
                    <a:r>
                      <a:rPr lang="en-US"/>
                      <a:t>P01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1-01DB-4C1D-91FD-AC022CE63907}"/>
                </c:ext>
              </c:extLst>
            </c:dLbl>
            <c:dLbl>
              <c:idx val="162"/>
              <c:tx>
                <c:rich>
                  <a:bodyPr wrap="square" lIns="38100" tIns="19050" rIns="38100" bIns="19050" anchor="ctr">
                    <a:spAutoFit/>
                  </a:bodyPr>
                  <a:lstStyle/>
                  <a:p>
                    <a:pPr>
                      <a:defRPr sz="800" b="1">
                        <a:solidFill>
                          <a:srgbClr val="000000"/>
                        </a:solidFill>
                      </a:defRPr>
                    </a:pPr>
                    <a:r>
                      <a:rPr lang="en-US"/>
                      <a:t>P03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2-01DB-4C1D-91FD-AC022CE63907}"/>
                </c:ext>
              </c:extLst>
            </c:dLbl>
            <c:dLbl>
              <c:idx val="163"/>
              <c:tx>
                <c:rich>
                  <a:bodyPr wrap="square" lIns="38100" tIns="19050" rIns="38100" bIns="19050" anchor="ctr">
                    <a:spAutoFit/>
                  </a:bodyPr>
                  <a:lstStyle/>
                  <a:p>
                    <a:pPr>
                      <a:defRPr sz="800" b="1">
                        <a:solidFill>
                          <a:srgbClr val="000000"/>
                        </a:solidFill>
                      </a:defRPr>
                    </a:pPr>
                    <a:r>
                      <a:rPr lang="en-US"/>
                      <a:t>P04</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3-01DB-4C1D-91FD-AC022CE63907}"/>
                </c:ext>
              </c:extLst>
            </c:dLbl>
            <c:dLbl>
              <c:idx val="164"/>
              <c:tx>
                <c:rich>
                  <a:bodyPr wrap="square" lIns="38100" tIns="19050" rIns="38100" bIns="19050" anchor="ctr">
                    <a:spAutoFit/>
                  </a:bodyPr>
                  <a:lstStyle/>
                  <a:p>
                    <a:pPr>
                      <a:defRPr sz="800" b="1">
                        <a:solidFill>
                          <a:srgbClr val="000000"/>
                        </a:solidFill>
                      </a:defRPr>
                    </a:pPr>
                    <a:r>
                      <a:rPr lang="en-US"/>
                      <a:t>P05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4-01DB-4C1D-91FD-AC022CE63907}"/>
                </c:ext>
              </c:extLst>
            </c:dLbl>
            <c:dLbl>
              <c:idx val="165"/>
              <c:tx>
                <c:rich>
                  <a:bodyPr wrap="square" lIns="38100" tIns="19050" rIns="38100" bIns="19050" anchor="ctr">
                    <a:spAutoFit/>
                  </a:bodyPr>
                  <a:lstStyle/>
                  <a:p>
                    <a:pPr>
                      <a:defRPr sz="800" b="1">
                        <a:solidFill>
                          <a:srgbClr val="000000"/>
                        </a:solidFill>
                      </a:defRPr>
                    </a:pPr>
                    <a:r>
                      <a:rPr lang="en-US"/>
                      <a:t>P07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5-01DB-4C1D-91FD-AC022CE63907}"/>
                </c:ext>
              </c:extLst>
            </c:dLbl>
            <c:dLbl>
              <c:idx val="166"/>
              <c:tx>
                <c:rich>
                  <a:bodyPr wrap="square" lIns="38100" tIns="19050" rIns="38100" bIns="19050" anchor="ctr">
                    <a:spAutoFit/>
                  </a:bodyPr>
                  <a:lstStyle/>
                  <a:p>
                    <a:pPr>
                      <a:defRPr sz="800" b="1">
                        <a:solidFill>
                          <a:srgbClr val="000000"/>
                        </a:solidFill>
                      </a:defRPr>
                    </a:pPr>
                    <a:r>
                      <a:rPr lang="en-US"/>
                      <a:t>P09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6-01DB-4C1D-91FD-AC022CE63907}"/>
                </c:ext>
              </c:extLst>
            </c:dLbl>
            <c:dLbl>
              <c:idx val="167"/>
              <c:tx>
                <c:rich>
                  <a:bodyPr wrap="square" lIns="38100" tIns="19050" rIns="38100" bIns="19050" anchor="ctr">
                    <a:spAutoFit/>
                  </a:bodyPr>
                  <a:lstStyle/>
                  <a:p>
                    <a:pPr>
                      <a:defRPr sz="800" b="1">
                        <a:solidFill>
                          <a:srgbClr val="000000"/>
                        </a:solidFill>
                      </a:defRPr>
                    </a:pPr>
                    <a:r>
                      <a:rPr lang="en-US"/>
                      <a:t>P11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7-01DB-4C1D-91FD-AC022CE63907}"/>
                </c:ext>
              </c:extLst>
            </c:dLbl>
            <c:dLbl>
              <c:idx val="168"/>
              <c:tx>
                <c:rich>
                  <a:bodyPr wrap="square" lIns="38100" tIns="19050" rIns="38100" bIns="19050" anchor="ctr">
                    <a:spAutoFit/>
                  </a:bodyPr>
                  <a:lstStyle/>
                  <a:p>
                    <a:pPr>
                      <a:defRPr sz="800" b="1">
                        <a:solidFill>
                          <a:srgbClr val="000000"/>
                        </a:solidFill>
                      </a:defRPr>
                    </a:pPr>
                    <a:r>
                      <a:rPr lang="en-US"/>
                      <a:t>P13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8-01DB-4C1D-91FD-AC022CE63907}"/>
                </c:ext>
              </c:extLst>
            </c:dLbl>
            <c:dLbl>
              <c:idx val="169"/>
              <c:tx>
                <c:rich>
                  <a:bodyPr wrap="square" lIns="38100" tIns="19050" rIns="38100" bIns="19050" anchor="ctr">
                    <a:spAutoFit/>
                  </a:bodyPr>
                  <a:lstStyle/>
                  <a:p>
                    <a:pPr>
                      <a:defRPr sz="800" b="1">
                        <a:solidFill>
                          <a:srgbClr val="000000"/>
                        </a:solidFill>
                      </a:defRPr>
                    </a:pPr>
                    <a:r>
                      <a:rPr lang="en-US"/>
                      <a:t>P15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9-01DB-4C1D-91FD-AC022CE63907}"/>
                </c:ext>
              </c:extLst>
            </c:dLbl>
            <c:dLbl>
              <c:idx val="170"/>
              <c:tx>
                <c:rich>
                  <a:bodyPr wrap="square" lIns="38100" tIns="19050" rIns="38100" bIns="19050" anchor="ctr">
                    <a:spAutoFit/>
                  </a:bodyPr>
                  <a:lstStyle/>
                  <a:p>
                    <a:pPr>
                      <a:defRPr sz="800" b="1">
                        <a:solidFill>
                          <a:srgbClr val="000000"/>
                        </a:solidFill>
                      </a:defRPr>
                    </a:pPr>
                    <a:r>
                      <a:rPr lang="en-US"/>
                      <a:t>P17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A-01DB-4C1D-91FD-AC022CE63907}"/>
                </c:ext>
              </c:extLst>
            </c:dLbl>
            <c:dLbl>
              <c:idx val="171"/>
              <c:tx>
                <c:rich>
                  <a:bodyPr wrap="square" lIns="38100" tIns="19050" rIns="38100" bIns="19050" anchor="ctr">
                    <a:spAutoFit/>
                  </a:bodyPr>
                  <a:lstStyle/>
                  <a:p>
                    <a:pPr>
                      <a:defRPr sz="800" b="1">
                        <a:solidFill>
                          <a:srgbClr val="000000"/>
                        </a:solidFill>
                      </a:defRPr>
                    </a:pPr>
                    <a:r>
                      <a:rPr lang="en-US"/>
                      <a:t>P19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B-01DB-4C1D-91FD-AC022CE63907}"/>
                </c:ext>
              </c:extLst>
            </c:dLbl>
            <c:dLbl>
              <c:idx val="172"/>
              <c:tx>
                <c:rich>
                  <a:bodyPr wrap="square" lIns="38100" tIns="19050" rIns="38100" bIns="19050" anchor="ctr">
                    <a:spAutoFit/>
                  </a:bodyPr>
                  <a:lstStyle/>
                  <a:p>
                    <a:pPr>
                      <a:defRPr sz="800" b="1">
                        <a:solidFill>
                          <a:srgbClr val="000000"/>
                        </a:solidFill>
                      </a:defRPr>
                    </a:pPr>
                    <a:r>
                      <a:rPr lang="en-US"/>
                      <a:t>P20</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C-01DB-4C1D-91FD-AC022CE63907}"/>
                </c:ext>
              </c:extLst>
            </c:dLbl>
            <c:dLbl>
              <c:idx val="173"/>
              <c:tx>
                <c:rich>
                  <a:bodyPr wrap="square" lIns="38100" tIns="19050" rIns="38100" bIns="19050" anchor="ctr">
                    <a:spAutoFit/>
                  </a:bodyPr>
                  <a:lstStyle/>
                  <a:p>
                    <a:pPr>
                      <a:defRPr sz="800" b="1">
                        <a:solidFill>
                          <a:srgbClr val="000000"/>
                        </a:solidFill>
                      </a:defRPr>
                    </a:pPr>
                    <a:r>
                      <a:rPr lang="en-US"/>
                      <a:t>Q01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D-01DB-4C1D-91FD-AC022CE63907}"/>
                </c:ext>
              </c:extLst>
            </c:dLbl>
            <c:dLbl>
              <c:idx val="174"/>
              <c:tx>
                <c:rich>
                  <a:bodyPr wrap="square" lIns="38100" tIns="19050" rIns="38100" bIns="19050" anchor="ctr">
                    <a:spAutoFit/>
                  </a:bodyPr>
                  <a:lstStyle/>
                  <a:p>
                    <a:pPr>
                      <a:defRPr sz="800" b="1">
                        <a:solidFill>
                          <a:srgbClr val="000000"/>
                        </a:solidFill>
                      </a:defRPr>
                    </a:pPr>
                    <a:r>
                      <a:rPr lang="en-US"/>
                      <a:t>Q05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E-01DB-4C1D-91FD-AC022CE63907}"/>
                </c:ext>
              </c:extLst>
            </c:dLbl>
            <c:dLbl>
              <c:idx val="175"/>
              <c:tx>
                <c:rich>
                  <a:bodyPr wrap="square" lIns="38100" tIns="19050" rIns="38100" bIns="19050" anchor="ctr">
                    <a:spAutoFit/>
                  </a:bodyPr>
                  <a:lstStyle/>
                  <a:p>
                    <a:pPr>
                      <a:defRPr sz="800" b="1">
                        <a:solidFill>
                          <a:srgbClr val="000000"/>
                        </a:solidFill>
                      </a:defRPr>
                    </a:pPr>
                    <a:r>
                      <a:rPr lang="en-US"/>
                      <a:t>Q06</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F-01DB-4C1D-91FD-AC022CE63907}"/>
                </c:ext>
              </c:extLst>
            </c:dLbl>
            <c:dLbl>
              <c:idx val="176"/>
              <c:tx>
                <c:rich>
                  <a:bodyPr wrap="square" lIns="38100" tIns="19050" rIns="38100" bIns="19050" anchor="ctr">
                    <a:spAutoFit/>
                  </a:bodyPr>
                  <a:lstStyle/>
                  <a:p>
                    <a:pPr>
                      <a:defRPr sz="800" b="1">
                        <a:solidFill>
                          <a:srgbClr val="000000"/>
                        </a:solidFill>
                      </a:defRPr>
                    </a:pPr>
                    <a:r>
                      <a:rPr lang="en-US"/>
                      <a:t>Q07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0-01DB-4C1D-91FD-AC022CE63907}"/>
                </c:ext>
              </c:extLst>
            </c:dLbl>
            <c:dLbl>
              <c:idx val="177"/>
              <c:tx>
                <c:rich>
                  <a:bodyPr wrap="square" lIns="38100" tIns="19050" rIns="38100" bIns="19050" anchor="ctr">
                    <a:spAutoFit/>
                  </a:bodyPr>
                  <a:lstStyle/>
                  <a:p>
                    <a:pPr>
                      <a:defRPr sz="800" b="1">
                        <a:solidFill>
                          <a:srgbClr val="000000"/>
                        </a:solidFill>
                      </a:defRPr>
                    </a:pPr>
                    <a:r>
                      <a:rPr lang="en-US"/>
                      <a:t>Q08</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1-01DB-4C1D-91FD-AC022CE63907}"/>
                </c:ext>
              </c:extLst>
            </c:dLbl>
            <c:dLbl>
              <c:idx val="178"/>
              <c:tx>
                <c:rich>
                  <a:bodyPr wrap="square" lIns="38100" tIns="19050" rIns="38100" bIns="19050" anchor="ctr">
                    <a:spAutoFit/>
                  </a:bodyPr>
                  <a:lstStyle/>
                  <a:p>
                    <a:pPr>
                      <a:defRPr sz="800" b="1">
                        <a:solidFill>
                          <a:srgbClr val="000000"/>
                        </a:solidFill>
                      </a:defRPr>
                    </a:pPr>
                    <a:r>
                      <a:rPr lang="en-US"/>
                      <a:t>Q09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2-01DB-4C1D-91FD-AC022CE63907}"/>
                </c:ext>
              </c:extLst>
            </c:dLbl>
            <c:dLbl>
              <c:idx val="179"/>
              <c:tx>
                <c:rich>
                  <a:bodyPr wrap="square" lIns="38100" tIns="19050" rIns="38100" bIns="19050" anchor="ctr">
                    <a:spAutoFit/>
                  </a:bodyPr>
                  <a:lstStyle/>
                  <a:p>
                    <a:pPr>
                      <a:defRPr sz="800" b="1">
                        <a:solidFill>
                          <a:srgbClr val="000000"/>
                        </a:solidFill>
                      </a:defRPr>
                    </a:pPr>
                    <a:r>
                      <a:rPr lang="en-US"/>
                      <a:t>Q11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3-01DB-4C1D-91FD-AC022CE63907}"/>
                </c:ext>
              </c:extLst>
            </c:dLbl>
            <c:dLbl>
              <c:idx val="180"/>
              <c:tx>
                <c:rich>
                  <a:bodyPr wrap="square" lIns="38100" tIns="19050" rIns="38100" bIns="19050" anchor="ctr">
                    <a:spAutoFit/>
                  </a:bodyPr>
                  <a:lstStyle/>
                  <a:p>
                    <a:pPr>
                      <a:defRPr sz="800" b="1">
                        <a:solidFill>
                          <a:srgbClr val="000000"/>
                        </a:solidFill>
                      </a:defRPr>
                    </a:pPr>
                    <a:r>
                      <a:rPr lang="en-US"/>
                      <a:t>Q13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4-01DB-4C1D-91FD-AC022CE63907}"/>
                </c:ext>
              </c:extLst>
            </c:dLbl>
            <c:dLbl>
              <c:idx val="181"/>
              <c:tx>
                <c:rich>
                  <a:bodyPr wrap="square" lIns="38100" tIns="19050" rIns="38100" bIns="19050" anchor="ctr">
                    <a:spAutoFit/>
                  </a:bodyPr>
                  <a:lstStyle/>
                  <a:p>
                    <a:pPr>
                      <a:defRPr sz="800" b="1">
                        <a:solidFill>
                          <a:srgbClr val="000000"/>
                        </a:solidFill>
                      </a:defRPr>
                    </a:pPr>
                    <a:r>
                      <a:rPr lang="en-US"/>
                      <a:t>Q15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5-01DB-4C1D-91FD-AC022CE63907}"/>
                </c:ext>
              </c:extLst>
            </c:dLbl>
            <c:dLbl>
              <c:idx val="182"/>
              <c:tx>
                <c:rich>
                  <a:bodyPr wrap="square" lIns="38100" tIns="19050" rIns="38100" bIns="19050" anchor="ctr">
                    <a:spAutoFit/>
                  </a:bodyPr>
                  <a:lstStyle/>
                  <a:p>
                    <a:pPr>
                      <a:defRPr sz="800" b="1">
                        <a:solidFill>
                          <a:srgbClr val="000000"/>
                        </a:solidFill>
                      </a:defRPr>
                    </a:pPr>
                    <a:r>
                      <a:rPr lang="en-US"/>
                      <a:t>Q17</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6-01DB-4C1D-91FD-AC022CE63907}"/>
                </c:ext>
              </c:extLst>
            </c:dLbl>
            <c:dLbl>
              <c:idx val="183"/>
              <c:tx>
                <c:rich>
                  <a:bodyPr wrap="square" lIns="38100" tIns="19050" rIns="38100" bIns="19050" anchor="ctr">
                    <a:spAutoFit/>
                  </a:bodyPr>
                  <a:lstStyle/>
                  <a:p>
                    <a:pPr>
                      <a:defRPr sz="800" b="1">
                        <a:solidFill>
                          <a:srgbClr val="000000"/>
                        </a:solidFill>
                      </a:defRPr>
                    </a:pPr>
                    <a:r>
                      <a:rPr lang="en-US"/>
                      <a:t>Q18</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7-01DB-4C1D-91FD-AC022CE63907}"/>
                </c:ext>
              </c:extLst>
            </c:dLbl>
            <c:dLbl>
              <c:idx val="184"/>
              <c:tx>
                <c:rich>
                  <a:bodyPr wrap="square" lIns="38100" tIns="19050" rIns="38100" bIns="19050" anchor="ctr">
                    <a:spAutoFit/>
                  </a:bodyPr>
                  <a:lstStyle/>
                  <a:p>
                    <a:pPr>
                      <a:defRPr sz="800" b="1">
                        <a:solidFill>
                          <a:srgbClr val="000000"/>
                        </a:solidFill>
                      </a:defRPr>
                    </a:pPr>
                    <a:r>
                      <a:rPr lang="en-US"/>
                      <a:t>R01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8-01DB-4C1D-91FD-AC022CE63907}"/>
                </c:ext>
              </c:extLst>
            </c:dLbl>
            <c:dLbl>
              <c:idx val="185"/>
              <c:tx>
                <c:rich>
                  <a:bodyPr wrap="square" lIns="38100" tIns="19050" rIns="38100" bIns="19050" anchor="ctr">
                    <a:spAutoFit/>
                  </a:bodyPr>
                  <a:lstStyle/>
                  <a:p>
                    <a:pPr>
                      <a:defRPr sz="800" b="1">
                        <a:solidFill>
                          <a:srgbClr val="000000"/>
                        </a:solidFill>
                      </a:defRPr>
                    </a:pPr>
                    <a:r>
                      <a:rPr lang="en-US"/>
                      <a:t>R02</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9-01DB-4C1D-91FD-AC022CE63907}"/>
                </c:ext>
              </c:extLst>
            </c:dLbl>
            <c:dLbl>
              <c:idx val="186"/>
              <c:tx>
                <c:rich>
                  <a:bodyPr wrap="square" lIns="38100" tIns="19050" rIns="38100" bIns="19050" anchor="ctr">
                    <a:spAutoFit/>
                  </a:bodyPr>
                  <a:lstStyle/>
                  <a:p>
                    <a:pPr>
                      <a:defRPr sz="800" b="1">
                        <a:solidFill>
                          <a:srgbClr val="000000"/>
                        </a:solidFill>
                      </a:defRPr>
                    </a:pPr>
                    <a:r>
                      <a:rPr lang="en-US"/>
                      <a:t>R09</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A-01DB-4C1D-91FD-AC022CE63907}"/>
                </c:ext>
              </c:extLst>
            </c:dLbl>
            <c:dLbl>
              <c:idx val="187"/>
              <c:tx>
                <c:rich>
                  <a:bodyPr wrap="square" lIns="38100" tIns="19050" rIns="38100" bIns="19050" anchor="ctr">
                    <a:spAutoFit/>
                  </a:bodyPr>
                  <a:lstStyle/>
                  <a:p>
                    <a:pPr>
                      <a:defRPr sz="800" b="1">
                        <a:solidFill>
                          <a:srgbClr val="000000"/>
                        </a:solidFill>
                      </a:defRPr>
                    </a:pPr>
                    <a:r>
                      <a:rPr lang="en-US"/>
                      <a:t>R11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B-01DB-4C1D-91FD-AC022CE63907}"/>
                </c:ext>
              </c:extLst>
            </c:dLbl>
            <c:dLbl>
              <c:idx val="188"/>
              <c:tx>
                <c:rich>
                  <a:bodyPr wrap="square" lIns="38100" tIns="19050" rIns="38100" bIns="19050" anchor="ctr">
                    <a:spAutoFit/>
                  </a:bodyPr>
                  <a:lstStyle/>
                  <a:p>
                    <a:pPr>
                      <a:defRPr sz="800" b="1">
                        <a:solidFill>
                          <a:srgbClr val="000000"/>
                        </a:solidFill>
                      </a:defRPr>
                    </a:pPr>
                    <a:r>
                      <a:rPr lang="en-US"/>
                      <a:t>R13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C-01DB-4C1D-91FD-AC022CE63907}"/>
                </c:ext>
              </c:extLst>
            </c:dLbl>
            <c:dLbl>
              <c:idx val="189"/>
              <c:tx>
                <c:rich>
                  <a:bodyPr wrap="square" lIns="38100" tIns="19050" rIns="38100" bIns="19050" anchor="ctr">
                    <a:spAutoFit/>
                  </a:bodyPr>
                  <a:lstStyle/>
                  <a:p>
                    <a:pPr>
                      <a:defRPr sz="800" b="1">
                        <a:solidFill>
                          <a:srgbClr val="000000"/>
                        </a:solidFill>
                      </a:defRPr>
                    </a:pPr>
                    <a:r>
                      <a:rPr lang="en-US"/>
                      <a:t>R15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D-01DB-4C1D-91FD-AC022CE63907}"/>
                </c:ext>
              </c:extLst>
            </c:dLbl>
            <c:dLbl>
              <c:idx val="190"/>
              <c:tx>
                <c:rich>
                  <a:bodyPr wrap="square" lIns="38100" tIns="19050" rIns="38100" bIns="19050" anchor="ctr">
                    <a:spAutoFit/>
                  </a:bodyPr>
                  <a:lstStyle/>
                  <a:p>
                    <a:pPr>
                      <a:defRPr sz="800" b="1">
                        <a:solidFill>
                          <a:srgbClr val="000000"/>
                        </a:solidFill>
                      </a:defRPr>
                    </a:pPr>
                    <a:r>
                      <a:rPr lang="en-US"/>
                      <a:t>S11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E-01DB-4C1D-91FD-AC022CE63907}"/>
                </c:ext>
              </c:extLst>
            </c:dLbl>
            <c:dLbl>
              <c:idx val="191"/>
              <c:tx>
                <c:rich>
                  <a:bodyPr wrap="square" lIns="38100" tIns="19050" rIns="38100" bIns="19050" anchor="ctr">
                    <a:spAutoFit/>
                  </a:bodyPr>
                  <a:lstStyle/>
                  <a:p>
                    <a:pPr>
                      <a:defRPr sz="800" b="1">
                        <a:solidFill>
                          <a:srgbClr val="000000"/>
                        </a:solidFill>
                      </a:defRPr>
                    </a:pPr>
                    <a:r>
                      <a:rPr lang="en-US"/>
                      <a:t>S13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F-01DB-4C1D-91FD-AC022CE63907}"/>
                </c:ext>
              </c:extLst>
            </c:dLbl>
            <c:dLbl>
              <c:idx val="192"/>
              <c:tx>
                <c:rich>
                  <a:bodyPr wrap="square" lIns="38100" tIns="19050" rIns="38100" bIns="19050" anchor="ctr">
                    <a:spAutoFit/>
                  </a:bodyPr>
                  <a:lstStyle/>
                  <a:p>
                    <a:pPr>
                      <a:defRPr sz="800" b="1">
                        <a:solidFill>
                          <a:srgbClr val="000000"/>
                        </a:solidFill>
                      </a:defRPr>
                    </a:pPr>
                    <a:r>
                      <a:rPr lang="en-US"/>
                      <a:t>S15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0-01DB-4C1D-91FD-AC022CE63907}"/>
                </c:ext>
              </c:extLst>
            </c:dLbl>
            <c:dLbl>
              <c:idx val="193"/>
              <c:tx>
                <c:rich>
                  <a:bodyPr wrap="square" lIns="38100" tIns="19050" rIns="38100" bIns="19050" anchor="ctr">
                    <a:spAutoFit/>
                  </a:bodyPr>
                  <a:lstStyle/>
                  <a:p>
                    <a:pPr>
                      <a:defRPr sz="800" b="1">
                        <a:solidFill>
                          <a:srgbClr val="000000"/>
                        </a:solidFill>
                      </a:defRPr>
                    </a:pPr>
                    <a:r>
                      <a:rPr lang="en-US"/>
                      <a:t>T10</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1-01DB-4C1D-91FD-AC022CE63907}"/>
                </c:ext>
              </c:extLst>
            </c:dLbl>
            <c:dLbl>
              <c:idx val="194"/>
              <c:tx>
                <c:rich>
                  <a:bodyPr wrap="square" lIns="38100" tIns="19050" rIns="38100" bIns="19050" anchor="ctr">
                    <a:spAutoFit/>
                  </a:bodyPr>
                  <a:lstStyle/>
                  <a:p>
                    <a:pPr>
                      <a:defRPr sz="800" b="1">
                        <a:solidFill>
                          <a:srgbClr val="000000"/>
                        </a:solidFill>
                      </a:defRPr>
                    </a:pPr>
                    <a:r>
                      <a:rPr lang="en-US"/>
                      <a:t>T11</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2-01DB-4C1D-91FD-AC022CE63907}"/>
                </c:ext>
              </c:extLst>
            </c:dLbl>
            <c:dLbl>
              <c:idx val="195"/>
              <c:tx>
                <c:rich>
                  <a:bodyPr wrap="square" lIns="38100" tIns="19050" rIns="38100" bIns="19050" anchor="ctr">
                    <a:spAutoFit/>
                  </a:bodyPr>
                  <a:lstStyle/>
                  <a:p>
                    <a:pPr>
                      <a:defRPr sz="800" b="1">
                        <a:solidFill>
                          <a:srgbClr val="000000"/>
                        </a:solidFill>
                      </a:defRPr>
                    </a:pPr>
                    <a:r>
                      <a:rPr lang="en-US"/>
                      <a:t>T12</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3-01DB-4C1D-91FD-AC022CE63907}"/>
                </c:ext>
              </c:extLst>
            </c:dLbl>
            <c:dLbl>
              <c:idx val="196"/>
              <c:tx>
                <c:rich>
                  <a:bodyPr wrap="square" lIns="38100" tIns="19050" rIns="38100" bIns="19050" anchor="ctr">
                    <a:spAutoFit/>
                  </a:bodyPr>
                  <a:lstStyle/>
                  <a:p>
                    <a:pPr>
                      <a:defRPr sz="800" b="1">
                        <a:solidFill>
                          <a:srgbClr val="000000"/>
                        </a:solidFill>
                      </a:defRPr>
                    </a:pPr>
                    <a:r>
                      <a:rPr lang="en-US"/>
                      <a:t>T13</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4-01DB-4C1D-91FD-AC022CE63907}"/>
                </c:ext>
              </c:extLst>
            </c:dLbl>
            <c:dLbl>
              <c:idx val="197"/>
              <c:tx>
                <c:rich>
                  <a:bodyPr wrap="square" lIns="38100" tIns="19050" rIns="38100" bIns="19050" anchor="ctr">
                    <a:spAutoFit/>
                  </a:bodyPr>
                  <a:lstStyle/>
                  <a:p>
                    <a:pPr>
                      <a:defRPr sz="800" b="1">
                        <a:solidFill>
                          <a:srgbClr val="000000"/>
                        </a:solidFill>
                      </a:defRPr>
                    </a:pPr>
                    <a:r>
                      <a:rPr lang="en-US"/>
                      <a:t>T14</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5-01DB-4C1D-91FD-AC022CE63907}"/>
                </c:ext>
              </c:extLst>
            </c:dLbl>
            <c:dLbl>
              <c:idx val="198"/>
              <c:tx>
                <c:rich>
                  <a:bodyPr wrap="square" lIns="38100" tIns="19050" rIns="38100" bIns="19050" anchor="ctr">
                    <a:spAutoFit/>
                  </a:bodyPr>
                  <a:lstStyle/>
                  <a:p>
                    <a:pPr>
                      <a:defRPr sz="800" b="1">
                        <a:solidFill>
                          <a:srgbClr val="000000"/>
                        </a:solidFill>
                      </a:defRPr>
                    </a:pPr>
                    <a:r>
                      <a:rPr lang="en-US"/>
                      <a:t>T15</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6-01DB-4C1D-91FD-AC022CE63907}"/>
                </c:ext>
              </c:extLst>
            </c:dLbl>
            <c:dLbl>
              <c:idx val="199"/>
              <c:tx>
                <c:rich>
                  <a:bodyPr wrap="square" lIns="38100" tIns="19050" rIns="38100" bIns="19050" anchor="ctr">
                    <a:spAutoFit/>
                  </a:bodyPr>
                  <a:lstStyle/>
                  <a:p>
                    <a:pPr>
                      <a:defRPr sz="800" b="1">
                        <a:solidFill>
                          <a:srgbClr val="000000"/>
                        </a:solidFill>
                      </a:defRPr>
                    </a:pPr>
                    <a:r>
                      <a:rPr lang="en-US"/>
                      <a:t>T16</a:t>
                    </a:r>
                  </a:p>
                </c:rich>
              </c:tx>
              <c:spPr>
                <a:noFill/>
                <a:ln>
                  <a:noFill/>
                </a:ln>
                <a:effectLst/>
              </c:sp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7-01DB-4C1D-91FD-AC022CE63907}"/>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Ref>
              <c:f>'Summary 05_combined'!$D$20:$D$219</c:f>
              <c:numCache>
                <c:formatCode>General</c:formatCode>
                <c:ptCount val="200"/>
                <c:pt idx="0">
                  <c:v>460123</c:v>
                </c:pt>
                <c:pt idx="1">
                  <c:v>461361</c:v>
                </c:pt>
                <c:pt idx="2">
                  <c:v>462778</c:v>
                </c:pt>
                <c:pt idx="3">
                  <c:v>464232</c:v>
                </c:pt>
                <c:pt idx="4">
                  <c:v>467232</c:v>
                </c:pt>
                <c:pt idx="5">
                  <c:v>468749</c:v>
                </c:pt>
                <c:pt idx="6">
                  <c:v>470269</c:v>
                </c:pt>
                <c:pt idx="7">
                  <c:v>471829</c:v>
                </c:pt>
                <c:pt idx="8">
                  <c:v>473388</c:v>
                </c:pt>
                <c:pt idx="9">
                  <c:v>474937</c:v>
                </c:pt>
                <c:pt idx="10">
                  <c:v>476497</c:v>
                </c:pt>
                <c:pt idx="11">
                  <c:v>478064</c:v>
                </c:pt>
                <c:pt idx="12">
                  <c:v>479604</c:v>
                </c:pt>
                <c:pt idx="13">
                  <c:v>481173</c:v>
                </c:pt>
                <c:pt idx="14">
                  <c:v>482709</c:v>
                </c:pt>
                <c:pt idx="15">
                  <c:v>484249</c:v>
                </c:pt>
                <c:pt idx="16">
                  <c:v>484978.2</c:v>
                </c:pt>
                <c:pt idx="17">
                  <c:v>484662</c:v>
                </c:pt>
                <c:pt idx="18">
                  <c:v>483697.2</c:v>
                </c:pt>
                <c:pt idx="19">
                  <c:v>482774.7</c:v>
                </c:pt>
                <c:pt idx="20">
                  <c:v>481884</c:v>
                </c:pt>
                <c:pt idx="21">
                  <c:v>459408</c:v>
                </c:pt>
                <c:pt idx="22">
                  <c:v>461577.5</c:v>
                </c:pt>
                <c:pt idx="23">
                  <c:v>464508.1</c:v>
                </c:pt>
                <c:pt idx="24">
                  <c:v>467528.6</c:v>
                </c:pt>
                <c:pt idx="25">
                  <c:v>483031.5</c:v>
                </c:pt>
                <c:pt idx="26">
                  <c:v>483981.9</c:v>
                </c:pt>
                <c:pt idx="27">
                  <c:v>483871</c:v>
                </c:pt>
                <c:pt idx="28">
                  <c:v>483074</c:v>
                </c:pt>
                <c:pt idx="29">
                  <c:v>481864.2</c:v>
                </c:pt>
                <c:pt idx="30">
                  <c:v>480966.6</c:v>
                </c:pt>
                <c:pt idx="31">
                  <c:v>458281.5</c:v>
                </c:pt>
                <c:pt idx="32">
                  <c:v>460741</c:v>
                </c:pt>
                <c:pt idx="33">
                  <c:v>463727.4</c:v>
                </c:pt>
                <c:pt idx="34">
                  <c:v>466748.9</c:v>
                </c:pt>
                <c:pt idx="35">
                  <c:v>470584.2</c:v>
                </c:pt>
                <c:pt idx="36">
                  <c:v>473709.7</c:v>
                </c:pt>
                <c:pt idx="37">
                  <c:v>476832.1</c:v>
                </c:pt>
                <c:pt idx="38">
                  <c:v>479945.7</c:v>
                </c:pt>
                <c:pt idx="39">
                  <c:v>482214.3</c:v>
                </c:pt>
                <c:pt idx="40">
                  <c:v>483010</c:v>
                </c:pt>
                <c:pt idx="41">
                  <c:v>483080</c:v>
                </c:pt>
                <c:pt idx="42">
                  <c:v>481215.8</c:v>
                </c:pt>
                <c:pt idx="43">
                  <c:v>480956.4</c:v>
                </c:pt>
                <c:pt idx="44">
                  <c:v>480018</c:v>
                </c:pt>
                <c:pt idx="45">
                  <c:v>457556</c:v>
                </c:pt>
                <c:pt idx="46">
                  <c:v>462946.7</c:v>
                </c:pt>
                <c:pt idx="47">
                  <c:v>465969.2</c:v>
                </c:pt>
                <c:pt idx="48">
                  <c:v>469781.5</c:v>
                </c:pt>
                <c:pt idx="49">
                  <c:v>473047.2</c:v>
                </c:pt>
                <c:pt idx="50">
                  <c:v>475925.3</c:v>
                </c:pt>
                <c:pt idx="51">
                  <c:v>479093.5</c:v>
                </c:pt>
                <c:pt idx="52">
                  <c:v>481397.1</c:v>
                </c:pt>
                <c:pt idx="53">
                  <c:v>482020</c:v>
                </c:pt>
                <c:pt idx="54">
                  <c:v>482289</c:v>
                </c:pt>
                <c:pt idx="55">
                  <c:v>480311</c:v>
                </c:pt>
                <c:pt idx="56">
                  <c:v>480065.6</c:v>
                </c:pt>
                <c:pt idx="57">
                  <c:v>456830.5</c:v>
                </c:pt>
                <c:pt idx="58">
                  <c:v>459201</c:v>
                </c:pt>
                <c:pt idx="59">
                  <c:v>462166</c:v>
                </c:pt>
                <c:pt idx="60">
                  <c:v>465189.5</c:v>
                </c:pt>
                <c:pt idx="61">
                  <c:v>468965</c:v>
                </c:pt>
                <c:pt idx="62">
                  <c:v>472154.9</c:v>
                </c:pt>
                <c:pt idx="63">
                  <c:v>474974.3</c:v>
                </c:pt>
                <c:pt idx="64">
                  <c:v>478241.3</c:v>
                </c:pt>
                <c:pt idx="65">
                  <c:v>480591</c:v>
                </c:pt>
                <c:pt idx="66">
                  <c:v>481023.4</c:v>
                </c:pt>
                <c:pt idx="67">
                  <c:v>481498</c:v>
                </c:pt>
                <c:pt idx="68">
                  <c:v>479406.2</c:v>
                </c:pt>
                <c:pt idx="69">
                  <c:v>479140.8</c:v>
                </c:pt>
                <c:pt idx="70">
                  <c:v>456105</c:v>
                </c:pt>
                <c:pt idx="71">
                  <c:v>458040</c:v>
                </c:pt>
                <c:pt idx="72">
                  <c:v>461186</c:v>
                </c:pt>
                <c:pt idx="73">
                  <c:v>464409.8</c:v>
                </c:pt>
                <c:pt idx="74">
                  <c:v>468148.5</c:v>
                </c:pt>
                <c:pt idx="75">
                  <c:v>471283.7</c:v>
                </c:pt>
                <c:pt idx="76">
                  <c:v>474045.4</c:v>
                </c:pt>
                <c:pt idx="77">
                  <c:v>477385.7</c:v>
                </c:pt>
                <c:pt idx="78">
                  <c:v>479762.7</c:v>
                </c:pt>
                <c:pt idx="79">
                  <c:v>480034.7</c:v>
                </c:pt>
                <c:pt idx="80">
                  <c:v>479021</c:v>
                </c:pt>
                <c:pt idx="81">
                  <c:v>478501.4</c:v>
                </c:pt>
                <c:pt idx="82">
                  <c:v>478233</c:v>
                </c:pt>
                <c:pt idx="83">
                  <c:v>455369.7</c:v>
                </c:pt>
                <c:pt idx="84">
                  <c:v>457232.9</c:v>
                </c:pt>
                <c:pt idx="85">
                  <c:v>460452</c:v>
                </c:pt>
                <c:pt idx="86">
                  <c:v>463631.6</c:v>
                </c:pt>
                <c:pt idx="87">
                  <c:v>467332</c:v>
                </c:pt>
                <c:pt idx="88">
                  <c:v>470403.1</c:v>
                </c:pt>
                <c:pt idx="89">
                  <c:v>473116.5</c:v>
                </c:pt>
                <c:pt idx="90">
                  <c:v>476536.9</c:v>
                </c:pt>
                <c:pt idx="91">
                  <c:v>478945.5</c:v>
                </c:pt>
                <c:pt idx="92">
                  <c:v>479046</c:v>
                </c:pt>
                <c:pt idx="93">
                  <c:v>478022.8</c:v>
                </c:pt>
                <c:pt idx="94">
                  <c:v>477596.6</c:v>
                </c:pt>
                <c:pt idx="95">
                  <c:v>454650.5</c:v>
                </c:pt>
                <c:pt idx="96">
                  <c:v>456375</c:v>
                </c:pt>
                <c:pt idx="97">
                  <c:v>459722</c:v>
                </c:pt>
                <c:pt idx="98">
                  <c:v>462427.36</c:v>
                </c:pt>
                <c:pt idx="99">
                  <c:v>466515.5</c:v>
                </c:pt>
                <c:pt idx="100">
                  <c:v>469527.2</c:v>
                </c:pt>
                <c:pt idx="101">
                  <c:v>472187.6</c:v>
                </c:pt>
                <c:pt idx="102">
                  <c:v>475684.7</c:v>
                </c:pt>
                <c:pt idx="103">
                  <c:v>478130.7</c:v>
                </c:pt>
                <c:pt idx="104">
                  <c:v>476362</c:v>
                </c:pt>
                <c:pt idx="105">
                  <c:v>477024.6</c:v>
                </c:pt>
                <c:pt idx="106">
                  <c:v>476683.7</c:v>
                </c:pt>
                <c:pt idx="107">
                  <c:v>453928.5</c:v>
                </c:pt>
                <c:pt idx="108">
                  <c:v>455517.1</c:v>
                </c:pt>
                <c:pt idx="109">
                  <c:v>458990</c:v>
                </c:pt>
                <c:pt idx="110">
                  <c:v>461822.5</c:v>
                </c:pt>
                <c:pt idx="111">
                  <c:v>465692.8</c:v>
                </c:pt>
                <c:pt idx="112">
                  <c:v>468654.9</c:v>
                </c:pt>
                <c:pt idx="113">
                  <c:v>471258.7</c:v>
                </c:pt>
                <c:pt idx="114">
                  <c:v>474820.7</c:v>
                </c:pt>
                <c:pt idx="115">
                  <c:v>476744.5</c:v>
                </c:pt>
                <c:pt idx="116">
                  <c:v>475454.1</c:v>
                </c:pt>
                <c:pt idx="117">
                  <c:v>476026.4</c:v>
                </c:pt>
                <c:pt idx="118">
                  <c:v>475796</c:v>
                </c:pt>
                <c:pt idx="119">
                  <c:v>453203</c:v>
                </c:pt>
                <c:pt idx="120">
                  <c:v>454659.2</c:v>
                </c:pt>
                <c:pt idx="121">
                  <c:v>457879</c:v>
                </c:pt>
                <c:pt idx="122">
                  <c:v>461024.6</c:v>
                </c:pt>
                <c:pt idx="123">
                  <c:v>464140.2</c:v>
                </c:pt>
                <c:pt idx="124">
                  <c:v>467775.4</c:v>
                </c:pt>
                <c:pt idx="125">
                  <c:v>470333.6</c:v>
                </c:pt>
                <c:pt idx="126">
                  <c:v>474004.5</c:v>
                </c:pt>
                <c:pt idx="127">
                  <c:v>472295</c:v>
                </c:pt>
                <c:pt idx="128">
                  <c:v>474485.7</c:v>
                </c:pt>
                <c:pt idx="129">
                  <c:v>475028.2</c:v>
                </c:pt>
                <c:pt idx="130">
                  <c:v>452477.5</c:v>
                </c:pt>
                <c:pt idx="131">
                  <c:v>453759.5</c:v>
                </c:pt>
                <c:pt idx="132">
                  <c:v>456981.4</c:v>
                </c:pt>
                <c:pt idx="133">
                  <c:v>459452</c:v>
                </c:pt>
                <c:pt idx="134">
                  <c:v>463237.4</c:v>
                </c:pt>
                <c:pt idx="135">
                  <c:v>466616</c:v>
                </c:pt>
                <c:pt idx="136">
                  <c:v>469237</c:v>
                </c:pt>
                <c:pt idx="137">
                  <c:v>473128.1</c:v>
                </c:pt>
                <c:pt idx="138">
                  <c:v>471135</c:v>
                </c:pt>
                <c:pt idx="139">
                  <c:v>473540.5</c:v>
                </c:pt>
                <c:pt idx="140">
                  <c:v>474030</c:v>
                </c:pt>
                <c:pt idx="141">
                  <c:v>451758.6</c:v>
                </c:pt>
                <c:pt idx="142">
                  <c:v>452933</c:v>
                </c:pt>
                <c:pt idx="143">
                  <c:v>456083.8</c:v>
                </c:pt>
                <c:pt idx="144">
                  <c:v>458772</c:v>
                </c:pt>
                <c:pt idx="145">
                  <c:v>462334.6</c:v>
                </c:pt>
                <c:pt idx="146">
                  <c:v>465636.1</c:v>
                </c:pt>
                <c:pt idx="147">
                  <c:v>468137</c:v>
                </c:pt>
                <c:pt idx="148">
                  <c:v>470250.7</c:v>
                </c:pt>
                <c:pt idx="149">
                  <c:v>470107.9</c:v>
                </c:pt>
                <c:pt idx="150">
                  <c:v>472600</c:v>
                </c:pt>
                <c:pt idx="151">
                  <c:v>451026.5</c:v>
                </c:pt>
                <c:pt idx="152">
                  <c:v>452100.5</c:v>
                </c:pt>
                <c:pt idx="153">
                  <c:v>455186.2</c:v>
                </c:pt>
                <c:pt idx="154">
                  <c:v>457662</c:v>
                </c:pt>
                <c:pt idx="155">
                  <c:v>461431.8</c:v>
                </c:pt>
                <c:pt idx="156">
                  <c:v>464638.4</c:v>
                </c:pt>
                <c:pt idx="157">
                  <c:v>467158</c:v>
                </c:pt>
                <c:pt idx="158">
                  <c:v>469643</c:v>
                </c:pt>
                <c:pt idx="159">
                  <c:v>469472.2</c:v>
                </c:pt>
                <c:pt idx="160">
                  <c:v>471621</c:v>
                </c:pt>
                <c:pt idx="161">
                  <c:v>450301</c:v>
                </c:pt>
                <c:pt idx="162">
                  <c:v>450985.8</c:v>
                </c:pt>
                <c:pt idx="163">
                  <c:v>452333</c:v>
                </c:pt>
                <c:pt idx="164">
                  <c:v>454288.6</c:v>
                </c:pt>
                <c:pt idx="165">
                  <c:v>456701</c:v>
                </c:pt>
                <c:pt idx="166">
                  <c:v>460529</c:v>
                </c:pt>
                <c:pt idx="167">
                  <c:v>463640.7</c:v>
                </c:pt>
                <c:pt idx="168">
                  <c:v>466239</c:v>
                </c:pt>
                <c:pt idx="169">
                  <c:v>468664.1</c:v>
                </c:pt>
                <c:pt idx="170">
                  <c:v>468816.3</c:v>
                </c:pt>
                <c:pt idx="171">
                  <c:v>470347</c:v>
                </c:pt>
                <c:pt idx="172">
                  <c:v>471760</c:v>
                </c:pt>
                <c:pt idx="173">
                  <c:v>449575.5</c:v>
                </c:pt>
                <c:pt idx="174">
                  <c:v>453391</c:v>
                </c:pt>
                <c:pt idx="175">
                  <c:v>454519.4</c:v>
                </c:pt>
                <c:pt idx="176">
                  <c:v>455740</c:v>
                </c:pt>
                <c:pt idx="177">
                  <c:v>456904.3</c:v>
                </c:pt>
                <c:pt idx="178">
                  <c:v>459587</c:v>
                </c:pt>
                <c:pt idx="179">
                  <c:v>462643</c:v>
                </c:pt>
                <c:pt idx="180">
                  <c:v>465366</c:v>
                </c:pt>
                <c:pt idx="181">
                  <c:v>467767.1</c:v>
                </c:pt>
                <c:pt idx="182">
                  <c:v>467708.3</c:v>
                </c:pt>
                <c:pt idx="183">
                  <c:v>469144</c:v>
                </c:pt>
                <c:pt idx="184">
                  <c:v>448850</c:v>
                </c:pt>
                <c:pt idx="185">
                  <c:v>449855</c:v>
                </c:pt>
                <c:pt idx="186">
                  <c:v>458833</c:v>
                </c:pt>
                <c:pt idx="187">
                  <c:v>461834.6</c:v>
                </c:pt>
                <c:pt idx="188">
                  <c:v>464330.2</c:v>
                </c:pt>
                <c:pt idx="189">
                  <c:v>466870.1</c:v>
                </c:pt>
                <c:pt idx="190">
                  <c:v>461034.5</c:v>
                </c:pt>
                <c:pt idx="191">
                  <c:v>463381</c:v>
                </c:pt>
                <c:pt idx="192">
                  <c:v>465971</c:v>
                </c:pt>
                <c:pt idx="193">
                  <c:v>459183.4</c:v>
                </c:pt>
                <c:pt idx="194">
                  <c:v>460226</c:v>
                </c:pt>
                <c:pt idx="195">
                  <c:v>461327.3</c:v>
                </c:pt>
                <c:pt idx="196">
                  <c:v>462445</c:v>
                </c:pt>
                <c:pt idx="197">
                  <c:v>463471</c:v>
                </c:pt>
                <c:pt idx="198">
                  <c:v>464883</c:v>
                </c:pt>
                <c:pt idx="199">
                  <c:v>466255</c:v>
                </c:pt>
              </c:numCache>
            </c:numRef>
          </c:xVal>
          <c:yVal>
            <c:numRef>
              <c:f>'Summary 05_combined'!$E$20:$E$219</c:f>
              <c:numCache>
                <c:formatCode>General</c:formatCode>
                <c:ptCount val="200"/>
                <c:pt idx="0">
                  <c:v>5962757</c:v>
                </c:pt>
                <c:pt idx="1">
                  <c:v>5962314</c:v>
                </c:pt>
                <c:pt idx="2">
                  <c:v>5961590</c:v>
                </c:pt>
                <c:pt idx="3">
                  <c:v>5960830</c:v>
                </c:pt>
                <c:pt idx="4">
                  <c:v>5959260</c:v>
                </c:pt>
                <c:pt idx="5">
                  <c:v>5958460</c:v>
                </c:pt>
                <c:pt idx="6">
                  <c:v>5957660</c:v>
                </c:pt>
                <c:pt idx="7">
                  <c:v>5956840</c:v>
                </c:pt>
                <c:pt idx="8">
                  <c:v>5956030</c:v>
                </c:pt>
                <c:pt idx="9">
                  <c:v>5955210</c:v>
                </c:pt>
                <c:pt idx="10">
                  <c:v>5954390</c:v>
                </c:pt>
                <c:pt idx="11">
                  <c:v>5953570</c:v>
                </c:pt>
                <c:pt idx="12">
                  <c:v>5952760</c:v>
                </c:pt>
                <c:pt idx="13">
                  <c:v>5951940</c:v>
                </c:pt>
                <c:pt idx="14">
                  <c:v>5951130</c:v>
                </c:pt>
                <c:pt idx="15">
                  <c:v>5950333</c:v>
                </c:pt>
                <c:pt idx="16">
                  <c:v>5952440.2000000002</c:v>
                </c:pt>
                <c:pt idx="17">
                  <c:v>5956140</c:v>
                </c:pt>
                <c:pt idx="18">
                  <c:v>5960783.0999999996</c:v>
                </c:pt>
                <c:pt idx="19">
                  <c:v>5965224.7999999998</c:v>
                </c:pt>
                <c:pt idx="20">
                  <c:v>5969460</c:v>
                </c:pt>
                <c:pt idx="21">
                  <c:v>5963900</c:v>
                </c:pt>
                <c:pt idx="22">
                  <c:v>5963523</c:v>
                </c:pt>
                <c:pt idx="23">
                  <c:v>5962000.0999999996</c:v>
                </c:pt>
                <c:pt idx="24">
                  <c:v>5960419.7000000002</c:v>
                </c:pt>
                <c:pt idx="25">
                  <c:v>5952290.2999999998</c:v>
                </c:pt>
                <c:pt idx="26">
                  <c:v>5954052.2999999998</c:v>
                </c:pt>
                <c:pt idx="27">
                  <c:v>5957410</c:v>
                </c:pt>
                <c:pt idx="28">
                  <c:v>5961784</c:v>
                </c:pt>
                <c:pt idx="29">
                  <c:v>5966688</c:v>
                </c:pt>
                <c:pt idx="30">
                  <c:v>5970941.2999999998</c:v>
                </c:pt>
                <c:pt idx="31">
                  <c:v>5965690.2000000002</c:v>
                </c:pt>
                <c:pt idx="32">
                  <c:v>5964870</c:v>
                </c:pt>
                <c:pt idx="33">
                  <c:v>5963253.4000000004</c:v>
                </c:pt>
                <c:pt idx="34">
                  <c:v>5961671.7999999998</c:v>
                </c:pt>
                <c:pt idx="35">
                  <c:v>5958839.5999999996</c:v>
                </c:pt>
                <c:pt idx="36">
                  <c:v>5957180.4000000004</c:v>
                </c:pt>
                <c:pt idx="37">
                  <c:v>5955548.2000000002</c:v>
                </c:pt>
                <c:pt idx="38">
                  <c:v>5953911</c:v>
                </c:pt>
                <c:pt idx="39">
                  <c:v>5953603.5999999996</c:v>
                </c:pt>
                <c:pt idx="40">
                  <c:v>5955625</c:v>
                </c:pt>
                <c:pt idx="41">
                  <c:v>5958680</c:v>
                </c:pt>
                <c:pt idx="42">
                  <c:v>5964770</c:v>
                </c:pt>
                <c:pt idx="43">
                  <c:v>5968146</c:v>
                </c:pt>
                <c:pt idx="44">
                  <c:v>5972470</c:v>
                </c:pt>
                <c:pt idx="45">
                  <c:v>5966844.7999999998</c:v>
                </c:pt>
                <c:pt idx="46">
                  <c:v>5964506.7000000002</c:v>
                </c:pt>
                <c:pt idx="47">
                  <c:v>5962923.9000000004</c:v>
                </c:pt>
                <c:pt idx="48">
                  <c:v>5960130.0999999996</c:v>
                </c:pt>
                <c:pt idx="49">
                  <c:v>5958242.7000000002</c:v>
                </c:pt>
                <c:pt idx="50">
                  <c:v>5957007.4000000004</c:v>
                </c:pt>
                <c:pt idx="51">
                  <c:v>5955279.5999999996</c:v>
                </c:pt>
                <c:pt idx="52">
                  <c:v>5954916.9000000004</c:v>
                </c:pt>
                <c:pt idx="53">
                  <c:v>5957212</c:v>
                </c:pt>
                <c:pt idx="54">
                  <c:v>5959950</c:v>
                </c:pt>
                <c:pt idx="55">
                  <c:v>5966220</c:v>
                </c:pt>
                <c:pt idx="56">
                  <c:v>5969576.2999999998</c:v>
                </c:pt>
                <c:pt idx="57">
                  <c:v>5967999.4000000004</c:v>
                </c:pt>
                <c:pt idx="58">
                  <c:v>5967340</c:v>
                </c:pt>
                <c:pt idx="59">
                  <c:v>5965760</c:v>
                </c:pt>
                <c:pt idx="60">
                  <c:v>5964176</c:v>
                </c:pt>
                <c:pt idx="61">
                  <c:v>5961442.0999999996</c:v>
                </c:pt>
                <c:pt idx="62">
                  <c:v>5959675.2999999998</c:v>
                </c:pt>
                <c:pt idx="63">
                  <c:v>5958531.5999999996</c:v>
                </c:pt>
                <c:pt idx="64">
                  <c:v>5956648.2000000002</c:v>
                </c:pt>
                <c:pt idx="65">
                  <c:v>5956212.5</c:v>
                </c:pt>
                <c:pt idx="66">
                  <c:v>5958793.4000000004</c:v>
                </c:pt>
                <c:pt idx="67">
                  <c:v>5961220</c:v>
                </c:pt>
                <c:pt idx="68">
                  <c:v>5967670</c:v>
                </c:pt>
                <c:pt idx="69">
                  <c:v>5971062</c:v>
                </c:pt>
                <c:pt idx="70">
                  <c:v>5969154</c:v>
                </c:pt>
                <c:pt idx="71">
                  <c:v>5969202</c:v>
                </c:pt>
                <c:pt idx="72">
                  <c:v>5967340.0999999996</c:v>
                </c:pt>
                <c:pt idx="73">
                  <c:v>5965428.0999999996</c:v>
                </c:pt>
                <c:pt idx="74">
                  <c:v>5962754.0999999996</c:v>
                </c:pt>
                <c:pt idx="75">
                  <c:v>5961073.2999999998</c:v>
                </c:pt>
                <c:pt idx="76">
                  <c:v>5960023.2999999998</c:v>
                </c:pt>
                <c:pt idx="77">
                  <c:v>5958021.7999999998</c:v>
                </c:pt>
                <c:pt idx="78">
                  <c:v>5957543.5</c:v>
                </c:pt>
                <c:pt idx="79">
                  <c:v>5960381.7000000002</c:v>
                </c:pt>
                <c:pt idx="80">
                  <c:v>5965200</c:v>
                </c:pt>
                <c:pt idx="81">
                  <c:v>5969120</c:v>
                </c:pt>
                <c:pt idx="82">
                  <c:v>5972520</c:v>
                </c:pt>
                <c:pt idx="83">
                  <c:v>5970324.9000000004</c:v>
                </c:pt>
                <c:pt idx="84">
                  <c:v>5970498.7000000002</c:v>
                </c:pt>
                <c:pt idx="85">
                  <c:v>5968518</c:v>
                </c:pt>
                <c:pt idx="86">
                  <c:v>5966681.5999999996</c:v>
                </c:pt>
                <c:pt idx="87">
                  <c:v>5964066.0999999996</c:v>
                </c:pt>
                <c:pt idx="88">
                  <c:v>5962485.2999999998</c:v>
                </c:pt>
                <c:pt idx="89">
                  <c:v>5961515</c:v>
                </c:pt>
                <c:pt idx="90">
                  <c:v>5959385.4000000004</c:v>
                </c:pt>
                <c:pt idx="91">
                  <c:v>5958856.7999999998</c:v>
                </c:pt>
                <c:pt idx="92">
                  <c:v>5961970</c:v>
                </c:pt>
                <c:pt idx="93">
                  <c:v>5966804</c:v>
                </c:pt>
                <c:pt idx="94">
                  <c:v>5970570</c:v>
                </c:pt>
                <c:pt idx="95">
                  <c:v>5971468.7999999998</c:v>
                </c:pt>
                <c:pt idx="96">
                  <c:v>5971877.2000000002</c:v>
                </c:pt>
                <c:pt idx="97">
                  <c:v>5969686.7000000002</c:v>
                </c:pt>
                <c:pt idx="98">
                  <c:v>5968596.3700000001</c:v>
                </c:pt>
                <c:pt idx="99">
                  <c:v>5965378.0999999996</c:v>
                </c:pt>
                <c:pt idx="100">
                  <c:v>5963890.2999999998</c:v>
                </c:pt>
                <c:pt idx="101">
                  <c:v>5963006.7000000002</c:v>
                </c:pt>
                <c:pt idx="102">
                  <c:v>5960754</c:v>
                </c:pt>
                <c:pt idx="103">
                  <c:v>5960166.2999999998</c:v>
                </c:pt>
                <c:pt idx="104">
                  <c:v>5966280</c:v>
                </c:pt>
                <c:pt idx="105">
                  <c:v>5968408</c:v>
                </c:pt>
                <c:pt idx="106">
                  <c:v>5972033.2999999998</c:v>
                </c:pt>
                <c:pt idx="107">
                  <c:v>5972617.7999999998</c:v>
                </c:pt>
                <c:pt idx="108">
                  <c:v>5973255.7000000002</c:v>
                </c:pt>
                <c:pt idx="109">
                  <c:v>5970860</c:v>
                </c:pt>
                <c:pt idx="110">
                  <c:v>5969590</c:v>
                </c:pt>
                <c:pt idx="111">
                  <c:v>5966699.0999999996</c:v>
                </c:pt>
                <c:pt idx="112">
                  <c:v>5965289.4000000004</c:v>
                </c:pt>
                <c:pt idx="113">
                  <c:v>5964498.4000000004</c:v>
                </c:pt>
                <c:pt idx="114">
                  <c:v>5962144.0999999996</c:v>
                </c:pt>
                <c:pt idx="115">
                  <c:v>5962385</c:v>
                </c:pt>
                <c:pt idx="116">
                  <c:v>5967738</c:v>
                </c:pt>
                <c:pt idx="117">
                  <c:v>5970012</c:v>
                </c:pt>
                <c:pt idx="118">
                  <c:v>5973477</c:v>
                </c:pt>
                <c:pt idx="119">
                  <c:v>5973772.4000000004</c:v>
                </c:pt>
                <c:pt idx="120">
                  <c:v>5974634.2000000002</c:v>
                </c:pt>
                <c:pt idx="121">
                  <c:v>5972650</c:v>
                </c:pt>
                <c:pt idx="122">
                  <c:v>5970908</c:v>
                </c:pt>
                <c:pt idx="123">
                  <c:v>5969190</c:v>
                </c:pt>
                <c:pt idx="124">
                  <c:v>5966700.2999999998</c:v>
                </c:pt>
                <c:pt idx="125">
                  <c:v>5965984.5</c:v>
                </c:pt>
                <c:pt idx="126">
                  <c:v>5963438.7000000002</c:v>
                </c:pt>
                <c:pt idx="127">
                  <c:v>5969540</c:v>
                </c:pt>
                <c:pt idx="128">
                  <c:v>5969293.2000000002</c:v>
                </c:pt>
                <c:pt idx="129">
                  <c:v>5971616</c:v>
                </c:pt>
                <c:pt idx="130">
                  <c:v>5974927</c:v>
                </c:pt>
                <c:pt idx="131">
                  <c:v>5976097.0999999996</c:v>
                </c:pt>
                <c:pt idx="132">
                  <c:v>5974090</c:v>
                </c:pt>
                <c:pt idx="133">
                  <c:v>5973390</c:v>
                </c:pt>
                <c:pt idx="134">
                  <c:v>5970640</c:v>
                </c:pt>
                <c:pt idx="135">
                  <c:v>5968560</c:v>
                </c:pt>
                <c:pt idx="136">
                  <c:v>5967750</c:v>
                </c:pt>
                <c:pt idx="137">
                  <c:v>5964859.7999999998</c:v>
                </c:pt>
                <c:pt idx="138">
                  <c:v>5971400</c:v>
                </c:pt>
                <c:pt idx="139">
                  <c:v>5970810</c:v>
                </c:pt>
                <c:pt idx="140">
                  <c:v>5973220</c:v>
                </c:pt>
                <c:pt idx="141">
                  <c:v>5976071.2000000002</c:v>
                </c:pt>
                <c:pt idx="142">
                  <c:v>5977408</c:v>
                </c:pt>
                <c:pt idx="143">
                  <c:v>5975530</c:v>
                </c:pt>
                <c:pt idx="144">
                  <c:v>5974480</c:v>
                </c:pt>
                <c:pt idx="145">
                  <c:v>5972090</c:v>
                </c:pt>
                <c:pt idx="146">
                  <c:v>5970130</c:v>
                </c:pt>
                <c:pt idx="147">
                  <c:v>5969520</c:v>
                </c:pt>
                <c:pt idx="148">
                  <c:v>5969494.4000000004</c:v>
                </c:pt>
                <c:pt idx="149">
                  <c:v>5973050</c:v>
                </c:pt>
                <c:pt idx="150">
                  <c:v>5972320</c:v>
                </c:pt>
                <c:pt idx="151">
                  <c:v>5977236.2000000002</c:v>
                </c:pt>
                <c:pt idx="152">
                  <c:v>5978746</c:v>
                </c:pt>
                <c:pt idx="153">
                  <c:v>5976970</c:v>
                </c:pt>
                <c:pt idx="154">
                  <c:v>5976270</c:v>
                </c:pt>
                <c:pt idx="155">
                  <c:v>5973540</c:v>
                </c:pt>
                <c:pt idx="156">
                  <c:v>5971730</c:v>
                </c:pt>
                <c:pt idx="157">
                  <c:v>5971090</c:v>
                </c:pt>
                <c:pt idx="158">
                  <c:v>5970460</c:v>
                </c:pt>
                <c:pt idx="159">
                  <c:v>5974062.7000000002</c:v>
                </c:pt>
                <c:pt idx="160">
                  <c:v>5973890</c:v>
                </c:pt>
                <c:pt idx="161">
                  <c:v>5978390.7999999998</c:v>
                </c:pt>
                <c:pt idx="162">
                  <c:v>5980535.7000000002</c:v>
                </c:pt>
                <c:pt idx="163">
                  <c:v>5979940</c:v>
                </c:pt>
                <c:pt idx="164">
                  <c:v>5978410</c:v>
                </c:pt>
                <c:pt idx="165">
                  <c:v>5977810</c:v>
                </c:pt>
                <c:pt idx="166">
                  <c:v>5974990</c:v>
                </c:pt>
                <c:pt idx="167">
                  <c:v>5973330</c:v>
                </c:pt>
                <c:pt idx="168">
                  <c:v>5972619</c:v>
                </c:pt>
                <c:pt idx="169">
                  <c:v>5972040</c:v>
                </c:pt>
                <c:pt idx="170">
                  <c:v>5975125.7999999998</c:v>
                </c:pt>
                <c:pt idx="171">
                  <c:v>5975940</c:v>
                </c:pt>
                <c:pt idx="172">
                  <c:v>5975245</c:v>
                </c:pt>
                <c:pt idx="173">
                  <c:v>5979545.4000000004</c:v>
                </c:pt>
                <c:pt idx="174">
                  <c:v>5979850</c:v>
                </c:pt>
                <c:pt idx="175">
                  <c:v>5979707.2999999998</c:v>
                </c:pt>
                <c:pt idx="176">
                  <c:v>5979350</c:v>
                </c:pt>
                <c:pt idx="177">
                  <c:v>5979110.2000000002</c:v>
                </c:pt>
                <c:pt idx="178">
                  <c:v>5976500</c:v>
                </c:pt>
                <c:pt idx="179">
                  <c:v>5974930</c:v>
                </c:pt>
                <c:pt idx="180">
                  <c:v>5973962</c:v>
                </c:pt>
                <c:pt idx="181">
                  <c:v>5973480</c:v>
                </c:pt>
                <c:pt idx="182">
                  <c:v>5976896.9000000004</c:v>
                </c:pt>
                <c:pt idx="183">
                  <c:v>5976260</c:v>
                </c:pt>
                <c:pt idx="184">
                  <c:v>5980700</c:v>
                </c:pt>
                <c:pt idx="185">
                  <c:v>5980770</c:v>
                </c:pt>
                <c:pt idx="186">
                  <c:v>5977710</c:v>
                </c:pt>
                <c:pt idx="187">
                  <c:v>5976226.5999999996</c:v>
                </c:pt>
                <c:pt idx="188">
                  <c:v>5975626</c:v>
                </c:pt>
                <c:pt idx="189">
                  <c:v>5974920</c:v>
                </c:pt>
                <c:pt idx="190">
                  <c:v>5977526.5999999996</c:v>
                </c:pt>
                <c:pt idx="191">
                  <c:v>5977131</c:v>
                </c:pt>
                <c:pt idx="192">
                  <c:v>5976363.7999999998</c:v>
                </c:pt>
                <c:pt idx="193">
                  <c:v>5978868.5</c:v>
                </c:pt>
                <c:pt idx="194">
                  <c:v>5978827</c:v>
                </c:pt>
                <c:pt idx="195">
                  <c:v>5978735</c:v>
                </c:pt>
                <c:pt idx="196">
                  <c:v>5978650</c:v>
                </c:pt>
                <c:pt idx="197">
                  <c:v>5978680</c:v>
                </c:pt>
                <c:pt idx="198">
                  <c:v>5978110</c:v>
                </c:pt>
                <c:pt idx="199">
                  <c:v>5977572</c:v>
                </c:pt>
              </c:numCache>
            </c:numRef>
          </c:yVal>
          <c:smooth val="0"/>
          <c:extLst>
            <c:ext xmlns:c16="http://schemas.microsoft.com/office/drawing/2014/chart" uri="{C3380CC4-5D6E-409C-BE32-E72D297353CC}">
              <c16:uniqueId val="{000000C8-01DB-4C1D-91FD-AC022CE63907}"/>
            </c:ext>
          </c:extLst>
        </c:ser>
        <c:dLbls>
          <c:showLegendKey val="0"/>
          <c:showVal val="0"/>
          <c:showCatName val="0"/>
          <c:showSerName val="0"/>
          <c:showPercent val="0"/>
          <c:showBubbleSize val="0"/>
        </c:dLbls>
        <c:axId val="714880495"/>
        <c:axId val="1"/>
      </c:scatterChart>
      <c:valAx>
        <c:axId val="714880495"/>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General" sourceLinked="1"/>
        <c:majorTickMark val="out"/>
        <c:minorTickMark val="in"/>
        <c:tickLblPos val="nextTo"/>
        <c:spPr>
          <a:noFill/>
          <a:ln w="9525" cap="flat" cmpd="sng" algn="ctr">
            <a:solidFill>
              <a:sysClr val="windowText" lastClr="000000"/>
            </a:solidFill>
            <a:round/>
          </a:ln>
          <a:effectLst/>
        </c:spPr>
        <c:txPr>
          <a:bodyPr rot="0" vert="horz"/>
          <a:lstStyle/>
          <a:p>
            <a:pPr>
              <a:defRPr sz="900" b="0" i="0" u="none" strike="noStrike" baseline="0">
                <a:solidFill>
                  <a:srgbClr val="333333"/>
                </a:solidFill>
                <a:latin typeface="Aptos Narrow"/>
                <a:ea typeface="Aptos Narrow"/>
                <a:cs typeface="Aptos Narrow"/>
              </a:defRPr>
            </a:pPr>
            <a:endParaRPr lang="en-US"/>
          </a:p>
        </c:txPr>
        <c:crossAx val="1"/>
        <c:crosses val="autoZero"/>
        <c:crossBetween val="midCat"/>
      </c:valAx>
      <c:valAx>
        <c:axId val="1"/>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General" sourceLinked="1"/>
        <c:majorTickMark val="out"/>
        <c:minorTickMark val="in"/>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4880495"/>
        <c:crosses val="autoZero"/>
        <c:crossBetween val="midCat"/>
      </c:valAx>
      <c:spPr>
        <a:noFill/>
        <a:ln w="25400">
          <a:solidFill>
            <a:sysClr val="windowText" lastClr="000000"/>
          </a:solidFill>
        </a:ln>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plotArea>
      <cx:plotAreaRegion>
        <cx:series layoutId="boxWhisker" uniqueId="{73B249C4-139E-4E15-89AD-2991963E58A1}">
          <cx:dataId val="0"/>
          <cx:layoutPr>
            <cx:visibility nonoutliers="0"/>
            <cx:statistics quartileMethod="exclusive"/>
          </cx:layoutPr>
        </cx:series>
      </cx:plotAreaRegion>
      <cx:axis id="0">
        <cx:catScaling gapWidth="1"/>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data id="1">
      <cx:numDim type="val">
        <cx:f>_xlchart.v1.4</cx:f>
      </cx:numDim>
    </cx:data>
    <cx:data id="2">
      <cx:numDim type="val">
        <cx:f>_xlchart.v1.6</cx:f>
      </cx:numDim>
    </cx:data>
    <cx:data id="3">
      <cx:numDim type="val">
        <cx:f>_xlchart.v1.8</cx:f>
      </cx:numDim>
    </cx:data>
    <cx:data id="4">
      <cx:numDim type="val">
        <cx:f>_xlchart.v1.10</cx:f>
      </cx:numDim>
    </cx:data>
    <cx:data id="5">
      <cx:numDim type="val">
        <cx:f>_xlchart.v1.12</cx:f>
      </cx:numDim>
    </cx:data>
  </cx:chartData>
  <cx:chart>
    <cx:plotArea>
      <cx:plotAreaRegion>
        <cx:plotSurface>
          <cx:spPr>
            <a:ln>
              <a:noFill/>
            </a:ln>
          </cx:spPr>
        </cx:plotSurface>
        <cx:series layoutId="boxWhisker" uniqueId="{E4DA3576-AA2E-4C1A-8F3A-03E6F18C88EE}">
          <cx:tx>
            <cx:txData>
              <cx:f>_xlchart.v1.1</cx:f>
              <cx:v>Lmin_Hs2_5</cx:v>
            </cx:txData>
          </cx:tx>
          <cx:dataId val="0"/>
          <cx:layoutPr>
            <cx:visibility meanLine="0" meanMarker="1" nonoutliers="0" outliers="1"/>
            <cx:statistics quartileMethod="exclusive"/>
          </cx:layoutPr>
        </cx:series>
        <cx:series layoutId="boxWhisker" uniqueId="{E15F58AC-42CF-4AB5-A33E-9857B97D8D61}">
          <cx:tx>
            <cx:txData>
              <cx:f>_xlchart.v1.3</cx:f>
              <cx:v>Lmin_Hs2_5_ULS</cx:v>
            </cx:txData>
          </cx:tx>
          <cx:dataId val="1"/>
          <cx:layoutPr>
            <cx:visibility meanLine="0" meanMarker="1" nonoutliers="0" outliers="1"/>
            <cx:statistics quartileMethod="exclusive"/>
          </cx:layoutPr>
        </cx:series>
        <cx:series layoutId="boxWhisker" uniqueId="{BAE4C563-9A37-4918-A582-463828A895BC}">
          <cx:tx>
            <cx:txData>
              <cx:f>_xlchart.v1.5</cx:f>
              <cx:v>Lmin_Hs6_4</cx:v>
            </cx:txData>
          </cx:tx>
          <cx:dataId val="2"/>
          <cx:layoutPr>
            <cx:visibility meanLine="0" meanMarker="1" nonoutliers="0" outliers="1"/>
            <cx:statistics quartileMethod="exclusive"/>
          </cx:layoutPr>
        </cx:series>
        <cx:series layoutId="boxWhisker" uniqueId="{08A6D5D8-BC01-479C-B9ED-C165BBBF3120}">
          <cx:tx>
            <cx:txData>
              <cx:f>_xlchart.v1.7</cx:f>
              <cx:v>Lmin_Hs6_4_ULS</cx:v>
            </cx:txData>
          </cx:tx>
          <cx:dataId val="3"/>
          <cx:layoutPr>
            <cx:visibility meanLine="0" meanMarker="1" nonoutliers="0" outliers="1"/>
            <cx:statistics quartileMethod="exclusive"/>
          </cx:layoutPr>
        </cx:series>
        <cx:series layoutId="boxWhisker" uniqueId="{B0598732-8AF5-4658-A39E-B969FBD05399}">
          <cx:tx>
            <cx:txData>
              <cx:f>_xlchart.v1.9</cx:f>
              <cx:v>Lmin_Hs7_3</cx:v>
            </cx:txData>
          </cx:tx>
          <cx:dataId val="4"/>
          <cx:layoutPr>
            <cx:visibility meanLine="0" meanMarker="1" nonoutliers="0" outliers="1"/>
            <cx:statistics quartileMethod="exclusive"/>
          </cx:layoutPr>
        </cx:series>
        <cx:series layoutId="boxWhisker" uniqueId="{328FF097-79C3-4476-A942-E49C5D0123C9}">
          <cx:tx>
            <cx:txData>
              <cx:f>_xlchart.v1.11</cx:f>
              <cx:v>Lmin_Hs7_3_ULS</cx:v>
            </cx:txData>
          </cx:tx>
          <cx:dataId val="5"/>
          <cx:layoutPr>
            <cx:visibility meanLine="0" meanMarker="1" nonoutliers="0" outliers="1"/>
            <cx:statistics quartileMethod="exclusive"/>
          </cx:layoutPr>
        </cx:series>
      </cx:plotAreaRegion>
      <cx:axis id="0" hidden="1">
        <cx:catScaling gapWidth="1"/>
        <cx:tickLabels/>
      </cx:axis>
      <cx:axis id="1">
        <cx:valScaling max="24" min="10"/>
        <cx:title>
          <cx:tx>
            <cx:txData>
              <cx:v>Minimum pentartion length; [m]</cx:v>
            </cx:txData>
          </cx:tx>
          <cx:txPr>
            <a:bodyPr spcFirstLastPara="1" vertOverflow="ellipsis" horzOverflow="overflow" wrap="square" lIns="0" tIns="0" rIns="0" bIns="0" anchor="ctr" anchorCtr="1"/>
            <a:lstStyle/>
            <a:p>
              <a:pPr algn="ctr" rtl="0">
                <a:defRPr/>
              </a:pPr>
              <a:r>
                <a:rPr lang="en-US" sz="900" b="0" i="0" u="none" strike="noStrike" baseline="0">
                  <a:solidFill>
                    <a:srgbClr val="000000">
                      <a:lumMod val="65000"/>
                      <a:lumOff val="35000"/>
                    </a:srgbClr>
                  </a:solidFill>
                  <a:latin typeface="Calibri" panose="020F0502020204030204"/>
                </a:rPr>
                <a:t>Minimum pentartion length; [m]</a:t>
              </a:r>
            </a:p>
          </cx:txPr>
        </cx:title>
        <cx:majorGridlines>
          <cx:spPr>
            <a:ln>
              <a:solidFill>
                <a:sysClr val="windowText" lastClr="000000"/>
              </a:solidFill>
              <a:prstDash val="dash"/>
            </a:ln>
          </cx:spPr>
        </cx:majorGridlines>
        <cx:majorTickMarks type="out"/>
        <cx:minorTickMarks type="in"/>
        <cx:tickLabels/>
        <cx:spPr>
          <a:ln>
            <a:solidFill>
              <a:schemeClr val="tx1"/>
            </a:solidFill>
          </a:ln>
        </cx:spPr>
      </cx:axis>
    </cx:plotArea>
    <cx:legend pos="t" align="ctr" overlay="0">
      <cx:txPr>
        <a:bodyPr spcFirstLastPara="1" vertOverflow="ellipsis" horzOverflow="overflow" wrap="square" lIns="0" tIns="0" rIns="0" bIns="0" anchor="ctr" anchorCtr="1"/>
        <a:lstStyle/>
        <a:p>
          <a:pPr algn="ctr" rtl="0">
            <a:defRPr/>
          </a:pPr>
          <a:endParaRPr lang="en-US" sz="900" b="0" i="0" u="none" strike="noStrike" baseline="0">
            <a:solidFill>
              <a:srgbClr val="000000">
                <a:lumMod val="65000"/>
                <a:lumOff val="35000"/>
              </a:srgbClr>
            </a:solidFill>
            <a:latin typeface="Calibri" panose="020F0502020204030204"/>
          </a:endParaRPr>
        </a:p>
      </cx:txPr>
    </cx:legend>
  </cx:chart>
  <cx:spPr>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_xlchart.v1.13</cx:f>
      </cx:numDim>
    </cx:data>
    <cx:data id="1">
      <cx:numDim type="val">
        <cx:f>_xlchart.v1.14</cx:f>
      </cx:numDim>
    </cx:data>
    <cx:data id="2">
      <cx:numDim type="val">
        <cx:f>_xlchart.v1.15</cx:f>
      </cx:numDim>
    </cx:data>
  </cx:chartData>
  <cx:chart>
    <cx:title pos="t" align="ctr" overlay="0"/>
    <cx:plotArea>
      <cx:plotAreaRegion>
        <cx:plotSurface>
          <cx:spPr>
            <a:ln>
              <a:noFill/>
            </a:ln>
          </cx:spPr>
        </cx:plotSurface>
        <cx:series layoutId="boxWhisker" uniqueId="{E4DA3576-AA2E-4C1A-8F3A-03E6F18C88EE}" formatIdx="0">
          <cx:tx>
            <cx:txData>
              <cx:f/>
              <cx:v>Hs=2.5m</cx:v>
            </cx:txData>
          </cx:tx>
          <cx:dataId val="0"/>
          <cx:layoutPr>
            <cx:visibility meanLine="0" meanMarker="1" nonoutliers="0" outliers="1"/>
            <cx:statistics quartileMethod="exclusive"/>
          </cx:layoutPr>
        </cx:series>
        <cx:series layoutId="boxWhisker" uniqueId="{E15F58AC-42CF-4AB5-A33E-9857B97D8D61}" formatIdx="1">
          <cx:tx>
            <cx:txData>
              <cx:f/>
              <cx:v>Hs=6.4m</cx:v>
            </cx:txData>
          </cx:tx>
          <cx:dataId val="1"/>
          <cx:layoutPr>
            <cx:visibility meanLine="0" meanMarker="1" nonoutliers="0" outliers="1"/>
            <cx:statistics quartileMethod="exclusive"/>
          </cx:layoutPr>
        </cx:series>
        <cx:series layoutId="boxWhisker" uniqueId="{BAE4C563-9A37-4918-A582-463828A895BC}" formatIdx="2">
          <cx:tx>
            <cx:txData>
              <cx:f/>
              <cx:v>Hs=7.3m</cx:v>
            </cx:txData>
          </cx:tx>
          <cx:dataId val="2"/>
          <cx:layoutPr>
            <cx:visibility meanLine="0" meanMarker="1" nonoutliers="0" outliers="1"/>
            <cx:statistics quartileMethod="exclusive"/>
          </cx:layoutPr>
        </cx:series>
      </cx:plotAreaRegion>
      <cx:axis id="0" hidden="1">
        <cx:catScaling gapWidth="1"/>
        <cx:tickLabels/>
      </cx:axis>
      <cx:axis id="1">
        <cx:valScaling/>
        <cx:majorGridlines>
          <cx:spPr>
            <a:ln>
              <a:solidFill>
                <a:sysClr val="windowText" lastClr="000000"/>
              </a:solidFill>
              <a:prstDash val="dash"/>
            </a:ln>
          </cx:spPr>
        </cx:majorGridlines>
        <cx:majorTickMarks type="out"/>
        <cx:minorTickMarks type="in"/>
        <cx:tickLabels/>
        <cx:spPr>
          <a:ln>
            <a:solidFill>
              <a:schemeClr val="tx1"/>
            </a:solidFill>
          </a:ln>
        </cx:spPr>
      </cx:axis>
    </cx:plotArea>
    <cx:legend pos="t" align="ctr" overlay="0"/>
  </cx:chart>
  <cx:spPr>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4/relationships/chartEx" Target="../charts/chartEx1.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microsoft.com/office/2014/relationships/chartEx" Target="../charts/chartEx2.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4.xml"/><Relationship Id="rId4" Type="http://schemas.microsoft.com/office/2014/relationships/chartEx" Target="../charts/chartEx3.xml"/></Relationships>
</file>

<file path=xl/drawings/drawing1.xml><?xml version="1.0" encoding="utf-8"?>
<xdr:wsDr xmlns:xdr="http://schemas.openxmlformats.org/drawingml/2006/spreadsheetDrawing" xmlns:a="http://schemas.openxmlformats.org/drawingml/2006/main">
  <xdr:twoCellAnchor>
    <xdr:from>
      <xdr:col>2</xdr:col>
      <xdr:colOff>455786</xdr:colOff>
      <xdr:row>28</xdr:row>
      <xdr:rowOff>90038</xdr:rowOff>
    </xdr:from>
    <xdr:to>
      <xdr:col>9</xdr:col>
      <xdr:colOff>613156</xdr:colOff>
      <xdr:row>45</xdr:row>
      <xdr:rowOff>25921</xdr:rowOff>
    </xdr:to>
    <xdr:graphicFrame macro="">
      <xdr:nvGraphicFramePr>
        <xdr:cNvPr id="2" name="Chart 1">
          <a:extLst>
            <a:ext uri="{FF2B5EF4-FFF2-40B4-BE49-F238E27FC236}">
              <a16:creationId xmlns:a16="http://schemas.microsoft.com/office/drawing/2014/main" id="{A6B0B8D2-28C5-50B8-4858-35DA229463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190502</xdr:colOff>
      <xdr:row>42</xdr:row>
      <xdr:rowOff>73569</xdr:rowOff>
    </xdr:from>
    <xdr:to>
      <xdr:col>9</xdr:col>
      <xdr:colOff>176372</xdr:colOff>
      <xdr:row>62</xdr:row>
      <xdr:rowOff>70256</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F5B1532D-D595-4F79-9A46-13B64DCF07B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752602" y="5579019"/>
              <a:ext cx="3595845" cy="3235187"/>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22</xdr:col>
      <xdr:colOff>448236</xdr:colOff>
      <xdr:row>20</xdr:row>
      <xdr:rowOff>22412</xdr:rowOff>
    </xdr:from>
    <xdr:to>
      <xdr:col>29</xdr:col>
      <xdr:colOff>559238</xdr:colOff>
      <xdr:row>47</xdr:row>
      <xdr:rowOff>72447</xdr:rowOff>
    </xdr:to>
    <xdr:pic>
      <xdr:nvPicPr>
        <xdr:cNvPr id="5" name="Picture 4">
          <a:extLst>
            <a:ext uri="{FF2B5EF4-FFF2-40B4-BE49-F238E27FC236}">
              <a16:creationId xmlns:a16="http://schemas.microsoft.com/office/drawing/2014/main" id="{5183E132-7C6F-4904-9D12-93BA53E7528A}"/>
            </a:ext>
          </a:extLst>
        </xdr:cNvPr>
        <xdr:cNvPicPr>
          <a:picLocks noChangeAspect="1"/>
        </xdr:cNvPicPr>
      </xdr:nvPicPr>
      <xdr:blipFill>
        <a:blip xmlns:r="http://schemas.openxmlformats.org/officeDocument/2006/relationships" r:embed="rId3"/>
        <a:stretch>
          <a:fillRect/>
        </a:stretch>
      </xdr:blipFill>
      <xdr:spPr>
        <a:xfrm>
          <a:off x="15195177" y="1927412"/>
          <a:ext cx="4346825" cy="4285859"/>
        </a:xfrm>
        <a:prstGeom prst="rect">
          <a:avLst/>
        </a:prstGeom>
        <a:solidFill>
          <a:schemeClr val="bg1"/>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113078</xdr:colOff>
      <xdr:row>68</xdr:row>
      <xdr:rowOff>118171</xdr:rowOff>
    </xdr:from>
    <xdr:to>
      <xdr:col>53</xdr:col>
      <xdr:colOff>379777</xdr:colOff>
      <xdr:row>108</xdr:row>
      <xdr:rowOff>27964</xdr:rowOff>
    </xdr:to>
    <xdr:graphicFrame macro="">
      <xdr:nvGraphicFramePr>
        <xdr:cNvPr id="2" name="Chart 4">
          <a:extLst>
            <a:ext uri="{FF2B5EF4-FFF2-40B4-BE49-F238E27FC236}">
              <a16:creationId xmlns:a16="http://schemas.microsoft.com/office/drawing/2014/main" id="{38732E84-6E40-47FC-9E2B-6434563BD4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absoluteAnchor>
    <xdr:pos x="39228482" y="5741947"/>
    <xdr:ext cx="9282839" cy="6054025"/>
    <xdr:graphicFrame macro="">
      <xdr:nvGraphicFramePr>
        <xdr:cNvPr id="3" name="Chart 2">
          <a:extLst>
            <a:ext uri="{FF2B5EF4-FFF2-40B4-BE49-F238E27FC236}">
              <a16:creationId xmlns:a16="http://schemas.microsoft.com/office/drawing/2014/main" id="{C84B8FA5-4050-4860-B4B3-F10BC4E84C9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twoCellAnchor>
    <xdr:from>
      <xdr:col>71</xdr:col>
      <xdr:colOff>488015</xdr:colOff>
      <xdr:row>40</xdr:row>
      <xdr:rowOff>78443</xdr:rowOff>
    </xdr:from>
    <xdr:to>
      <xdr:col>79</xdr:col>
      <xdr:colOff>17318</xdr:colOff>
      <xdr:row>62</xdr:row>
      <xdr:rowOff>138546</xdr:rowOff>
    </xdr:to>
    <mc:AlternateContent xmlns:mc="http://schemas.openxmlformats.org/markup-compatibility/2006">
      <mc:Choice xmlns:cx1="http://schemas.microsoft.com/office/drawing/2015/9/8/chartex" Requires="cx1">
        <xdr:graphicFrame macro="">
          <xdr:nvGraphicFramePr>
            <xdr:cNvPr id="33" name="Chart 32">
              <a:extLst>
                <a:ext uri="{FF2B5EF4-FFF2-40B4-BE49-F238E27FC236}">
                  <a16:creationId xmlns:a16="http://schemas.microsoft.com/office/drawing/2014/main" id="{D130D202-9E78-4646-9FEB-3C89E1FD5A1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49189340" y="6555443"/>
              <a:ext cx="4406103" cy="3622453"/>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60</xdr:col>
      <xdr:colOff>493059</xdr:colOff>
      <xdr:row>0</xdr:row>
      <xdr:rowOff>100853</xdr:rowOff>
    </xdr:from>
    <xdr:to>
      <xdr:col>68</xdr:col>
      <xdr:colOff>188258</xdr:colOff>
      <xdr:row>17</xdr:row>
      <xdr:rowOff>96370</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B2A3AB03-64D2-4E09-898A-7C82B2F74BC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42488784" y="100853"/>
              <a:ext cx="4571999" cy="2748242"/>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absoluteAnchor>
    <xdr:pos x="53693786" y="5878286"/>
    <xdr:ext cx="9282839" cy="6054025"/>
    <xdr:graphicFrame macro="">
      <xdr:nvGraphicFramePr>
        <xdr:cNvPr id="765" name="Chart 764">
          <a:extLst>
            <a:ext uri="{FF2B5EF4-FFF2-40B4-BE49-F238E27FC236}">
              <a16:creationId xmlns:a16="http://schemas.microsoft.com/office/drawing/2014/main" id="{09ADFE11-9DDE-41F3-A091-192A4AC35B68}"/>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twoCellAnchor>
    <xdr:from>
      <xdr:col>68</xdr:col>
      <xdr:colOff>114793</xdr:colOff>
      <xdr:row>39</xdr:row>
      <xdr:rowOff>61872</xdr:rowOff>
    </xdr:from>
    <xdr:to>
      <xdr:col>70</xdr:col>
      <xdr:colOff>292593</xdr:colOff>
      <xdr:row>54</xdr:row>
      <xdr:rowOff>117964</xdr:rowOff>
    </xdr:to>
    <xdr:grpSp>
      <xdr:nvGrpSpPr>
        <xdr:cNvPr id="986" name="ColorLegend_Chart 2">
          <a:extLst>
            <a:ext uri="{FF2B5EF4-FFF2-40B4-BE49-F238E27FC236}">
              <a16:creationId xmlns:a16="http://schemas.microsoft.com/office/drawing/2014/main" id="{88FA699F-568B-E5A8-7154-B268F0CEEC73}"/>
            </a:ext>
          </a:extLst>
        </xdr:cNvPr>
        <xdr:cNvGrpSpPr/>
      </xdr:nvGrpSpPr>
      <xdr:grpSpPr>
        <a:xfrm>
          <a:off x="47073043" y="6430015"/>
          <a:ext cx="1402443" cy="2505378"/>
          <a:chOff x="47304818" y="6059447"/>
          <a:chExt cx="1397000" cy="2484967"/>
        </a:xfrm>
      </xdr:grpSpPr>
      <xdr:sp macro="" textlink="">
        <xdr:nvSpPr>
          <xdr:cNvPr id="961" name="ColorLegend_Chart 2_Bar_0_112334">
            <a:extLst>
              <a:ext uri="{FF2B5EF4-FFF2-40B4-BE49-F238E27FC236}">
                <a16:creationId xmlns:a16="http://schemas.microsoft.com/office/drawing/2014/main" id="{41FCEA9D-FCC3-720B-6C9E-9B2E668FEC63}"/>
              </a:ext>
            </a:extLst>
          </xdr:cNvPr>
          <xdr:cNvSpPr/>
        </xdr:nvSpPr>
        <xdr:spPr>
          <a:xfrm>
            <a:off x="47622318" y="8408947"/>
            <a:ext cx="190500" cy="135467"/>
          </a:xfrm>
          <a:prstGeom prst="rect">
            <a:avLst/>
          </a:prstGeom>
          <a:solidFill>
            <a:srgbClr val="0000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62" name="ColorLegend_Chart 2_Bar_1_112334">
            <a:extLst>
              <a:ext uri="{FF2B5EF4-FFF2-40B4-BE49-F238E27FC236}">
                <a16:creationId xmlns:a16="http://schemas.microsoft.com/office/drawing/2014/main" id="{7C83B0F0-BC9A-AA53-D187-6FADB06883DF}"/>
              </a:ext>
            </a:extLst>
          </xdr:cNvPr>
          <xdr:cNvSpPr/>
        </xdr:nvSpPr>
        <xdr:spPr>
          <a:xfrm>
            <a:off x="47622318" y="8263804"/>
            <a:ext cx="190500" cy="135467"/>
          </a:xfrm>
          <a:prstGeom prst="rect">
            <a:avLst/>
          </a:prstGeom>
          <a:solidFill>
            <a:srgbClr val="0024D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63" name="ColorLegend_Chart 2_Bar_2_112334">
            <a:extLst>
              <a:ext uri="{FF2B5EF4-FFF2-40B4-BE49-F238E27FC236}">
                <a16:creationId xmlns:a16="http://schemas.microsoft.com/office/drawing/2014/main" id="{325400D5-86DD-FC39-A755-D4FA58F03D00}"/>
              </a:ext>
            </a:extLst>
          </xdr:cNvPr>
          <xdr:cNvSpPr/>
        </xdr:nvSpPr>
        <xdr:spPr>
          <a:xfrm>
            <a:off x="47622318" y="8118662"/>
            <a:ext cx="190500" cy="135467"/>
          </a:xfrm>
          <a:prstGeom prst="rect">
            <a:avLst/>
          </a:prstGeom>
          <a:solidFill>
            <a:srgbClr val="0048B6"/>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64" name="ColorLegend_Chart 2_Bar_3_112334">
            <a:extLst>
              <a:ext uri="{FF2B5EF4-FFF2-40B4-BE49-F238E27FC236}">
                <a16:creationId xmlns:a16="http://schemas.microsoft.com/office/drawing/2014/main" id="{C66C6DB1-FBDC-31D3-6B54-AC3621383CA4}"/>
              </a:ext>
            </a:extLst>
          </xdr:cNvPr>
          <xdr:cNvSpPr/>
        </xdr:nvSpPr>
        <xdr:spPr>
          <a:xfrm>
            <a:off x="47622318" y="7973519"/>
            <a:ext cx="190500" cy="135467"/>
          </a:xfrm>
          <a:prstGeom prst="rect">
            <a:avLst/>
          </a:prstGeom>
          <a:solidFill>
            <a:srgbClr val="006D9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65" name="ColorLegend_Chart 2_Bar_4_112334">
            <a:extLst>
              <a:ext uri="{FF2B5EF4-FFF2-40B4-BE49-F238E27FC236}">
                <a16:creationId xmlns:a16="http://schemas.microsoft.com/office/drawing/2014/main" id="{A1875C1E-7422-9A48-928A-DDF926787E02}"/>
              </a:ext>
            </a:extLst>
          </xdr:cNvPr>
          <xdr:cNvSpPr/>
        </xdr:nvSpPr>
        <xdr:spPr>
          <a:xfrm>
            <a:off x="47622318" y="7828376"/>
            <a:ext cx="190500" cy="135467"/>
          </a:xfrm>
          <a:prstGeom prst="rect">
            <a:avLst/>
          </a:prstGeom>
          <a:solidFill>
            <a:srgbClr val="00916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66" name="ColorLegend_Chart 2_Bar_5_112334">
            <a:extLst>
              <a:ext uri="{FF2B5EF4-FFF2-40B4-BE49-F238E27FC236}">
                <a16:creationId xmlns:a16="http://schemas.microsoft.com/office/drawing/2014/main" id="{F1E91C91-0E12-6C5C-2C0A-44BE834391B2}"/>
              </a:ext>
            </a:extLst>
          </xdr:cNvPr>
          <xdr:cNvSpPr/>
        </xdr:nvSpPr>
        <xdr:spPr>
          <a:xfrm>
            <a:off x="47622318" y="7683233"/>
            <a:ext cx="190500" cy="135466"/>
          </a:xfrm>
          <a:prstGeom prst="rect">
            <a:avLst/>
          </a:prstGeom>
          <a:solidFill>
            <a:srgbClr val="00B64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67" name="ColorLegend_Chart 2_Bar_6_112334">
            <a:extLst>
              <a:ext uri="{FF2B5EF4-FFF2-40B4-BE49-F238E27FC236}">
                <a16:creationId xmlns:a16="http://schemas.microsoft.com/office/drawing/2014/main" id="{1445D987-892A-174A-1C11-4A5038751D0C}"/>
              </a:ext>
            </a:extLst>
          </xdr:cNvPr>
          <xdr:cNvSpPr/>
        </xdr:nvSpPr>
        <xdr:spPr>
          <a:xfrm>
            <a:off x="47622318" y="7538090"/>
            <a:ext cx="190500" cy="135467"/>
          </a:xfrm>
          <a:prstGeom prst="rect">
            <a:avLst/>
          </a:prstGeom>
          <a:solidFill>
            <a:srgbClr val="00DA2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68" name="ColorLegend_Chart 2_Bar_7_112334">
            <a:extLst>
              <a:ext uri="{FF2B5EF4-FFF2-40B4-BE49-F238E27FC236}">
                <a16:creationId xmlns:a16="http://schemas.microsoft.com/office/drawing/2014/main" id="{3E09A95D-011E-D77E-4103-72BCCE73B9A8}"/>
              </a:ext>
            </a:extLst>
          </xdr:cNvPr>
          <xdr:cNvSpPr/>
        </xdr:nvSpPr>
        <xdr:spPr>
          <a:xfrm>
            <a:off x="47622318" y="7392947"/>
            <a:ext cx="190500" cy="135467"/>
          </a:xfrm>
          <a:prstGeom prst="rect">
            <a:avLst/>
          </a:prstGeom>
          <a:solidFill>
            <a:srgbClr val="00FF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69" name="ColorLegend_Chart 2_Bar_8_112334">
            <a:extLst>
              <a:ext uri="{FF2B5EF4-FFF2-40B4-BE49-F238E27FC236}">
                <a16:creationId xmlns:a16="http://schemas.microsoft.com/office/drawing/2014/main" id="{04BF08DD-27B7-1732-61C6-12D8075182B9}"/>
              </a:ext>
            </a:extLst>
          </xdr:cNvPr>
          <xdr:cNvSpPr/>
        </xdr:nvSpPr>
        <xdr:spPr>
          <a:xfrm>
            <a:off x="47622318" y="7247804"/>
            <a:ext cx="190500" cy="135467"/>
          </a:xfrm>
          <a:prstGeom prst="rect">
            <a:avLst/>
          </a:prstGeom>
          <a:solidFill>
            <a:srgbClr val="24DA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70" name="ColorLegend_Chart 2_Bar_9_112334">
            <a:extLst>
              <a:ext uri="{FF2B5EF4-FFF2-40B4-BE49-F238E27FC236}">
                <a16:creationId xmlns:a16="http://schemas.microsoft.com/office/drawing/2014/main" id="{A3107197-661C-A0C7-3520-B70278A0D4C2}"/>
              </a:ext>
            </a:extLst>
          </xdr:cNvPr>
          <xdr:cNvSpPr/>
        </xdr:nvSpPr>
        <xdr:spPr>
          <a:xfrm>
            <a:off x="47622318" y="7102662"/>
            <a:ext cx="190500" cy="135467"/>
          </a:xfrm>
          <a:prstGeom prst="rect">
            <a:avLst/>
          </a:prstGeom>
          <a:solidFill>
            <a:srgbClr val="48B6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71" name="ColorLegend_Chart 2_Bar_10_112334">
            <a:extLst>
              <a:ext uri="{FF2B5EF4-FFF2-40B4-BE49-F238E27FC236}">
                <a16:creationId xmlns:a16="http://schemas.microsoft.com/office/drawing/2014/main" id="{05CE29F2-FCD8-3E70-96A7-254285B7609B}"/>
              </a:ext>
            </a:extLst>
          </xdr:cNvPr>
          <xdr:cNvSpPr/>
        </xdr:nvSpPr>
        <xdr:spPr>
          <a:xfrm>
            <a:off x="47622318" y="6957519"/>
            <a:ext cx="190500" cy="135467"/>
          </a:xfrm>
          <a:prstGeom prst="rect">
            <a:avLst/>
          </a:prstGeom>
          <a:solidFill>
            <a:srgbClr val="6D91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72" name="ColorLegend_Chart 2_Bar_11_112334">
            <a:extLst>
              <a:ext uri="{FF2B5EF4-FFF2-40B4-BE49-F238E27FC236}">
                <a16:creationId xmlns:a16="http://schemas.microsoft.com/office/drawing/2014/main" id="{6360F05E-924F-24D3-0FC4-7EE6AEB98184}"/>
              </a:ext>
            </a:extLst>
          </xdr:cNvPr>
          <xdr:cNvSpPr/>
        </xdr:nvSpPr>
        <xdr:spPr>
          <a:xfrm>
            <a:off x="47622318" y="6812376"/>
            <a:ext cx="190500" cy="135467"/>
          </a:xfrm>
          <a:prstGeom prst="rect">
            <a:avLst/>
          </a:prstGeom>
          <a:solidFill>
            <a:srgbClr val="916D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73" name="ColorLegend_Chart 2_Bar_12_112334">
            <a:extLst>
              <a:ext uri="{FF2B5EF4-FFF2-40B4-BE49-F238E27FC236}">
                <a16:creationId xmlns:a16="http://schemas.microsoft.com/office/drawing/2014/main" id="{45D0C4B9-E6A8-ED7D-5836-8DA2749B50C0}"/>
              </a:ext>
            </a:extLst>
          </xdr:cNvPr>
          <xdr:cNvSpPr/>
        </xdr:nvSpPr>
        <xdr:spPr>
          <a:xfrm>
            <a:off x="47622318" y="6667233"/>
            <a:ext cx="190500" cy="135466"/>
          </a:xfrm>
          <a:prstGeom prst="rect">
            <a:avLst/>
          </a:prstGeom>
          <a:solidFill>
            <a:srgbClr val="B648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74" name="ColorLegend_Chart 2_Bar_13_112334">
            <a:extLst>
              <a:ext uri="{FF2B5EF4-FFF2-40B4-BE49-F238E27FC236}">
                <a16:creationId xmlns:a16="http://schemas.microsoft.com/office/drawing/2014/main" id="{84748EB9-DDF0-5F39-62D7-235D1D9B9DBD}"/>
              </a:ext>
            </a:extLst>
          </xdr:cNvPr>
          <xdr:cNvSpPr/>
        </xdr:nvSpPr>
        <xdr:spPr>
          <a:xfrm>
            <a:off x="47622318" y="6522090"/>
            <a:ext cx="190500" cy="135467"/>
          </a:xfrm>
          <a:prstGeom prst="rect">
            <a:avLst/>
          </a:prstGeom>
          <a:solidFill>
            <a:srgbClr val="DA24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75" name="ColorLegend_Chart 2_Bar_14_112334">
            <a:extLst>
              <a:ext uri="{FF2B5EF4-FFF2-40B4-BE49-F238E27FC236}">
                <a16:creationId xmlns:a16="http://schemas.microsoft.com/office/drawing/2014/main" id="{BB7AAA2D-11E2-0F88-A985-A960208D6CB6}"/>
              </a:ext>
            </a:extLst>
          </xdr:cNvPr>
          <xdr:cNvSpPr/>
        </xdr:nvSpPr>
        <xdr:spPr>
          <a:xfrm>
            <a:off x="47622318" y="6376947"/>
            <a:ext cx="190500" cy="135467"/>
          </a:xfrm>
          <a:prstGeom prst="rect">
            <a:avLst/>
          </a:prstGeom>
          <a:solidFill>
            <a:srgbClr val="FF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76" name="ColorLegend_Chart 2_Title_112334">
            <a:extLst>
              <a:ext uri="{FF2B5EF4-FFF2-40B4-BE49-F238E27FC236}">
                <a16:creationId xmlns:a16="http://schemas.microsoft.com/office/drawing/2014/main" id="{19FB451A-6448-6908-CB81-349899D6715E}"/>
              </a:ext>
            </a:extLst>
          </xdr:cNvPr>
          <xdr:cNvSpPr txBox="1"/>
        </xdr:nvSpPr>
        <xdr:spPr>
          <a:xfrm>
            <a:off x="47304818" y="6059447"/>
            <a:ext cx="1397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GB" sz="900" b="1"/>
              <a:t>Penetration (m)</a:t>
            </a:r>
          </a:p>
        </xdr:txBody>
      </xdr:sp>
      <xdr:sp macro="" textlink="">
        <xdr:nvSpPr>
          <xdr:cNvPr id="977" name="ColorLegend_Chart 2_Tick_0_112334">
            <a:extLst>
              <a:ext uri="{FF2B5EF4-FFF2-40B4-BE49-F238E27FC236}">
                <a16:creationId xmlns:a16="http://schemas.microsoft.com/office/drawing/2014/main" id="{FE45784C-B678-B78A-374A-AA48ED4AF12C}"/>
              </a:ext>
            </a:extLst>
          </xdr:cNvPr>
          <xdr:cNvSpPr txBox="1"/>
        </xdr:nvSpPr>
        <xdr:spPr>
          <a:xfrm>
            <a:off x="47876318" y="8332747"/>
            <a:ext cx="635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GB" sz="800"/>
              <a:t>10.0</a:t>
            </a:r>
          </a:p>
        </xdr:txBody>
      </xdr:sp>
      <xdr:sp macro="" textlink="">
        <xdr:nvSpPr>
          <xdr:cNvPr id="978" name="ColorLegend_Chart 2_Tick_1_112334">
            <a:extLst>
              <a:ext uri="{FF2B5EF4-FFF2-40B4-BE49-F238E27FC236}">
                <a16:creationId xmlns:a16="http://schemas.microsoft.com/office/drawing/2014/main" id="{79B94033-2706-AAB7-5CCB-B955FC4695A5}"/>
              </a:ext>
            </a:extLst>
          </xdr:cNvPr>
          <xdr:cNvSpPr txBox="1"/>
        </xdr:nvSpPr>
        <xdr:spPr>
          <a:xfrm>
            <a:off x="47876318" y="8078747"/>
            <a:ext cx="635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GB" sz="800"/>
              <a:t>11.0</a:t>
            </a:r>
          </a:p>
        </xdr:txBody>
      </xdr:sp>
      <xdr:sp macro="" textlink="">
        <xdr:nvSpPr>
          <xdr:cNvPr id="979" name="ColorLegend_Chart 2_Tick_2_112334">
            <a:extLst>
              <a:ext uri="{FF2B5EF4-FFF2-40B4-BE49-F238E27FC236}">
                <a16:creationId xmlns:a16="http://schemas.microsoft.com/office/drawing/2014/main" id="{DD5AE84B-0365-AFA2-2D98-286FB1D68800}"/>
              </a:ext>
            </a:extLst>
          </xdr:cNvPr>
          <xdr:cNvSpPr txBox="1"/>
        </xdr:nvSpPr>
        <xdr:spPr>
          <a:xfrm>
            <a:off x="47876318" y="7824747"/>
            <a:ext cx="635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GB" sz="800"/>
              <a:t>12.0</a:t>
            </a:r>
          </a:p>
        </xdr:txBody>
      </xdr:sp>
      <xdr:sp macro="" textlink="">
        <xdr:nvSpPr>
          <xdr:cNvPr id="980" name="ColorLegend_Chart 2_Tick_3_112334">
            <a:extLst>
              <a:ext uri="{FF2B5EF4-FFF2-40B4-BE49-F238E27FC236}">
                <a16:creationId xmlns:a16="http://schemas.microsoft.com/office/drawing/2014/main" id="{6123FA41-79CF-AC9E-DBAA-8D2E3326016C}"/>
              </a:ext>
            </a:extLst>
          </xdr:cNvPr>
          <xdr:cNvSpPr txBox="1"/>
        </xdr:nvSpPr>
        <xdr:spPr>
          <a:xfrm>
            <a:off x="47876318" y="7570747"/>
            <a:ext cx="635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GB" sz="800"/>
              <a:t>13.0</a:t>
            </a:r>
          </a:p>
        </xdr:txBody>
      </xdr:sp>
      <xdr:sp macro="" textlink="">
        <xdr:nvSpPr>
          <xdr:cNvPr id="981" name="ColorLegend_Chart 2_Tick_4_112334">
            <a:extLst>
              <a:ext uri="{FF2B5EF4-FFF2-40B4-BE49-F238E27FC236}">
                <a16:creationId xmlns:a16="http://schemas.microsoft.com/office/drawing/2014/main" id="{17EAF1A4-6DD0-3EAB-E28C-DF96F1487636}"/>
              </a:ext>
            </a:extLst>
          </xdr:cNvPr>
          <xdr:cNvSpPr txBox="1"/>
        </xdr:nvSpPr>
        <xdr:spPr>
          <a:xfrm>
            <a:off x="47876318" y="7316747"/>
            <a:ext cx="635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GB" sz="800"/>
              <a:t>14.0</a:t>
            </a:r>
          </a:p>
        </xdr:txBody>
      </xdr:sp>
      <xdr:sp macro="" textlink="">
        <xdr:nvSpPr>
          <xdr:cNvPr id="982" name="ColorLegend_Chart 2_Tick_5_112334">
            <a:extLst>
              <a:ext uri="{FF2B5EF4-FFF2-40B4-BE49-F238E27FC236}">
                <a16:creationId xmlns:a16="http://schemas.microsoft.com/office/drawing/2014/main" id="{0A341886-58E3-E572-53C9-E9A8ED72FB51}"/>
              </a:ext>
            </a:extLst>
          </xdr:cNvPr>
          <xdr:cNvSpPr txBox="1"/>
        </xdr:nvSpPr>
        <xdr:spPr>
          <a:xfrm>
            <a:off x="47876318" y="7062747"/>
            <a:ext cx="635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GB" sz="800"/>
              <a:t>15.0</a:t>
            </a:r>
          </a:p>
        </xdr:txBody>
      </xdr:sp>
      <xdr:sp macro="" textlink="">
        <xdr:nvSpPr>
          <xdr:cNvPr id="983" name="ColorLegend_Chart 2_Tick_6_112334">
            <a:extLst>
              <a:ext uri="{FF2B5EF4-FFF2-40B4-BE49-F238E27FC236}">
                <a16:creationId xmlns:a16="http://schemas.microsoft.com/office/drawing/2014/main" id="{150832E1-9D8B-9408-7C2F-642C3253CBFE}"/>
              </a:ext>
            </a:extLst>
          </xdr:cNvPr>
          <xdr:cNvSpPr txBox="1"/>
        </xdr:nvSpPr>
        <xdr:spPr>
          <a:xfrm>
            <a:off x="47876318" y="6808747"/>
            <a:ext cx="635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GB" sz="800"/>
              <a:t>16.0</a:t>
            </a:r>
          </a:p>
        </xdr:txBody>
      </xdr:sp>
      <xdr:sp macro="" textlink="">
        <xdr:nvSpPr>
          <xdr:cNvPr id="984" name="ColorLegend_Chart 2_Tick_7_112334">
            <a:extLst>
              <a:ext uri="{FF2B5EF4-FFF2-40B4-BE49-F238E27FC236}">
                <a16:creationId xmlns:a16="http://schemas.microsoft.com/office/drawing/2014/main" id="{278E05EE-9388-FB1E-7BEA-3BEFBD9A33AA}"/>
              </a:ext>
            </a:extLst>
          </xdr:cNvPr>
          <xdr:cNvSpPr txBox="1"/>
        </xdr:nvSpPr>
        <xdr:spPr>
          <a:xfrm>
            <a:off x="47876318" y="6554747"/>
            <a:ext cx="635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GB" sz="800"/>
              <a:t>17.0</a:t>
            </a:r>
          </a:p>
        </xdr:txBody>
      </xdr:sp>
      <xdr:sp macro="" textlink="">
        <xdr:nvSpPr>
          <xdr:cNvPr id="985" name="ColorLegend_Chart 2_Tick_8_112334">
            <a:extLst>
              <a:ext uri="{FF2B5EF4-FFF2-40B4-BE49-F238E27FC236}">
                <a16:creationId xmlns:a16="http://schemas.microsoft.com/office/drawing/2014/main" id="{810F3023-3BFE-B418-11C2-B1F43A24FCD2}"/>
              </a:ext>
            </a:extLst>
          </xdr:cNvPr>
          <xdr:cNvSpPr txBox="1"/>
        </xdr:nvSpPr>
        <xdr:spPr>
          <a:xfrm>
            <a:off x="47876318" y="6300747"/>
            <a:ext cx="635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GB" sz="800"/>
              <a:t>18.0</a:t>
            </a:r>
          </a:p>
        </xdr:txBody>
      </xdr:sp>
    </xdr:grpSp>
    <xdr:clientData/>
  </xdr:twoCellAnchor>
  <xdr:twoCellAnchor>
    <xdr:from>
      <xdr:col>91</xdr:col>
      <xdr:colOff>559296</xdr:colOff>
      <xdr:row>40</xdr:row>
      <xdr:rowOff>36286</xdr:rowOff>
    </xdr:from>
    <xdr:to>
      <xdr:col>94</xdr:col>
      <xdr:colOff>127496</xdr:colOff>
      <xdr:row>55</xdr:row>
      <xdr:rowOff>92378</xdr:rowOff>
    </xdr:to>
    <xdr:grpSp>
      <xdr:nvGrpSpPr>
        <xdr:cNvPr id="1012" name="ColorLegend_Chart 764">
          <a:extLst>
            <a:ext uri="{FF2B5EF4-FFF2-40B4-BE49-F238E27FC236}">
              <a16:creationId xmlns:a16="http://schemas.microsoft.com/office/drawing/2014/main" id="{7C22FD42-1003-A973-B680-FA12AEA4D61C}"/>
            </a:ext>
          </a:extLst>
        </xdr:cNvPr>
        <xdr:cNvGrpSpPr/>
      </xdr:nvGrpSpPr>
      <xdr:grpSpPr>
        <a:xfrm>
          <a:off x="61600939" y="6567715"/>
          <a:ext cx="1405164" cy="2505377"/>
          <a:chOff x="61770121" y="6195786"/>
          <a:chExt cx="1397000" cy="2484967"/>
        </a:xfrm>
      </xdr:grpSpPr>
      <xdr:sp macro="" textlink="">
        <xdr:nvSpPr>
          <xdr:cNvPr id="987" name="ColorLegend_Chart 764_Bar_0_112358">
            <a:extLst>
              <a:ext uri="{FF2B5EF4-FFF2-40B4-BE49-F238E27FC236}">
                <a16:creationId xmlns:a16="http://schemas.microsoft.com/office/drawing/2014/main" id="{7719014D-EBD2-35E7-3AD1-59FB0BCB2F8A}"/>
              </a:ext>
            </a:extLst>
          </xdr:cNvPr>
          <xdr:cNvSpPr/>
        </xdr:nvSpPr>
        <xdr:spPr>
          <a:xfrm>
            <a:off x="62087621" y="8545286"/>
            <a:ext cx="190500" cy="135467"/>
          </a:xfrm>
          <a:prstGeom prst="rect">
            <a:avLst/>
          </a:prstGeom>
          <a:solidFill>
            <a:srgbClr val="0000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88" name="ColorLegend_Chart 764_Bar_1_112358">
            <a:extLst>
              <a:ext uri="{FF2B5EF4-FFF2-40B4-BE49-F238E27FC236}">
                <a16:creationId xmlns:a16="http://schemas.microsoft.com/office/drawing/2014/main" id="{A20C1403-6CC6-6108-5F82-5B336C5557BC}"/>
              </a:ext>
            </a:extLst>
          </xdr:cNvPr>
          <xdr:cNvSpPr/>
        </xdr:nvSpPr>
        <xdr:spPr>
          <a:xfrm>
            <a:off x="62087621" y="8400143"/>
            <a:ext cx="190500" cy="135467"/>
          </a:xfrm>
          <a:prstGeom prst="rect">
            <a:avLst/>
          </a:prstGeom>
          <a:solidFill>
            <a:srgbClr val="0024D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89" name="ColorLegend_Chart 764_Bar_2_112358">
            <a:extLst>
              <a:ext uri="{FF2B5EF4-FFF2-40B4-BE49-F238E27FC236}">
                <a16:creationId xmlns:a16="http://schemas.microsoft.com/office/drawing/2014/main" id="{5D9DDE94-5323-997E-EFFD-5E02121D1551}"/>
              </a:ext>
            </a:extLst>
          </xdr:cNvPr>
          <xdr:cNvSpPr/>
        </xdr:nvSpPr>
        <xdr:spPr>
          <a:xfrm>
            <a:off x="62087621" y="8255001"/>
            <a:ext cx="190500" cy="135467"/>
          </a:xfrm>
          <a:prstGeom prst="rect">
            <a:avLst/>
          </a:prstGeom>
          <a:solidFill>
            <a:srgbClr val="0048B6"/>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90" name="ColorLegend_Chart 764_Bar_3_112358">
            <a:extLst>
              <a:ext uri="{FF2B5EF4-FFF2-40B4-BE49-F238E27FC236}">
                <a16:creationId xmlns:a16="http://schemas.microsoft.com/office/drawing/2014/main" id="{D80EBA8C-9A63-3ECE-C80F-B37705B6171F}"/>
              </a:ext>
            </a:extLst>
          </xdr:cNvPr>
          <xdr:cNvSpPr/>
        </xdr:nvSpPr>
        <xdr:spPr>
          <a:xfrm>
            <a:off x="62087621" y="8109858"/>
            <a:ext cx="190500" cy="135467"/>
          </a:xfrm>
          <a:prstGeom prst="rect">
            <a:avLst/>
          </a:prstGeom>
          <a:solidFill>
            <a:srgbClr val="006D9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91" name="ColorLegend_Chart 764_Bar_4_112358">
            <a:extLst>
              <a:ext uri="{FF2B5EF4-FFF2-40B4-BE49-F238E27FC236}">
                <a16:creationId xmlns:a16="http://schemas.microsoft.com/office/drawing/2014/main" id="{DEAE29B3-3439-5D92-0A2D-BF62B9B00147}"/>
              </a:ext>
            </a:extLst>
          </xdr:cNvPr>
          <xdr:cNvSpPr/>
        </xdr:nvSpPr>
        <xdr:spPr>
          <a:xfrm>
            <a:off x="62087621" y="7964715"/>
            <a:ext cx="190500" cy="135467"/>
          </a:xfrm>
          <a:prstGeom prst="rect">
            <a:avLst/>
          </a:prstGeom>
          <a:solidFill>
            <a:srgbClr val="00916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92" name="ColorLegend_Chart 764_Bar_5_112358">
            <a:extLst>
              <a:ext uri="{FF2B5EF4-FFF2-40B4-BE49-F238E27FC236}">
                <a16:creationId xmlns:a16="http://schemas.microsoft.com/office/drawing/2014/main" id="{9C2045A5-BF09-3642-5BD2-2B00EE103D1F}"/>
              </a:ext>
            </a:extLst>
          </xdr:cNvPr>
          <xdr:cNvSpPr/>
        </xdr:nvSpPr>
        <xdr:spPr>
          <a:xfrm>
            <a:off x="62087621" y="7819572"/>
            <a:ext cx="190500" cy="135466"/>
          </a:xfrm>
          <a:prstGeom prst="rect">
            <a:avLst/>
          </a:prstGeom>
          <a:solidFill>
            <a:srgbClr val="00B64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93" name="ColorLegend_Chart 764_Bar_6_112358">
            <a:extLst>
              <a:ext uri="{FF2B5EF4-FFF2-40B4-BE49-F238E27FC236}">
                <a16:creationId xmlns:a16="http://schemas.microsoft.com/office/drawing/2014/main" id="{80764D98-F4C8-38C4-A206-A26F1E1830FD}"/>
              </a:ext>
            </a:extLst>
          </xdr:cNvPr>
          <xdr:cNvSpPr/>
        </xdr:nvSpPr>
        <xdr:spPr>
          <a:xfrm>
            <a:off x="62087621" y="7674429"/>
            <a:ext cx="190500" cy="135467"/>
          </a:xfrm>
          <a:prstGeom prst="rect">
            <a:avLst/>
          </a:prstGeom>
          <a:solidFill>
            <a:srgbClr val="00DA2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94" name="ColorLegend_Chart 764_Bar_7_112358">
            <a:extLst>
              <a:ext uri="{FF2B5EF4-FFF2-40B4-BE49-F238E27FC236}">
                <a16:creationId xmlns:a16="http://schemas.microsoft.com/office/drawing/2014/main" id="{F5142382-3B4C-DC34-10A1-B8BC908628CC}"/>
              </a:ext>
            </a:extLst>
          </xdr:cNvPr>
          <xdr:cNvSpPr/>
        </xdr:nvSpPr>
        <xdr:spPr>
          <a:xfrm>
            <a:off x="62087621" y="7529286"/>
            <a:ext cx="190500" cy="135467"/>
          </a:xfrm>
          <a:prstGeom prst="rect">
            <a:avLst/>
          </a:prstGeom>
          <a:solidFill>
            <a:srgbClr val="00FF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95" name="ColorLegend_Chart 764_Bar_8_112358">
            <a:extLst>
              <a:ext uri="{FF2B5EF4-FFF2-40B4-BE49-F238E27FC236}">
                <a16:creationId xmlns:a16="http://schemas.microsoft.com/office/drawing/2014/main" id="{493238A0-92E0-8E61-E40A-60D0846A31DD}"/>
              </a:ext>
            </a:extLst>
          </xdr:cNvPr>
          <xdr:cNvSpPr/>
        </xdr:nvSpPr>
        <xdr:spPr>
          <a:xfrm>
            <a:off x="62087621" y="7384143"/>
            <a:ext cx="190500" cy="135467"/>
          </a:xfrm>
          <a:prstGeom prst="rect">
            <a:avLst/>
          </a:prstGeom>
          <a:solidFill>
            <a:srgbClr val="24DA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96" name="ColorLegend_Chart 764_Bar_9_112358">
            <a:extLst>
              <a:ext uri="{FF2B5EF4-FFF2-40B4-BE49-F238E27FC236}">
                <a16:creationId xmlns:a16="http://schemas.microsoft.com/office/drawing/2014/main" id="{6E56241E-0D61-616B-26D3-2572CAB72389}"/>
              </a:ext>
            </a:extLst>
          </xdr:cNvPr>
          <xdr:cNvSpPr/>
        </xdr:nvSpPr>
        <xdr:spPr>
          <a:xfrm>
            <a:off x="62087621" y="7239001"/>
            <a:ext cx="190500" cy="135467"/>
          </a:xfrm>
          <a:prstGeom prst="rect">
            <a:avLst/>
          </a:prstGeom>
          <a:solidFill>
            <a:srgbClr val="48B6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97" name="ColorLegend_Chart 764_Bar_10_112358">
            <a:extLst>
              <a:ext uri="{FF2B5EF4-FFF2-40B4-BE49-F238E27FC236}">
                <a16:creationId xmlns:a16="http://schemas.microsoft.com/office/drawing/2014/main" id="{BA048522-4785-04B6-3756-CBD259886B5B}"/>
              </a:ext>
            </a:extLst>
          </xdr:cNvPr>
          <xdr:cNvSpPr/>
        </xdr:nvSpPr>
        <xdr:spPr>
          <a:xfrm>
            <a:off x="62087621" y="7093858"/>
            <a:ext cx="190500" cy="135467"/>
          </a:xfrm>
          <a:prstGeom prst="rect">
            <a:avLst/>
          </a:prstGeom>
          <a:solidFill>
            <a:srgbClr val="6D91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98" name="ColorLegend_Chart 764_Bar_11_112358">
            <a:extLst>
              <a:ext uri="{FF2B5EF4-FFF2-40B4-BE49-F238E27FC236}">
                <a16:creationId xmlns:a16="http://schemas.microsoft.com/office/drawing/2014/main" id="{759167B1-387F-C857-1BAF-BDA0415D2904}"/>
              </a:ext>
            </a:extLst>
          </xdr:cNvPr>
          <xdr:cNvSpPr/>
        </xdr:nvSpPr>
        <xdr:spPr>
          <a:xfrm>
            <a:off x="62087621" y="6948715"/>
            <a:ext cx="190500" cy="135467"/>
          </a:xfrm>
          <a:prstGeom prst="rect">
            <a:avLst/>
          </a:prstGeom>
          <a:solidFill>
            <a:srgbClr val="916D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99" name="ColorLegend_Chart 764_Bar_12_112358">
            <a:extLst>
              <a:ext uri="{FF2B5EF4-FFF2-40B4-BE49-F238E27FC236}">
                <a16:creationId xmlns:a16="http://schemas.microsoft.com/office/drawing/2014/main" id="{71CC649A-51AC-DB7D-9733-7B7979FE7703}"/>
              </a:ext>
            </a:extLst>
          </xdr:cNvPr>
          <xdr:cNvSpPr/>
        </xdr:nvSpPr>
        <xdr:spPr>
          <a:xfrm>
            <a:off x="62087621" y="6803572"/>
            <a:ext cx="190500" cy="135466"/>
          </a:xfrm>
          <a:prstGeom prst="rect">
            <a:avLst/>
          </a:prstGeom>
          <a:solidFill>
            <a:srgbClr val="B648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00" name="ColorLegend_Chart 764_Bar_13_112358">
            <a:extLst>
              <a:ext uri="{FF2B5EF4-FFF2-40B4-BE49-F238E27FC236}">
                <a16:creationId xmlns:a16="http://schemas.microsoft.com/office/drawing/2014/main" id="{6F356D8F-2B05-67CD-CA49-406B05A6A3EE}"/>
              </a:ext>
            </a:extLst>
          </xdr:cNvPr>
          <xdr:cNvSpPr/>
        </xdr:nvSpPr>
        <xdr:spPr>
          <a:xfrm>
            <a:off x="62087621" y="6658429"/>
            <a:ext cx="190500" cy="135467"/>
          </a:xfrm>
          <a:prstGeom prst="rect">
            <a:avLst/>
          </a:prstGeom>
          <a:solidFill>
            <a:srgbClr val="DA24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01" name="ColorLegend_Chart 764_Bar_14_112358">
            <a:extLst>
              <a:ext uri="{FF2B5EF4-FFF2-40B4-BE49-F238E27FC236}">
                <a16:creationId xmlns:a16="http://schemas.microsoft.com/office/drawing/2014/main" id="{0AF0813F-3083-57C6-9837-BB63492A3B52}"/>
              </a:ext>
            </a:extLst>
          </xdr:cNvPr>
          <xdr:cNvSpPr/>
        </xdr:nvSpPr>
        <xdr:spPr>
          <a:xfrm>
            <a:off x="62087621" y="6513286"/>
            <a:ext cx="190500" cy="135467"/>
          </a:xfrm>
          <a:prstGeom prst="rect">
            <a:avLst/>
          </a:prstGeom>
          <a:solidFill>
            <a:srgbClr val="FF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02" name="ColorLegend_Chart 764_Title_112358">
            <a:extLst>
              <a:ext uri="{FF2B5EF4-FFF2-40B4-BE49-F238E27FC236}">
                <a16:creationId xmlns:a16="http://schemas.microsoft.com/office/drawing/2014/main" id="{02EDEC74-AF14-5048-164A-AD4B139742A9}"/>
              </a:ext>
            </a:extLst>
          </xdr:cNvPr>
          <xdr:cNvSpPr txBox="1"/>
        </xdr:nvSpPr>
        <xdr:spPr>
          <a:xfrm>
            <a:off x="61770121" y="6195786"/>
            <a:ext cx="1397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GB" sz="900" b="1"/>
              <a:t>Penetration (m)</a:t>
            </a:r>
          </a:p>
        </xdr:txBody>
      </xdr:sp>
      <xdr:sp macro="" textlink="">
        <xdr:nvSpPr>
          <xdr:cNvPr id="1003" name="ColorLegend_Chart 764_Tick_0_112358">
            <a:extLst>
              <a:ext uri="{FF2B5EF4-FFF2-40B4-BE49-F238E27FC236}">
                <a16:creationId xmlns:a16="http://schemas.microsoft.com/office/drawing/2014/main" id="{FAFB04EA-9EC0-6B2C-4675-F7AF4DBB5F9F}"/>
              </a:ext>
            </a:extLst>
          </xdr:cNvPr>
          <xdr:cNvSpPr txBox="1"/>
        </xdr:nvSpPr>
        <xdr:spPr>
          <a:xfrm>
            <a:off x="62341621" y="8469086"/>
            <a:ext cx="635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GB" sz="800"/>
              <a:t>10.0</a:t>
            </a:r>
          </a:p>
        </xdr:txBody>
      </xdr:sp>
      <xdr:sp macro="" textlink="">
        <xdr:nvSpPr>
          <xdr:cNvPr id="1004" name="ColorLegend_Chart 764_Tick_1_112358">
            <a:extLst>
              <a:ext uri="{FF2B5EF4-FFF2-40B4-BE49-F238E27FC236}">
                <a16:creationId xmlns:a16="http://schemas.microsoft.com/office/drawing/2014/main" id="{0868E1A9-C480-FE4B-C7CA-7ACF89DD0C95}"/>
              </a:ext>
            </a:extLst>
          </xdr:cNvPr>
          <xdr:cNvSpPr txBox="1"/>
        </xdr:nvSpPr>
        <xdr:spPr>
          <a:xfrm>
            <a:off x="62341621" y="8215086"/>
            <a:ext cx="635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GB" sz="800"/>
              <a:t>11.0</a:t>
            </a:r>
          </a:p>
        </xdr:txBody>
      </xdr:sp>
      <xdr:sp macro="" textlink="">
        <xdr:nvSpPr>
          <xdr:cNvPr id="1005" name="ColorLegend_Chart 764_Tick_2_112358">
            <a:extLst>
              <a:ext uri="{FF2B5EF4-FFF2-40B4-BE49-F238E27FC236}">
                <a16:creationId xmlns:a16="http://schemas.microsoft.com/office/drawing/2014/main" id="{ED11A856-BE40-7335-B6BC-249E4E72CC5B}"/>
              </a:ext>
            </a:extLst>
          </xdr:cNvPr>
          <xdr:cNvSpPr txBox="1"/>
        </xdr:nvSpPr>
        <xdr:spPr>
          <a:xfrm>
            <a:off x="62341621" y="7961086"/>
            <a:ext cx="635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GB" sz="800"/>
              <a:t>12.0</a:t>
            </a:r>
          </a:p>
        </xdr:txBody>
      </xdr:sp>
      <xdr:sp macro="" textlink="">
        <xdr:nvSpPr>
          <xdr:cNvPr id="1006" name="ColorLegend_Chart 764_Tick_3_112358">
            <a:extLst>
              <a:ext uri="{FF2B5EF4-FFF2-40B4-BE49-F238E27FC236}">
                <a16:creationId xmlns:a16="http://schemas.microsoft.com/office/drawing/2014/main" id="{43E0C82D-5FDE-172A-9924-40B5A87A3524}"/>
              </a:ext>
            </a:extLst>
          </xdr:cNvPr>
          <xdr:cNvSpPr txBox="1"/>
        </xdr:nvSpPr>
        <xdr:spPr>
          <a:xfrm>
            <a:off x="62341621" y="7707086"/>
            <a:ext cx="635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GB" sz="800"/>
              <a:t>13.0</a:t>
            </a:r>
          </a:p>
        </xdr:txBody>
      </xdr:sp>
      <xdr:sp macro="" textlink="">
        <xdr:nvSpPr>
          <xdr:cNvPr id="1007" name="ColorLegend_Chart 764_Tick_4_112358">
            <a:extLst>
              <a:ext uri="{FF2B5EF4-FFF2-40B4-BE49-F238E27FC236}">
                <a16:creationId xmlns:a16="http://schemas.microsoft.com/office/drawing/2014/main" id="{72EDBF69-C59B-3E6B-B2C7-7EF10154FC57}"/>
              </a:ext>
            </a:extLst>
          </xdr:cNvPr>
          <xdr:cNvSpPr txBox="1"/>
        </xdr:nvSpPr>
        <xdr:spPr>
          <a:xfrm>
            <a:off x="62341621" y="7453086"/>
            <a:ext cx="635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GB" sz="800"/>
              <a:t>14.0</a:t>
            </a:r>
          </a:p>
        </xdr:txBody>
      </xdr:sp>
      <xdr:sp macro="" textlink="">
        <xdr:nvSpPr>
          <xdr:cNvPr id="1008" name="ColorLegend_Chart 764_Tick_5_112358">
            <a:extLst>
              <a:ext uri="{FF2B5EF4-FFF2-40B4-BE49-F238E27FC236}">
                <a16:creationId xmlns:a16="http://schemas.microsoft.com/office/drawing/2014/main" id="{076A340A-0267-63B3-51B4-D86138B05398}"/>
              </a:ext>
            </a:extLst>
          </xdr:cNvPr>
          <xdr:cNvSpPr txBox="1"/>
        </xdr:nvSpPr>
        <xdr:spPr>
          <a:xfrm>
            <a:off x="62341621" y="7199086"/>
            <a:ext cx="635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GB" sz="800"/>
              <a:t>15.0</a:t>
            </a:r>
          </a:p>
        </xdr:txBody>
      </xdr:sp>
      <xdr:sp macro="" textlink="">
        <xdr:nvSpPr>
          <xdr:cNvPr id="1009" name="ColorLegend_Chart 764_Tick_6_112358">
            <a:extLst>
              <a:ext uri="{FF2B5EF4-FFF2-40B4-BE49-F238E27FC236}">
                <a16:creationId xmlns:a16="http://schemas.microsoft.com/office/drawing/2014/main" id="{4E0761DC-645C-EDF2-4465-104239EB5B55}"/>
              </a:ext>
            </a:extLst>
          </xdr:cNvPr>
          <xdr:cNvSpPr txBox="1"/>
        </xdr:nvSpPr>
        <xdr:spPr>
          <a:xfrm>
            <a:off x="62341621" y="6945086"/>
            <a:ext cx="635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GB" sz="800"/>
              <a:t>16.0</a:t>
            </a:r>
          </a:p>
        </xdr:txBody>
      </xdr:sp>
      <xdr:sp macro="" textlink="">
        <xdr:nvSpPr>
          <xdr:cNvPr id="1010" name="ColorLegend_Chart 764_Tick_7_112358">
            <a:extLst>
              <a:ext uri="{FF2B5EF4-FFF2-40B4-BE49-F238E27FC236}">
                <a16:creationId xmlns:a16="http://schemas.microsoft.com/office/drawing/2014/main" id="{89F9A617-25FB-03F5-1AFF-4672DB64E283}"/>
              </a:ext>
            </a:extLst>
          </xdr:cNvPr>
          <xdr:cNvSpPr txBox="1"/>
        </xdr:nvSpPr>
        <xdr:spPr>
          <a:xfrm>
            <a:off x="62341621" y="6691086"/>
            <a:ext cx="635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GB" sz="800"/>
              <a:t>17.0</a:t>
            </a:r>
          </a:p>
        </xdr:txBody>
      </xdr:sp>
      <xdr:sp macro="" textlink="">
        <xdr:nvSpPr>
          <xdr:cNvPr id="1011" name="ColorLegend_Chart 764_Tick_8_112358">
            <a:extLst>
              <a:ext uri="{FF2B5EF4-FFF2-40B4-BE49-F238E27FC236}">
                <a16:creationId xmlns:a16="http://schemas.microsoft.com/office/drawing/2014/main" id="{35D714A1-CF16-27A2-4724-3ABFE13E43CA}"/>
              </a:ext>
            </a:extLst>
          </xdr:cNvPr>
          <xdr:cNvSpPr txBox="1"/>
        </xdr:nvSpPr>
        <xdr:spPr>
          <a:xfrm>
            <a:off x="62341621" y="6437086"/>
            <a:ext cx="635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GB" sz="800"/>
              <a:t>18.0</a:t>
            </a:r>
          </a:p>
        </xdr:txBody>
      </xdr:sp>
    </xdr:grpSp>
    <xdr:clientData/>
  </xdr:twoCellAnchor>
</xdr:wsDr>
</file>

<file path=xl/persons/person.xml><?xml version="1.0" encoding="utf-8"?>
<personList xmlns="http://schemas.microsoft.com/office/spreadsheetml/2018/threadedcomments" xmlns:x="http://schemas.openxmlformats.org/spreadsheetml/2006/main">
  <person displayName="Per Axel Wallin" id="{4A939403-AFDF-44D0-87ED-96BAA1362569}" userId="S::PERWA@orsted.com::a6eb27f1-9e40-4858-8392-25de6f6b1a24" providerId="AD"/>
</personList>
</file>

<file path=xl/theme/theme1.xml><?xml version="1.0" encoding="utf-8"?>
<a:theme xmlns:a="http://schemas.openxmlformats.org/drawingml/2006/main" name="Office 2013 - 2022 Theme">
  <a:themeElements>
    <a:clrScheme name="Custom 1">
      <a:dk1>
        <a:srgbClr val="000000"/>
      </a:dk1>
      <a:lt1>
        <a:srgbClr val="FFFFFF"/>
      </a:lt1>
      <a:dk2>
        <a:srgbClr val="3B4956"/>
      </a:dk2>
      <a:lt2>
        <a:srgbClr val="F5F6F7"/>
      </a:lt2>
      <a:accent1>
        <a:srgbClr val="4099DA"/>
      </a:accent1>
      <a:accent2>
        <a:srgbClr val="B2D6F0"/>
      </a:accent2>
      <a:accent3>
        <a:srgbClr val="644C76"/>
      </a:accent3>
      <a:accent4>
        <a:srgbClr val="C1B2CD"/>
      </a:accent4>
      <a:accent5>
        <a:srgbClr val="B7ADA5"/>
      </a:accent5>
      <a:accent6>
        <a:srgbClr val="E2DEDB"/>
      </a:accent6>
      <a:hlink>
        <a:srgbClr val="8ECDC8"/>
      </a:hlink>
      <a:folHlink>
        <a:srgbClr val="D1EAE8"/>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custClrLst>
    <a:custClr name="Clear blue">
      <a:srgbClr val="007ACC"/>
    </a:custClr>
    <a:custClr name="Light blue">
      <a:srgbClr val="D6F1FF"/>
    </a:custClr>
    <a:custClr name="Dark blue">
      <a:srgbClr val="001142"/>
    </a:custClr>
    <a:custClr name=" ">
      <a:srgbClr val="FFFFFF"/>
    </a:custClr>
    <a:custClr name=" ">
      <a:srgbClr val="FFFFFF"/>
    </a:custClr>
    <a:custClr name=" ">
      <a:srgbClr val="FFFFFF"/>
    </a:custClr>
    <a:custClr name=" ">
      <a:srgbClr val="FFFFFF"/>
    </a:custClr>
    <a:custClr name=" ">
      <a:srgbClr val="FFFFFF"/>
    </a:custClr>
    <a:custClr name=" ">
      <a:srgbClr val="FFFFFF"/>
    </a:custClr>
    <a:custClr name=" ">
      <a:srgbClr val="FFFFFF"/>
    </a:custClr>
    <a:custClr name="Clear green">
      <a:srgbClr val="00948A"/>
    </a:custClr>
    <a:custClr name="Light green">
      <a:srgbClr val="DAF5F4"/>
    </a:custClr>
    <a:custClr name="Dark green">
      <a:srgbClr val="003336"/>
    </a:custClr>
    <a:custClr name=" ">
      <a:srgbClr val="FFFFFF"/>
    </a:custClr>
    <a:custClr name=" ">
      <a:srgbClr val="FFFFFF"/>
    </a:custClr>
    <a:custClr name=" ">
      <a:srgbClr val="FFFFFF"/>
    </a:custClr>
    <a:custClr name=" ">
      <a:srgbClr val="FFFFFF"/>
    </a:custClr>
    <a:custClr name=" ">
      <a:srgbClr val="FFFFFF"/>
    </a:custClr>
    <a:custClr name=" ">
      <a:srgbClr val="FFFFFF"/>
    </a:custClr>
    <a:custClr name=" ">
      <a:srgbClr val="FFFFFF"/>
    </a:custClr>
    <a:custClr name="Clear purple">
      <a:srgbClr val="7E59BD"/>
    </a:custClr>
    <a:custClr name="Light purple">
      <a:srgbClr val="F0E8FF"/>
    </a:custClr>
    <a:custClr name="Dark purple">
      <a:srgbClr val="290031"/>
    </a:custClr>
    <a:custClr name=" ">
      <a:srgbClr val="FFFFFF"/>
    </a:custClr>
    <a:custClr name=" ">
      <a:srgbClr val="FFFFFF"/>
    </a:custClr>
    <a:custClr name=" ">
      <a:srgbClr val="FFFFFF"/>
    </a:custClr>
    <a:custClr name=" ">
      <a:srgbClr val="FFFFFF"/>
    </a:custClr>
    <a:custClr name=" ">
      <a:srgbClr val="FFFFFF"/>
    </a:custClr>
    <a:custClr name=" ">
      <a:srgbClr val="FFFFFF"/>
    </a:custClr>
    <a:custClr name=" ">
      <a:srgbClr val="FFFFFF"/>
    </a:custClr>
    <a:custClr name="Clear yellow">
      <a:srgbClr val="FFA20C"/>
    </a:custClr>
    <a:custClr name="Light yellow">
      <a:srgbClr val="FFF8EA"/>
    </a:custClr>
    <a:custClr name="Dark yellow">
      <a:srgbClr val="371F00"/>
    </a:custClr>
    <a:custClr name=" ">
      <a:srgbClr val="FFFFFF"/>
    </a:custClr>
    <a:custClr name=" ">
      <a:srgbClr val="FFFFFF"/>
    </a:custClr>
    <a:custClr name=" ">
      <a:srgbClr val="FFFFFF"/>
    </a:custClr>
    <a:custClr name=" ">
      <a:srgbClr val="FFFFFF"/>
    </a:custClr>
    <a:custClr name=" ">
      <a:srgbClr val="FFFFFF"/>
    </a:custClr>
    <a:custClr name=" ">
      <a:srgbClr val="FFFFFF"/>
    </a:custClr>
    <a:custClr name=" ">
      <a:srgbClr val="FFFFFF"/>
    </a:custClr>
    <a:custClr name="Clear red">
      <a:srgbClr val="DA4341"/>
    </a:custClr>
    <a:custClr name="Light red">
      <a:srgbClr val="FFF1EA"/>
    </a:custClr>
    <a:custClr name="Dark red">
      <a:srgbClr val="3A0C13"/>
    </a:custClr>
    <a:custClr name=" ">
      <a:srgbClr val="FFFFFF"/>
    </a:custClr>
    <a:custClr name=" ">
      <a:srgbClr val="FFFFFF"/>
    </a:custClr>
    <a:custClr name=" ">
      <a:srgbClr val="FFFFFF"/>
    </a:custClr>
    <a:custClr name=" ">
      <a:srgbClr val="FFFFFF"/>
    </a:custClr>
    <a:custClr name=" ">
      <a:srgbClr val="FFFFFF"/>
    </a:custClr>
    <a:custClr name=" ">
      <a:srgbClr val="FFFFFF"/>
    </a:custClr>
    <a:custClr name=" ">
      <a:srgbClr val="FFFFFF"/>
    </a:custClr>
  </a:custClr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11" dT="2024-04-26T10:24:47.41" personId="{4A939403-AFDF-44D0-87ED-96BAA1362569}" id="{05E16165-52DD-4A06-8B46-17DDA6230A3A}">
    <text>5 degree cone angle. OK</text>
  </threadedComment>
  <threadedComment ref="E15" dT="2024-04-26T10:24:47.41" personId="{4A939403-AFDF-44D0-87ED-96BAA1362569}" id="{309373E4-44CD-4DB3-AF7B-1A75149AC408}">
    <text>5 degree cone angle. OK</text>
  </threadedComment>
  <threadedComment ref="E16" dT="2024-04-26T10:24:47.41" personId="{4A939403-AFDF-44D0-87ED-96BAA1362569}" id="{FC810D36-480F-4BD8-9BF0-56E7CBB5C86B}">
    <text>5 degree cone angle. OK</text>
  </threadedComment>
  <threadedComment ref="E17" dT="2024-04-26T10:24:47.41" personId="{4A939403-AFDF-44D0-87ED-96BAA1362569}" id="{F922F78C-CF13-42EF-9424-CB63CCB6A1A7}">
    <text>5 degree cone angle. OK</text>
  </threadedComment>
</ThreadedComment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09527-036A-41EC-8974-9338A54B72A0}">
  <dimension ref="A2:AR247"/>
  <sheetViews>
    <sheetView workbookViewId="0">
      <selection activeCell="L18" sqref="L18"/>
    </sheetView>
  </sheetViews>
  <sheetFormatPr defaultRowHeight="12.75" x14ac:dyDescent="0.2"/>
  <cols>
    <col min="1" max="16384" width="9.140625" style="1"/>
  </cols>
  <sheetData>
    <row r="2" spans="1:43" x14ac:dyDescent="0.2">
      <c r="A2" s="1" t="s">
        <v>212</v>
      </c>
      <c r="B2" s="1" t="s">
        <v>451</v>
      </c>
    </row>
    <row r="3" spans="1:43" x14ac:dyDescent="0.2">
      <c r="A3" s="1" t="s">
        <v>213</v>
      </c>
      <c r="B3" s="1" t="s">
        <v>452</v>
      </c>
    </row>
    <row r="16" spans="1:43" x14ac:dyDescent="0.2">
      <c r="A16" s="1">
        <v>1</v>
      </c>
      <c r="B16" s="1">
        <v>2</v>
      </c>
      <c r="C16" s="1">
        <v>3</v>
      </c>
      <c r="D16" s="1">
        <v>4</v>
      </c>
      <c r="E16" s="1">
        <v>5</v>
      </c>
      <c r="F16" s="1">
        <v>6</v>
      </c>
      <c r="G16" s="1">
        <v>7</v>
      </c>
      <c r="H16" s="1">
        <v>8</v>
      </c>
      <c r="I16" s="1">
        <v>9</v>
      </c>
      <c r="J16" s="1">
        <v>10</v>
      </c>
      <c r="K16" s="1">
        <v>11</v>
      </c>
      <c r="L16" s="1">
        <v>12</v>
      </c>
      <c r="M16" s="1">
        <v>13</v>
      </c>
      <c r="N16" s="1">
        <v>14</v>
      </c>
      <c r="O16" s="1">
        <v>15</v>
      </c>
      <c r="P16" s="1">
        <v>16</v>
      </c>
      <c r="Q16" s="1">
        <v>17</v>
      </c>
      <c r="R16" s="1">
        <v>18</v>
      </c>
      <c r="S16" s="1">
        <v>19</v>
      </c>
      <c r="T16" s="1">
        <v>20</v>
      </c>
      <c r="U16" s="1">
        <v>21</v>
      </c>
      <c r="V16" s="1">
        <v>22</v>
      </c>
      <c r="W16" s="1">
        <v>23</v>
      </c>
      <c r="X16" s="1">
        <v>24</v>
      </c>
      <c r="Y16" s="1">
        <v>25</v>
      </c>
      <c r="Z16" s="1">
        <v>26</v>
      </c>
      <c r="AA16" s="1">
        <v>27</v>
      </c>
      <c r="AB16" s="1">
        <v>28</v>
      </c>
      <c r="AC16" s="1">
        <v>29</v>
      </c>
      <c r="AD16" s="1">
        <v>30</v>
      </c>
      <c r="AE16" s="1">
        <v>31</v>
      </c>
      <c r="AF16" s="1">
        <v>32</v>
      </c>
      <c r="AG16" s="1">
        <v>33</v>
      </c>
      <c r="AH16" s="1">
        <v>34</v>
      </c>
      <c r="AI16" s="1">
        <v>35</v>
      </c>
      <c r="AJ16" s="1">
        <v>36</v>
      </c>
      <c r="AK16" s="1">
        <v>37</v>
      </c>
      <c r="AL16" s="1">
        <v>38</v>
      </c>
      <c r="AM16" s="1">
        <v>39</v>
      </c>
      <c r="AN16" s="1">
        <v>40</v>
      </c>
      <c r="AO16" s="1">
        <v>41</v>
      </c>
      <c r="AP16" s="1">
        <v>42</v>
      </c>
      <c r="AQ16" s="1">
        <v>43</v>
      </c>
    </row>
    <row r="17" spans="1:44" x14ac:dyDescent="0.2">
      <c r="B17" s="1" t="s">
        <v>214</v>
      </c>
      <c r="C17" s="1" t="s">
        <v>214</v>
      </c>
      <c r="D17" s="1" t="s">
        <v>214</v>
      </c>
      <c r="E17" s="1" t="s">
        <v>214</v>
      </c>
      <c r="F17" s="1" t="s">
        <v>214</v>
      </c>
      <c r="G17" s="1" t="s">
        <v>214</v>
      </c>
      <c r="H17" s="1" t="s">
        <v>214</v>
      </c>
      <c r="I17" s="1" t="s">
        <v>214</v>
      </c>
      <c r="J17" s="1" t="s">
        <v>215</v>
      </c>
      <c r="K17" s="1" t="s">
        <v>216</v>
      </c>
      <c r="L17" s="1" t="s">
        <v>216</v>
      </c>
      <c r="M17" s="1" t="s">
        <v>216</v>
      </c>
      <c r="N17" s="1" t="s">
        <v>216</v>
      </c>
      <c r="O17" s="1" t="s">
        <v>216</v>
      </c>
      <c r="P17" s="1" t="s">
        <v>216</v>
      </c>
      <c r="Q17" s="1" t="s">
        <v>216</v>
      </c>
      <c r="R17" s="1" t="s">
        <v>216</v>
      </c>
      <c r="S17" s="1" t="s">
        <v>216</v>
      </c>
      <c r="T17" s="1" t="s">
        <v>216</v>
      </c>
      <c r="U17" s="1" t="s">
        <v>216</v>
      </c>
      <c r="V17" s="1" t="s">
        <v>216</v>
      </c>
      <c r="W17" s="1" t="s">
        <v>217</v>
      </c>
      <c r="X17" s="1" t="s">
        <v>217</v>
      </c>
      <c r="Y17" s="1" t="s">
        <v>217</v>
      </c>
      <c r="Z17" s="1" t="s">
        <v>217</v>
      </c>
      <c r="AA17" s="1" t="s">
        <v>217</v>
      </c>
      <c r="AB17" s="1" t="s">
        <v>217</v>
      </c>
      <c r="AC17" s="1" t="s">
        <v>218</v>
      </c>
      <c r="AD17" s="1" t="s">
        <v>218</v>
      </c>
      <c r="AE17" s="1" t="s">
        <v>218</v>
      </c>
      <c r="AH17" s="1" t="s">
        <v>216</v>
      </c>
      <c r="AI17" s="1" t="s">
        <v>216</v>
      </c>
      <c r="AJ17" s="1" t="s">
        <v>216</v>
      </c>
      <c r="AK17" s="1" t="s">
        <v>216</v>
      </c>
      <c r="AL17" s="1" t="s">
        <v>217</v>
      </c>
      <c r="AM17" s="1" t="s">
        <v>219</v>
      </c>
      <c r="AN17" s="1" t="s">
        <v>219</v>
      </c>
      <c r="AO17" s="1" t="s">
        <v>219</v>
      </c>
      <c r="AP17" s="1" t="s">
        <v>220</v>
      </c>
      <c r="AQ17" s="1" t="s">
        <v>221</v>
      </c>
    </row>
    <row r="18" spans="1:44" x14ac:dyDescent="0.2">
      <c r="A18" s="1" t="s">
        <v>222</v>
      </c>
      <c r="B18" s="1" t="s">
        <v>223</v>
      </c>
      <c r="C18" s="1" t="s">
        <v>224</v>
      </c>
      <c r="D18" s="1" t="s">
        <v>225</v>
      </c>
      <c r="E18" s="1" t="s">
        <v>226</v>
      </c>
      <c r="F18" s="1" t="s">
        <v>227</v>
      </c>
      <c r="G18" s="1" t="s">
        <v>228</v>
      </c>
      <c r="H18" s="1" t="s">
        <v>229</v>
      </c>
      <c r="I18" s="1" t="s">
        <v>230</v>
      </c>
      <c r="J18" s="1" t="s">
        <v>231</v>
      </c>
      <c r="K18" s="1" t="s">
        <v>232</v>
      </c>
      <c r="L18" s="1" t="s">
        <v>233</v>
      </c>
      <c r="M18" s="1" t="s">
        <v>234</v>
      </c>
      <c r="N18" s="1" t="s">
        <v>235</v>
      </c>
      <c r="O18" s="1" t="s">
        <v>236</v>
      </c>
      <c r="P18" s="1" t="s">
        <v>237</v>
      </c>
      <c r="Q18" s="1" t="s">
        <v>238</v>
      </c>
      <c r="R18" s="1" t="s">
        <v>239</v>
      </c>
      <c r="S18" s="1" t="s">
        <v>240</v>
      </c>
      <c r="T18" s="1" t="s">
        <v>241</v>
      </c>
      <c r="U18" s="1" t="s">
        <v>242</v>
      </c>
      <c r="V18" s="1" t="s">
        <v>243</v>
      </c>
      <c r="W18" s="1" t="s">
        <v>234</v>
      </c>
      <c r="X18" s="1" t="s">
        <v>244</v>
      </c>
      <c r="Y18" s="1" t="s">
        <v>236</v>
      </c>
      <c r="Z18" s="1" t="s">
        <v>237</v>
      </c>
      <c r="AA18" s="1" t="s">
        <v>239</v>
      </c>
      <c r="AB18" s="1" t="s">
        <v>240</v>
      </c>
      <c r="AC18" s="1" t="s">
        <v>245</v>
      </c>
      <c r="AD18" s="1" t="s">
        <v>246</v>
      </c>
      <c r="AE18" s="1" t="s">
        <v>247</v>
      </c>
      <c r="AF18" s="1" t="s">
        <v>378</v>
      </c>
      <c r="AG18" s="1" t="s">
        <v>398</v>
      </c>
      <c r="AH18" s="1" t="s">
        <v>248</v>
      </c>
      <c r="AI18" s="1" t="s">
        <v>249</v>
      </c>
      <c r="AJ18" s="1" t="s">
        <v>250</v>
      </c>
      <c r="AK18" s="1" t="s">
        <v>251</v>
      </c>
      <c r="AL18" s="1" t="s">
        <v>251</v>
      </c>
      <c r="AM18" s="1" t="s">
        <v>252</v>
      </c>
      <c r="AN18" s="1" t="s">
        <v>253</v>
      </c>
      <c r="AO18" s="1" t="s">
        <v>254</v>
      </c>
      <c r="AP18" s="1" t="s">
        <v>255</v>
      </c>
      <c r="AQ18" s="1" t="s">
        <v>256</v>
      </c>
      <c r="AR18" s="1" t="s">
        <v>257</v>
      </c>
    </row>
    <row r="19" spans="1:44" x14ac:dyDescent="0.2">
      <c r="A19" s="1" t="s">
        <v>258</v>
      </c>
      <c r="B19" s="1" t="s">
        <v>258</v>
      </c>
      <c r="C19" s="1" t="s">
        <v>259</v>
      </c>
      <c r="D19" s="1" t="s">
        <v>258</v>
      </c>
      <c r="E19" s="1" t="s">
        <v>258</v>
      </c>
      <c r="F19" s="1" t="s">
        <v>259</v>
      </c>
      <c r="G19" s="1" t="s">
        <v>259</v>
      </c>
      <c r="H19" s="1" t="s">
        <v>259</v>
      </c>
      <c r="I19" s="1" t="s">
        <v>259</v>
      </c>
      <c r="J19" s="1" t="s">
        <v>260</v>
      </c>
      <c r="K19" s="1" t="s">
        <v>259</v>
      </c>
      <c r="L19" s="1" t="s">
        <v>259</v>
      </c>
      <c r="M19" s="1" t="s">
        <v>261</v>
      </c>
      <c r="N19" s="1" t="s">
        <v>259</v>
      </c>
      <c r="O19" s="1" t="s">
        <v>259</v>
      </c>
      <c r="P19" s="1" t="s">
        <v>259</v>
      </c>
      <c r="Q19" s="1" t="s">
        <v>258</v>
      </c>
      <c r="R19" s="1" t="s">
        <v>262</v>
      </c>
      <c r="S19" s="1" t="s">
        <v>262</v>
      </c>
      <c r="T19" s="1" t="s">
        <v>258</v>
      </c>
      <c r="U19" s="1" t="s">
        <v>259</v>
      </c>
      <c r="V19" s="1" t="s">
        <v>259</v>
      </c>
      <c r="W19" s="1" t="s">
        <v>261</v>
      </c>
      <c r="X19" s="1" t="s">
        <v>259</v>
      </c>
      <c r="Y19" s="1" t="s">
        <v>259</v>
      </c>
      <c r="Z19" s="1" t="s">
        <v>259</v>
      </c>
      <c r="AA19" s="1" t="s">
        <v>262</v>
      </c>
      <c r="AB19" s="1" t="s">
        <v>262</v>
      </c>
      <c r="AC19" s="1" t="s">
        <v>263</v>
      </c>
      <c r="AD19" s="1" t="s">
        <v>263</v>
      </c>
      <c r="AE19" s="1" t="s">
        <v>263</v>
      </c>
      <c r="AF19" s="1" t="s">
        <v>259</v>
      </c>
      <c r="AG19" s="1" t="s">
        <v>259</v>
      </c>
      <c r="AH19" s="1" t="s">
        <v>264</v>
      </c>
      <c r="AI19" s="1" t="s">
        <v>264</v>
      </c>
      <c r="AJ19" s="1" t="s">
        <v>264</v>
      </c>
      <c r="AK19" s="1" t="s">
        <v>262</v>
      </c>
      <c r="AL19" s="1" t="s">
        <v>262</v>
      </c>
      <c r="AM19" s="1" t="s">
        <v>258</v>
      </c>
      <c r="AN19" s="1" t="s">
        <v>258</v>
      </c>
      <c r="AO19" s="1" t="s">
        <v>258</v>
      </c>
      <c r="AP19" s="1" t="s">
        <v>258</v>
      </c>
      <c r="AQ19" s="1" t="s">
        <v>258</v>
      </c>
      <c r="AR19" s="1" t="s">
        <v>258</v>
      </c>
    </row>
    <row r="20" spans="1:44" x14ac:dyDescent="0.2">
      <c r="A20" s="1" t="s">
        <v>123</v>
      </c>
      <c r="B20" s="1" t="s">
        <v>265</v>
      </c>
      <c r="C20" s="1">
        <v>-32.6</v>
      </c>
      <c r="D20" s="1">
        <v>460123</v>
      </c>
      <c r="E20" s="1">
        <v>5962757</v>
      </c>
      <c r="F20" s="1">
        <v>0</v>
      </c>
      <c r="G20" s="1">
        <v>-0.6</v>
      </c>
      <c r="H20" s="1">
        <v>0</v>
      </c>
      <c r="I20" s="1">
        <v>2</v>
      </c>
      <c r="J20" s="1">
        <v>0</v>
      </c>
      <c r="K20" s="1">
        <v>-61</v>
      </c>
      <c r="L20" s="1">
        <v>28.4</v>
      </c>
      <c r="M20" s="1">
        <v>1506.9570000000001</v>
      </c>
      <c r="N20" s="1">
        <v>86.4</v>
      </c>
      <c r="O20" s="1">
        <v>8</v>
      </c>
      <c r="P20" s="1">
        <v>10</v>
      </c>
      <c r="Q20" s="1">
        <v>2.78</v>
      </c>
      <c r="R20" s="1">
        <v>68</v>
      </c>
      <c r="S20" s="1">
        <v>110</v>
      </c>
      <c r="T20" s="1">
        <v>147</v>
      </c>
      <c r="U20" s="1">
        <v>1295.92</v>
      </c>
      <c r="V20" s="1">
        <v>555.52200000000005</v>
      </c>
      <c r="W20" s="1">
        <v>752.85199999999998</v>
      </c>
      <c r="X20" s="1">
        <v>132.18100000000001</v>
      </c>
      <c r="Y20" s="1">
        <v>4.9400000000000004</v>
      </c>
      <c r="Z20" s="1">
        <v>8.0150000000000006</v>
      </c>
      <c r="AA20" s="1">
        <v>21.7</v>
      </c>
      <c r="AB20" s="1">
        <v>290.5</v>
      </c>
      <c r="AC20" s="1">
        <v>12362</v>
      </c>
      <c r="AD20" s="1">
        <v>3037</v>
      </c>
      <c r="AE20" s="1">
        <v>268</v>
      </c>
      <c r="AF20" s="1">
        <v>15</v>
      </c>
      <c r="AG20" s="1">
        <v>15</v>
      </c>
      <c r="AH20" s="1">
        <v>36</v>
      </c>
      <c r="AI20" s="1">
        <v>50.8</v>
      </c>
      <c r="AJ20" s="1">
        <v>13.2</v>
      </c>
      <c r="AK20" s="1">
        <v>78.900000000000006</v>
      </c>
      <c r="AL20" s="1">
        <v>31.9</v>
      </c>
      <c r="AM20" s="1">
        <v>8</v>
      </c>
      <c r="AN20" s="1">
        <v>0</v>
      </c>
      <c r="AO20" s="1">
        <v>0</v>
      </c>
      <c r="AP20" s="1" t="s">
        <v>266</v>
      </c>
      <c r="AQ20" s="1" t="s">
        <v>267</v>
      </c>
      <c r="AR20" s="1" t="s">
        <v>268</v>
      </c>
    </row>
    <row r="21" spans="1:44" x14ac:dyDescent="0.2">
      <c r="A21" s="1" t="s">
        <v>117</v>
      </c>
      <c r="B21" s="1" t="s">
        <v>265</v>
      </c>
      <c r="C21" s="1">
        <v>-33.700000000000003</v>
      </c>
      <c r="D21" s="1">
        <v>461361</v>
      </c>
      <c r="E21" s="1">
        <v>5962314</v>
      </c>
      <c r="F21" s="1">
        <v>0</v>
      </c>
      <c r="G21" s="1">
        <v>-0.6</v>
      </c>
      <c r="H21" s="1">
        <v>0</v>
      </c>
      <c r="I21" s="1">
        <v>2</v>
      </c>
      <c r="J21" s="1">
        <v>0</v>
      </c>
      <c r="K21" s="1">
        <v>-61.5</v>
      </c>
      <c r="L21" s="1">
        <v>27.8</v>
      </c>
      <c r="M21" s="1">
        <v>1541.789</v>
      </c>
      <c r="N21" s="1">
        <v>86.9</v>
      </c>
      <c r="O21" s="1">
        <v>8</v>
      </c>
      <c r="P21" s="1">
        <v>10</v>
      </c>
      <c r="Q21" s="1">
        <v>2.72</v>
      </c>
      <c r="R21" s="1">
        <v>68</v>
      </c>
      <c r="S21" s="1">
        <v>110</v>
      </c>
      <c r="T21" s="1">
        <v>147</v>
      </c>
      <c r="U21" s="1">
        <v>1295.7439999999999</v>
      </c>
      <c r="V21" s="1">
        <v>521.70500000000004</v>
      </c>
      <c r="W21" s="1">
        <v>752.85199999999998</v>
      </c>
      <c r="X21" s="1">
        <v>132.18100000000001</v>
      </c>
      <c r="Y21" s="1">
        <v>4.9400000000000004</v>
      </c>
      <c r="Z21" s="1">
        <v>8.0150000000000006</v>
      </c>
      <c r="AA21" s="1">
        <v>21.7</v>
      </c>
      <c r="AB21" s="1">
        <v>290.5</v>
      </c>
      <c r="AC21" s="1">
        <v>12393</v>
      </c>
      <c r="AD21" s="1">
        <v>3105</v>
      </c>
      <c r="AE21" s="1">
        <v>268</v>
      </c>
      <c r="AF21" s="1">
        <v>15</v>
      </c>
      <c r="AG21" s="1">
        <v>15</v>
      </c>
      <c r="AH21" s="1">
        <v>35.299999999999997</v>
      </c>
      <c r="AI21" s="1">
        <v>51.3</v>
      </c>
      <c r="AJ21" s="1">
        <v>13.4</v>
      </c>
      <c r="AK21" s="1">
        <v>80.099999999999994</v>
      </c>
      <c r="AL21" s="1">
        <v>31.9</v>
      </c>
      <c r="AM21" s="1">
        <v>8</v>
      </c>
      <c r="AN21" s="1">
        <v>0</v>
      </c>
      <c r="AO21" s="1">
        <v>0</v>
      </c>
      <c r="AP21" s="1" t="s">
        <v>266</v>
      </c>
      <c r="AQ21" s="1" t="s">
        <v>267</v>
      </c>
      <c r="AR21" s="1" t="s">
        <v>268</v>
      </c>
    </row>
    <row r="22" spans="1:44" x14ac:dyDescent="0.2">
      <c r="A22" s="1" t="s">
        <v>139</v>
      </c>
      <c r="B22" s="1" t="s">
        <v>269</v>
      </c>
      <c r="C22" s="1">
        <v>-32.799999999999997</v>
      </c>
      <c r="D22" s="1">
        <v>462778</v>
      </c>
      <c r="E22" s="1">
        <v>5961590</v>
      </c>
      <c r="F22" s="1">
        <v>0</v>
      </c>
      <c r="G22" s="1">
        <v>-0.6</v>
      </c>
      <c r="H22" s="1">
        <v>0</v>
      </c>
      <c r="I22" s="1">
        <v>2</v>
      </c>
      <c r="J22" s="1">
        <v>0</v>
      </c>
      <c r="K22" s="1">
        <v>-60</v>
      </c>
      <c r="L22" s="1">
        <v>27.2</v>
      </c>
      <c r="M22" s="1">
        <v>1486.3869999999999</v>
      </c>
      <c r="N22" s="1">
        <v>85.4</v>
      </c>
      <c r="O22" s="1">
        <v>8</v>
      </c>
      <c r="P22" s="1">
        <v>10</v>
      </c>
      <c r="Q22" s="1">
        <v>2.66</v>
      </c>
      <c r="R22" s="1">
        <v>68</v>
      </c>
      <c r="S22" s="1">
        <v>110</v>
      </c>
      <c r="T22" s="1">
        <v>147</v>
      </c>
      <c r="U22" s="1">
        <v>1295.9449999999999</v>
      </c>
      <c r="V22" s="1">
        <v>580.61699999999996</v>
      </c>
      <c r="W22" s="1">
        <v>752.85199999999998</v>
      </c>
      <c r="X22" s="1">
        <v>132.18100000000001</v>
      </c>
      <c r="Y22" s="1">
        <v>4.9400000000000004</v>
      </c>
      <c r="Z22" s="1">
        <v>8.0150000000000006</v>
      </c>
      <c r="AA22" s="1">
        <v>21.7</v>
      </c>
      <c r="AB22" s="1">
        <v>290.5</v>
      </c>
      <c r="AC22" s="1">
        <v>12300</v>
      </c>
      <c r="AD22" s="1">
        <v>3050</v>
      </c>
      <c r="AE22" s="1">
        <v>268</v>
      </c>
      <c r="AF22" s="1">
        <v>15</v>
      </c>
      <c r="AG22" s="1">
        <v>15</v>
      </c>
      <c r="AH22" s="1">
        <v>36.4</v>
      </c>
      <c r="AI22" s="1">
        <v>50.3</v>
      </c>
      <c r="AJ22" s="1">
        <v>13.2</v>
      </c>
      <c r="AK22" s="1">
        <v>78.8</v>
      </c>
      <c r="AL22" s="1">
        <v>31.9</v>
      </c>
      <c r="AM22" s="1">
        <v>8</v>
      </c>
      <c r="AN22" s="1">
        <v>0</v>
      </c>
      <c r="AO22" s="1">
        <v>0</v>
      </c>
      <c r="AP22" s="1" t="s">
        <v>266</v>
      </c>
      <c r="AQ22" s="1" t="s">
        <v>267</v>
      </c>
      <c r="AR22" s="1" t="s">
        <v>268</v>
      </c>
    </row>
    <row r="23" spans="1:44" x14ac:dyDescent="0.2">
      <c r="A23" s="1" t="s">
        <v>154</v>
      </c>
      <c r="B23" s="1" t="s">
        <v>265</v>
      </c>
      <c r="C23" s="1">
        <v>-31.3</v>
      </c>
      <c r="D23" s="1">
        <v>464232</v>
      </c>
      <c r="E23" s="1">
        <v>5960830</v>
      </c>
      <c r="F23" s="1">
        <v>0</v>
      </c>
      <c r="G23" s="1">
        <v>-0.7</v>
      </c>
      <c r="H23" s="1">
        <v>0</v>
      </c>
      <c r="I23" s="1">
        <v>2</v>
      </c>
      <c r="J23" s="1">
        <v>0</v>
      </c>
      <c r="K23" s="1">
        <v>-58.7</v>
      </c>
      <c r="L23" s="1">
        <v>27.4</v>
      </c>
      <c r="M23" s="1">
        <v>1457</v>
      </c>
      <c r="N23" s="1">
        <v>84.1</v>
      </c>
      <c r="O23" s="1">
        <v>8</v>
      </c>
      <c r="P23" s="1">
        <v>10</v>
      </c>
      <c r="Q23" s="1">
        <v>2.67</v>
      </c>
      <c r="R23" s="1">
        <v>68</v>
      </c>
      <c r="S23" s="1">
        <v>110</v>
      </c>
      <c r="T23" s="1">
        <v>147</v>
      </c>
      <c r="U23" s="1">
        <v>1233.7159999999999</v>
      </c>
      <c r="V23" s="1">
        <v>555.63499999999999</v>
      </c>
      <c r="W23" s="1">
        <v>752.85199999999998</v>
      </c>
      <c r="X23" s="1">
        <v>132.18100000000001</v>
      </c>
      <c r="Y23" s="1">
        <v>4.9400000000000004</v>
      </c>
      <c r="Z23" s="1">
        <v>8.0150000000000006</v>
      </c>
      <c r="AA23" s="1">
        <v>21.7</v>
      </c>
      <c r="AB23" s="1">
        <v>290.5</v>
      </c>
      <c r="AC23" s="1">
        <v>12219</v>
      </c>
      <c r="AD23" s="1">
        <v>2957</v>
      </c>
      <c r="AE23" s="1">
        <v>268</v>
      </c>
      <c r="AF23" s="1">
        <v>15</v>
      </c>
      <c r="AG23" s="1">
        <v>15</v>
      </c>
      <c r="AH23" s="1">
        <v>36.799999999999997</v>
      </c>
      <c r="AI23" s="1">
        <v>50.4</v>
      </c>
      <c r="AJ23" s="1">
        <v>12.8</v>
      </c>
      <c r="AK23" s="1">
        <v>78.5</v>
      </c>
      <c r="AL23" s="1">
        <v>31.9</v>
      </c>
      <c r="AM23" s="1">
        <v>8</v>
      </c>
      <c r="AN23" s="1">
        <v>0</v>
      </c>
      <c r="AO23" s="1">
        <v>0</v>
      </c>
      <c r="AP23" s="1" t="s">
        <v>266</v>
      </c>
      <c r="AQ23" s="1" t="s">
        <v>267</v>
      </c>
      <c r="AR23" s="1" t="s">
        <v>268</v>
      </c>
    </row>
    <row r="24" spans="1:44" x14ac:dyDescent="0.2">
      <c r="A24" s="1" t="s">
        <v>156</v>
      </c>
      <c r="B24" s="1" t="s">
        <v>265</v>
      </c>
      <c r="C24" s="1">
        <v>-28.8</v>
      </c>
      <c r="D24" s="1">
        <v>467232</v>
      </c>
      <c r="E24" s="1">
        <v>5959260</v>
      </c>
      <c r="F24" s="1">
        <v>0</v>
      </c>
      <c r="G24" s="1">
        <v>-0.6</v>
      </c>
      <c r="H24" s="1">
        <v>0</v>
      </c>
      <c r="I24" s="1">
        <v>2</v>
      </c>
      <c r="J24" s="1">
        <v>0</v>
      </c>
      <c r="K24" s="1">
        <v>-58.4</v>
      </c>
      <c r="L24" s="1">
        <v>29.6</v>
      </c>
      <c r="M24" s="1">
        <v>1429.8009999999999</v>
      </c>
      <c r="N24" s="1">
        <v>83.8</v>
      </c>
      <c r="O24" s="1">
        <v>8</v>
      </c>
      <c r="P24" s="1">
        <v>10</v>
      </c>
      <c r="Q24" s="1">
        <v>2.9</v>
      </c>
      <c r="R24" s="1">
        <v>64</v>
      </c>
      <c r="S24" s="1">
        <v>110</v>
      </c>
      <c r="T24" s="1">
        <v>147</v>
      </c>
      <c r="U24" s="1">
        <v>1233.7909999999999</v>
      </c>
      <c r="V24" s="1">
        <v>430.87599999999998</v>
      </c>
      <c r="W24" s="1">
        <v>752.85199999999998</v>
      </c>
      <c r="X24" s="1">
        <v>132.18100000000001</v>
      </c>
      <c r="Y24" s="1">
        <v>4.9400000000000004</v>
      </c>
      <c r="Z24" s="1">
        <v>8.0150000000000006</v>
      </c>
      <c r="AA24" s="1">
        <v>21.7</v>
      </c>
      <c r="AB24" s="1">
        <v>290.5</v>
      </c>
      <c r="AC24" s="1">
        <v>12201</v>
      </c>
      <c r="AD24" s="1">
        <v>2801</v>
      </c>
      <c r="AE24" s="1">
        <v>268</v>
      </c>
      <c r="AF24" s="1">
        <v>15</v>
      </c>
      <c r="AG24" s="1">
        <v>15</v>
      </c>
      <c r="AH24" s="1">
        <v>37.299999999999997</v>
      </c>
      <c r="AI24" s="1">
        <v>50.1</v>
      </c>
      <c r="AJ24" s="1">
        <v>12.6</v>
      </c>
      <c r="AK24" s="1">
        <v>77.3</v>
      </c>
      <c r="AL24" s="1">
        <v>31.9</v>
      </c>
      <c r="AM24" s="1">
        <v>8</v>
      </c>
      <c r="AN24" s="1">
        <v>0</v>
      </c>
      <c r="AO24" s="1">
        <v>0</v>
      </c>
      <c r="AP24" s="1" t="s">
        <v>266</v>
      </c>
      <c r="AQ24" s="1" t="s">
        <v>267</v>
      </c>
      <c r="AR24" s="1" t="s">
        <v>268</v>
      </c>
    </row>
    <row r="25" spans="1:44" x14ac:dyDescent="0.2">
      <c r="A25" s="1" t="s">
        <v>160</v>
      </c>
      <c r="B25" s="1" t="s">
        <v>265</v>
      </c>
      <c r="C25" s="1">
        <v>-29.5</v>
      </c>
      <c r="D25" s="1">
        <v>468749</v>
      </c>
      <c r="E25" s="1">
        <v>5958460</v>
      </c>
      <c r="F25" s="1">
        <v>0</v>
      </c>
      <c r="G25" s="1">
        <v>-0.7</v>
      </c>
      <c r="H25" s="1">
        <v>0</v>
      </c>
      <c r="I25" s="1">
        <v>2</v>
      </c>
      <c r="J25" s="1">
        <v>0</v>
      </c>
      <c r="K25" s="1">
        <v>-57.9</v>
      </c>
      <c r="L25" s="1">
        <v>28.4</v>
      </c>
      <c r="M25" s="1">
        <v>1416.742</v>
      </c>
      <c r="N25" s="1">
        <v>83.3</v>
      </c>
      <c r="O25" s="1">
        <v>8</v>
      </c>
      <c r="P25" s="1">
        <v>10</v>
      </c>
      <c r="Q25" s="1">
        <v>2.77</v>
      </c>
      <c r="R25" s="1">
        <v>64</v>
      </c>
      <c r="S25" s="1">
        <v>110</v>
      </c>
      <c r="T25" s="1">
        <v>147</v>
      </c>
      <c r="U25" s="1">
        <v>1233.8040000000001</v>
      </c>
      <c r="V25" s="1">
        <v>430.87599999999998</v>
      </c>
      <c r="W25" s="1">
        <v>752.85199999999998</v>
      </c>
      <c r="X25" s="1">
        <v>132.18100000000001</v>
      </c>
      <c r="Y25" s="1">
        <v>4.9400000000000004</v>
      </c>
      <c r="Z25" s="1">
        <v>8.0150000000000006</v>
      </c>
      <c r="AA25" s="1">
        <v>21.7</v>
      </c>
      <c r="AB25" s="1">
        <v>290.5</v>
      </c>
      <c r="AC25" s="1">
        <v>12170</v>
      </c>
      <c r="AD25" s="1">
        <v>2845</v>
      </c>
      <c r="AE25" s="1">
        <v>268</v>
      </c>
      <c r="AF25" s="1">
        <v>15</v>
      </c>
      <c r="AG25" s="1">
        <v>15</v>
      </c>
      <c r="AH25" s="1">
        <v>37.700000000000003</v>
      </c>
      <c r="AI25" s="1">
        <v>49.6</v>
      </c>
      <c r="AJ25" s="1">
        <v>12.7</v>
      </c>
      <c r="AK25" s="1">
        <v>77.099999999999994</v>
      </c>
      <c r="AL25" s="1">
        <v>31.9</v>
      </c>
      <c r="AM25" s="1">
        <v>8</v>
      </c>
      <c r="AN25" s="1">
        <v>0</v>
      </c>
      <c r="AO25" s="1">
        <v>0</v>
      </c>
      <c r="AP25" s="1" t="s">
        <v>266</v>
      </c>
      <c r="AQ25" s="1" t="s">
        <v>267</v>
      </c>
      <c r="AR25" s="1" t="s">
        <v>268</v>
      </c>
    </row>
    <row r="26" spans="1:44" x14ac:dyDescent="0.2">
      <c r="A26" s="1" t="s">
        <v>157</v>
      </c>
      <c r="B26" s="1" t="s">
        <v>265</v>
      </c>
      <c r="C26" s="1">
        <v>-29.6</v>
      </c>
      <c r="D26" s="1">
        <v>470269</v>
      </c>
      <c r="E26" s="1">
        <v>5957660</v>
      </c>
      <c r="F26" s="1">
        <v>0</v>
      </c>
      <c r="G26" s="1">
        <v>-0.6</v>
      </c>
      <c r="H26" s="1">
        <v>0</v>
      </c>
      <c r="I26" s="1">
        <v>2</v>
      </c>
      <c r="J26" s="1">
        <v>0</v>
      </c>
      <c r="K26" s="1">
        <v>-58.5</v>
      </c>
      <c r="L26" s="1">
        <v>28.9</v>
      </c>
      <c r="M26" s="1">
        <v>1430.37</v>
      </c>
      <c r="N26" s="1">
        <v>83.9</v>
      </c>
      <c r="O26" s="1">
        <v>8</v>
      </c>
      <c r="P26" s="1">
        <v>10</v>
      </c>
      <c r="Q26" s="1">
        <v>2.83</v>
      </c>
      <c r="R26" s="1">
        <v>64</v>
      </c>
      <c r="S26" s="1">
        <v>110</v>
      </c>
      <c r="T26" s="1">
        <v>147</v>
      </c>
      <c r="U26" s="1">
        <v>1233.8040000000001</v>
      </c>
      <c r="V26" s="1">
        <v>430.87599999999998</v>
      </c>
      <c r="W26" s="1">
        <v>752.85199999999998</v>
      </c>
      <c r="X26" s="1">
        <v>132.18100000000001</v>
      </c>
      <c r="Y26" s="1">
        <v>4.9400000000000004</v>
      </c>
      <c r="Z26" s="1">
        <v>8.0150000000000006</v>
      </c>
      <c r="AA26" s="1">
        <v>21.7</v>
      </c>
      <c r="AB26" s="1">
        <v>290.5</v>
      </c>
      <c r="AC26" s="1">
        <v>12207</v>
      </c>
      <c r="AD26" s="1">
        <v>2851</v>
      </c>
      <c r="AE26" s="1">
        <v>268</v>
      </c>
      <c r="AF26" s="1">
        <v>15</v>
      </c>
      <c r="AG26" s="1">
        <v>15</v>
      </c>
      <c r="AH26" s="1">
        <v>37.299999999999997</v>
      </c>
      <c r="AI26" s="1">
        <v>50.1</v>
      </c>
      <c r="AJ26" s="1">
        <v>12.6</v>
      </c>
      <c r="AK26" s="1">
        <v>77.3</v>
      </c>
      <c r="AL26" s="1">
        <v>31.9</v>
      </c>
      <c r="AM26" s="1">
        <v>8</v>
      </c>
      <c r="AN26" s="1">
        <v>0</v>
      </c>
      <c r="AO26" s="1">
        <v>0</v>
      </c>
      <c r="AP26" s="1" t="s">
        <v>266</v>
      </c>
      <c r="AQ26" s="1" t="s">
        <v>267</v>
      </c>
      <c r="AR26" s="1" t="s">
        <v>268</v>
      </c>
    </row>
    <row r="27" spans="1:44" x14ac:dyDescent="0.2">
      <c r="A27" s="1" t="s">
        <v>13</v>
      </c>
      <c r="B27" s="1" t="s">
        <v>265</v>
      </c>
      <c r="C27" s="1">
        <v>-29.5</v>
      </c>
      <c r="D27" s="1">
        <v>471829</v>
      </c>
      <c r="E27" s="1">
        <v>5956840</v>
      </c>
      <c r="F27" s="1">
        <v>0</v>
      </c>
      <c r="G27" s="1">
        <v>-0.6</v>
      </c>
      <c r="H27" s="1">
        <v>0</v>
      </c>
      <c r="I27" s="1">
        <v>2</v>
      </c>
      <c r="J27" s="1">
        <v>0</v>
      </c>
      <c r="K27" s="1">
        <v>-60.2</v>
      </c>
      <c r="L27" s="1">
        <v>30.7</v>
      </c>
      <c r="M27" s="1">
        <v>1493.6559999999999</v>
      </c>
      <c r="N27" s="1">
        <v>85.6</v>
      </c>
      <c r="O27" s="1">
        <v>8</v>
      </c>
      <c r="P27" s="1">
        <v>10</v>
      </c>
      <c r="Q27" s="1">
        <v>3.01</v>
      </c>
      <c r="R27" s="1">
        <v>64</v>
      </c>
      <c r="S27" s="1">
        <v>110</v>
      </c>
      <c r="T27" s="1">
        <v>147</v>
      </c>
      <c r="U27" s="1">
        <v>1295.9570000000001</v>
      </c>
      <c r="V27" s="1">
        <v>461.274</v>
      </c>
      <c r="W27" s="1">
        <v>752.85199999999998</v>
      </c>
      <c r="X27" s="1">
        <v>132.18100000000001</v>
      </c>
      <c r="Y27" s="1">
        <v>4.9400000000000004</v>
      </c>
      <c r="Z27" s="1">
        <v>8.0150000000000006</v>
      </c>
      <c r="AA27" s="1">
        <v>21.7</v>
      </c>
      <c r="AB27" s="1">
        <v>290.5</v>
      </c>
      <c r="AC27" s="1">
        <v>12313</v>
      </c>
      <c r="AD27" s="1">
        <v>2844</v>
      </c>
      <c r="AE27" s="1">
        <v>268</v>
      </c>
      <c r="AF27" s="1">
        <v>17</v>
      </c>
      <c r="AG27" s="1">
        <v>17</v>
      </c>
      <c r="AH27" s="1">
        <v>35.700000000000003</v>
      </c>
      <c r="AI27" s="1">
        <v>52.2</v>
      </c>
      <c r="AJ27" s="1">
        <v>12</v>
      </c>
      <c r="AK27" s="1">
        <v>78.8</v>
      </c>
      <c r="AL27" s="1">
        <v>31.9</v>
      </c>
      <c r="AM27" s="1">
        <v>8</v>
      </c>
      <c r="AN27" s="1">
        <v>0</v>
      </c>
      <c r="AO27" s="1">
        <v>0</v>
      </c>
      <c r="AP27" s="1" t="s">
        <v>266</v>
      </c>
      <c r="AQ27" s="1" t="s">
        <v>267</v>
      </c>
      <c r="AR27" s="1" t="s">
        <v>268</v>
      </c>
    </row>
    <row r="28" spans="1:44" x14ac:dyDescent="0.2">
      <c r="A28" s="1" t="s">
        <v>140</v>
      </c>
      <c r="B28" s="1" t="s">
        <v>265</v>
      </c>
      <c r="C28" s="1">
        <v>-30.2</v>
      </c>
      <c r="D28" s="1">
        <v>473388</v>
      </c>
      <c r="E28" s="1">
        <v>5956030</v>
      </c>
      <c r="F28" s="1">
        <v>0</v>
      </c>
      <c r="G28" s="1">
        <v>-0.7</v>
      </c>
      <c r="H28" s="1">
        <v>0</v>
      </c>
      <c r="I28" s="1">
        <v>2</v>
      </c>
      <c r="J28" s="1">
        <v>0</v>
      </c>
      <c r="K28" s="1">
        <v>-60.4</v>
      </c>
      <c r="L28" s="1">
        <v>30.2</v>
      </c>
      <c r="M28" s="1">
        <v>1467.4380000000001</v>
      </c>
      <c r="N28" s="1">
        <v>85.8</v>
      </c>
      <c r="O28" s="1">
        <v>8</v>
      </c>
      <c r="P28" s="1">
        <v>10</v>
      </c>
      <c r="Q28" s="1">
        <v>2.95</v>
      </c>
      <c r="R28" s="1">
        <v>68</v>
      </c>
      <c r="S28" s="1">
        <v>110</v>
      </c>
      <c r="T28" s="1">
        <v>147</v>
      </c>
      <c r="U28" s="1">
        <v>1296.183</v>
      </c>
      <c r="V28" s="1">
        <v>549.80399999999997</v>
      </c>
      <c r="W28" s="1">
        <v>752.85199999999998</v>
      </c>
      <c r="X28" s="1">
        <v>132.18100000000001</v>
      </c>
      <c r="Y28" s="1">
        <v>4.9400000000000004</v>
      </c>
      <c r="Z28" s="1">
        <v>8.0150000000000006</v>
      </c>
      <c r="AA28" s="1">
        <v>21.7</v>
      </c>
      <c r="AB28" s="1">
        <v>290.5</v>
      </c>
      <c r="AC28" s="1">
        <v>12326</v>
      </c>
      <c r="AD28" s="1">
        <v>2889</v>
      </c>
      <c r="AE28" s="1">
        <v>268</v>
      </c>
      <c r="AF28" s="1">
        <v>15</v>
      </c>
      <c r="AG28" s="1">
        <v>15</v>
      </c>
      <c r="AH28" s="1">
        <v>36.4</v>
      </c>
      <c r="AI28" s="1">
        <v>51.1</v>
      </c>
      <c r="AJ28" s="1">
        <v>12.5</v>
      </c>
      <c r="AK28" s="1">
        <v>77.3</v>
      </c>
      <c r="AL28" s="1">
        <v>31.9</v>
      </c>
      <c r="AM28" s="1">
        <v>8</v>
      </c>
      <c r="AN28" s="1">
        <v>0</v>
      </c>
      <c r="AO28" s="1">
        <v>0</v>
      </c>
      <c r="AP28" s="1" t="s">
        <v>266</v>
      </c>
      <c r="AQ28" s="1" t="s">
        <v>267</v>
      </c>
      <c r="AR28" s="1" t="s">
        <v>268</v>
      </c>
    </row>
    <row r="29" spans="1:44" x14ac:dyDescent="0.2">
      <c r="A29" s="1" t="s">
        <v>150</v>
      </c>
      <c r="B29" s="1" t="s">
        <v>265</v>
      </c>
      <c r="C29" s="1">
        <v>-31.4</v>
      </c>
      <c r="D29" s="1">
        <v>474937</v>
      </c>
      <c r="E29" s="1">
        <v>5955210</v>
      </c>
      <c r="F29" s="1">
        <v>0</v>
      </c>
      <c r="G29" s="1">
        <v>-0.7</v>
      </c>
      <c r="H29" s="1">
        <v>0</v>
      </c>
      <c r="I29" s="1">
        <v>2</v>
      </c>
      <c r="J29" s="1">
        <v>0</v>
      </c>
      <c r="K29" s="1">
        <v>-59.6</v>
      </c>
      <c r="L29" s="1">
        <v>28.2</v>
      </c>
      <c r="M29" s="1">
        <v>1456.664</v>
      </c>
      <c r="N29" s="1">
        <v>85</v>
      </c>
      <c r="O29" s="1">
        <v>8</v>
      </c>
      <c r="P29" s="1">
        <v>10</v>
      </c>
      <c r="Q29" s="1">
        <v>2.75</v>
      </c>
      <c r="R29" s="1">
        <v>68</v>
      </c>
      <c r="S29" s="1">
        <v>110</v>
      </c>
      <c r="T29" s="1">
        <v>147</v>
      </c>
      <c r="U29" s="1">
        <v>1296.1079999999999</v>
      </c>
      <c r="V29" s="1">
        <v>549.33900000000006</v>
      </c>
      <c r="W29" s="1">
        <v>752.85199999999998</v>
      </c>
      <c r="X29" s="1">
        <v>132.18100000000001</v>
      </c>
      <c r="Y29" s="1">
        <v>4.9400000000000004</v>
      </c>
      <c r="Z29" s="1">
        <v>8.0150000000000006</v>
      </c>
      <c r="AA29" s="1">
        <v>21.7</v>
      </c>
      <c r="AB29" s="1">
        <v>290.5</v>
      </c>
      <c r="AC29" s="1">
        <v>12276</v>
      </c>
      <c r="AD29" s="1">
        <v>2963</v>
      </c>
      <c r="AE29" s="1">
        <v>268</v>
      </c>
      <c r="AF29" s="1">
        <v>15</v>
      </c>
      <c r="AG29" s="1">
        <v>15</v>
      </c>
      <c r="AH29" s="1">
        <v>36.9</v>
      </c>
      <c r="AI29" s="1">
        <v>50.2</v>
      </c>
      <c r="AJ29" s="1">
        <v>12.9</v>
      </c>
      <c r="AK29" s="1">
        <v>77.599999999999994</v>
      </c>
      <c r="AL29" s="1">
        <v>31.9</v>
      </c>
      <c r="AM29" s="1">
        <v>8</v>
      </c>
      <c r="AN29" s="1">
        <v>0</v>
      </c>
      <c r="AO29" s="1">
        <v>0</v>
      </c>
      <c r="AP29" s="1" t="s">
        <v>266</v>
      </c>
      <c r="AQ29" s="1" t="s">
        <v>267</v>
      </c>
      <c r="AR29" s="1" t="s">
        <v>268</v>
      </c>
    </row>
    <row r="30" spans="1:44" x14ac:dyDescent="0.2">
      <c r="A30" s="1" t="s">
        <v>119</v>
      </c>
      <c r="B30" s="1" t="s">
        <v>265</v>
      </c>
      <c r="C30" s="1">
        <v>-33.799999999999997</v>
      </c>
      <c r="D30" s="1">
        <v>476497</v>
      </c>
      <c r="E30" s="1">
        <v>5954390</v>
      </c>
      <c r="F30" s="1">
        <v>0</v>
      </c>
      <c r="G30" s="1">
        <v>-0.7</v>
      </c>
      <c r="H30" s="1">
        <v>0</v>
      </c>
      <c r="I30" s="1">
        <v>2</v>
      </c>
      <c r="J30" s="1">
        <v>0</v>
      </c>
      <c r="K30" s="1">
        <v>-61.5</v>
      </c>
      <c r="L30" s="1">
        <v>27.7</v>
      </c>
      <c r="M30" s="1">
        <v>1529.1079999999999</v>
      </c>
      <c r="N30" s="1">
        <v>86.9</v>
      </c>
      <c r="O30" s="1">
        <v>8</v>
      </c>
      <c r="P30" s="1">
        <v>10</v>
      </c>
      <c r="Q30" s="1">
        <v>2.7</v>
      </c>
      <c r="R30" s="1">
        <v>68</v>
      </c>
      <c r="S30" s="1">
        <v>110</v>
      </c>
      <c r="T30" s="1">
        <v>147</v>
      </c>
      <c r="U30" s="1">
        <v>1295.8320000000001</v>
      </c>
      <c r="V30" s="1">
        <v>553.76199999999994</v>
      </c>
      <c r="W30" s="1">
        <v>752.85199999999998</v>
      </c>
      <c r="X30" s="1">
        <v>132.18100000000001</v>
      </c>
      <c r="Y30" s="1">
        <v>4.9400000000000004</v>
      </c>
      <c r="Z30" s="1">
        <v>8.0150000000000006</v>
      </c>
      <c r="AA30" s="1">
        <v>21.7</v>
      </c>
      <c r="AB30" s="1">
        <v>290.5</v>
      </c>
      <c r="AC30" s="1">
        <v>12393</v>
      </c>
      <c r="AD30" s="1">
        <v>3112</v>
      </c>
      <c r="AE30" s="1">
        <v>268</v>
      </c>
      <c r="AF30" s="1">
        <v>15</v>
      </c>
      <c r="AG30" s="1">
        <v>15</v>
      </c>
      <c r="AH30" s="1">
        <v>35.5</v>
      </c>
      <c r="AI30" s="1">
        <v>51.3</v>
      </c>
      <c r="AJ30" s="1">
        <v>13.2</v>
      </c>
      <c r="AK30" s="1">
        <v>79.5</v>
      </c>
      <c r="AL30" s="1">
        <v>31.9</v>
      </c>
      <c r="AM30" s="1">
        <v>8</v>
      </c>
      <c r="AN30" s="1">
        <v>0</v>
      </c>
      <c r="AO30" s="1">
        <v>0</v>
      </c>
      <c r="AP30" s="1" t="s">
        <v>266</v>
      </c>
      <c r="AQ30" s="1" t="s">
        <v>267</v>
      </c>
      <c r="AR30" s="1" t="s">
        <v>268</v>
      </c>
    </row>
    <row r="31" spans="1:44" x14ac:dyDescent="0.2">
      <c r="A31" s="1" t="s">
        <v>53</v>
      </c>
      <c r="B31" s="1" t="s">
        <v>265</v>
      </c>
      <c r="C31" s="1">
        <v>-36.200000000000003</v>
      </c>
      <c r="D31" s="1">
        <v>478064</v>
      </c>
      <c r="E31" s="1">
        <v>5953570</v>
      </c>
      <c r="F31" s="1">
        <v>0</v>
      </c>
      <c r="G31" s="1">
        <v>-0.7</v>
      </c>
      <c r="H31" s="1">
        <v>0</v>
      </c>
      <c r="I31" s="1">
        <v>2</v>
      </c>
      <c r="J31" s="1">
        <v>0</v>
      </c>
      <c r="K31" s="1">
        <v>-64.8</v>
      </c>
      <c r="L31" s="1">
        <v>28.6</v>
      </c>
      <c r="M31" s="1">
        <v>1666.5830000000001</v>
      </c>
      <c r="N31" s="1">
        <v>90.2</v>
      </c>
      <c r="O31" s="1">
        <v>8</v>
      </c>
      <c r="P31" s="1">
        <v>10</v>
      </c>
      <c r="Q31" s="1">
        <v>2.79</v>
      </c>
      <c r="R31" s="1">
        <v>68</v>
      </c>
      <c r="S31" s="1">
        <v>110</v>
      </c>
      <c r="T31" s="1">
        <v>147</v>
      </c>
      <c r="U31" s="1">
        <v>1357.6959999999999</v>
      </c>
      <c r="V31" s="1">
        <v>422.00400000000002</v>
      </c>
      <c r="W31" s="1">
        <v>752.85199999999998</v>
      </c>
      <c r="X31" s="1">
        <v>132.18100000000001</v>
      </c>
      <c r="Y31" s="1">
        <v>4.9400000000000004</v>
      </c>
      <c r="Z31" s="1">
        <v>8.0150000000000006</v>
      </c>
      <c r="AA31" s="1">
        <v>21.7</v>
      </c>
      <c r="AB31" s="1">
        <v>290.5</v>
      </c>
      <c r="AC31" s="1">
        <v>12597</v>
      </c>
      <c r="AD31" s="1">
        <v>3260</v>
      </c>
      <c r="AE31" s="1">
        <v>268</v>
      </c>
      <c r="AF31" s="1">
        <v>15</v>
      </c>
      <c r="AG31" s="1">
        <v>15</v>
      </c>
      <c r="AH31" s="1">
        <v>32.9</v>
      </c>
      <c r="AI31" s="1">
        <v>54.3</v>
      </c>
      <c r="AJ31" s="1">
        <v>12.8</v>
      </c>
      <c r="AK31" s="1">
        <v>83</v>
      </c>
      <c r="AL31" s="1">
        <v>31.9</v>
      </c>
      <c r="AM31" s="1">
        <v>8</v>
      </c>
      <c r="AN31" s="1">
        <v>0</v>
      </c>
      <c r="AO31" s="1">
        <v>0</v>
      </c>
      <c r="AP31" s="1" t="s">
        <v>266</v>
      </c>
      <c r="AQ31" s="1" t="s">
        <v>267</v>
      </c>
      <c r="AR31" s="1" t="s">
        <v>268</v>
      </c>
    </row>
    <row r="32" spans="1:44" x14ac:dyDescent="0.2">
      <c r="A32" s="1" t="s">
        <v>40</v>
      </c>
      <c r="B32" s="1" t="s">
        <v>265</v>
      </c>
      <c r="C32" s="1">
        <v>-36.1</v>
      </c>
      <c r="D32" s="1">
        <v>479604</v>
      </c>
      <c r="E32" s="1">
        <v>5952760</v>
      </c>
      <c r="F32" s="1">
        <v>0</v>
      </c>
      <c r="G32" s="1">
        <v>-0.6</v>
      </c>
      <c r="H32" s="1">
        <v>0</v>
      </c>
      <c r="I32" s="1">
        <v>2</v>
      </c>
      <c r="J32" s="1">
        <v>0</v>
      </c>
      <c r="K32" s="1">
        <v>-65.3</v>
      </c>
      <c r="L32" s="1">
        <v>29.2</v>
      </c>
      <c r="M32" s="1">
        <v>1673.229</v>
      </c>
      <c r="N32" s="1">
        <v>90.7</v>
      </c>
      <c r="O32" s="1">
        <v>8</v>
      </c>
      <c r="P32" s="1">
        <v>10</v>
      </c>
      <c r="Q32" s="1">
        <v>2.86</v>
      </c>
      <c r="R32" s="1">
        <v>68</v>
      </c>
      <c r="S32" s="1">
        <v>110</v>
      </c>
      <c r="T32" s="1">
        <v>147</v>
      </c>
      <c r="U32" s="1">
        <v>1357.7080000000001</v>
      </c>
      <c r="V32" s="1">
        <v>427.75900000000001</v>
      </c>
      <c r="W32" s="1">
        <v>752.85199999999998</v>
      </c>
      <c r="X32" s="1">
        <v>132.18100000000001</v>
      </c>
      <c r="Y32" s="1">
        <v>4.9400000000000004</v>
      </c>
      <c r="Z32" s="1">
        <v>8.0150000000000006</v>
      </c>
      <c r="AA32" s="1">
        <v>21.7</v>
      </c>
      <c r="AB32" s="1">
        <v>290.5</v>
      </c>
      <c r="AC32" s="1">
        <v>12628</v>
      </c>
      <c r="AD32" s="1">
        <v>3254</v>
      </c>
      <c r="AE32" s="1">
        <v>268</v>
      </c>
      <c r="AF32" s="1">
        <v>15</v>
      </c>
      <c r="AG32" s="1">
        <v>15</v>
      </c>
      <c r="AH32" s="1">
        <v>32.700000000000003</v>
      </c>
      <c r="AI32" s="1">
        <v>54.4</v>
      </c>
      <c r="AJ32" s="1">
        <v>12.9</v>
      </c>
      <c r="AK32" s="1">
        <v>82.8</v>
      </c>
      <c r="AL32" s="1">
        <v>31.9</v>
      </c>
      <c r="AM32" s="1">
        <v>8</v>
      </c>
      <c r="AN32" s="1">
        <v>0</v>
      </c>
      <c r="AO32" s="1">
        <v>0</v>
      </c>
      <c r="AP32" s="1" t="s">
        <v>266</v>
      </c>
      <c r="AQ32" s="1" t="s">
        <v>267</v>
      </c>
      <c r="AR32" s="1" t="s">
        <v>268</v>
      </c>
    </row>
    <row r="33" spans="1:44" x14ac:dyDescent="0.2">
      <c r="A33" s="1" t="s">
        <v>183</v>
      </c>
      <c r="B33" s="1" t="s">
        <v>265</v>
      </c>
      <c r="C33" s="1">
        <v>-36.200000000000003</v>
      </c>
      <c r="D33" s="1">
        <v>481173</v>
      </c>
      <c r="E33" s="1">
        <v>5951940</v>
      </c>
      <c r="F33" s="1">
        <v>0</v>
      </c>
      <c r="G33" s="1">
        <v>-0.6</v>
      </c>
      <c r="H33" s="1">
        <v>0</v>
      </c>
      <c r="I33" s="1">
        <v>2</v>
      </c>
      <c r="J33" s="1">
        <v>0</v>
      </c>
      <c r="K33" s="1">
        <v>-66.7</v>
      </c>
      <c r="L33" s="1">
        <v>30.5</v>
      </c>
      <c r="M33" s="1">
        <v>1682.5050000000001</v>
      </c>
      <c r="N33" s="1">
        <v>92.1</v>
      </c>
      <c r="O33" s="1">
        <v>8</v>
      </c>
      <c r="P33" s="1">
        <v>10.5</v>
      </c>
      <c r="Q33" s="1">
        <v>2.8475999999999999</v>
      </c>
      <c r="R33" s="1">
        <v>68</v>
      </c>
      <c r="S33" s="1">
        <v>112</v>
      </c>
      <c r="T33" s="1">
        <v>146</v>
      </c>
      <c r="U33" s="1">
        <v>1406.51</v>
      </c>
      <c r="V33" s="1">
        <v>388.74099999999999</v>
      </c>
      <c r="W33" s="1">
        <v>752.85199999999998</v>
      </c>
      <c r="X33" s="1">
        <v>132.18100000000001</v>
      </c>
      <c r="Y33" s="1">
        <v>4.9400000000000004</v>
      </c>
      <c r="Z33" s="1">
        <v>8.0150000000000006</v>
      </c>
      <c r="AA33" s="1">
        <v>21.7</v>
      </c>
      <c r="AB33" s="1">
        <v>290.5</v>
      </c>
      <c r="AC33" s="1">
        <v>12867</v>
      </c>
      <c r="AD33" s="1">
        <v>3323</v>
      </c>
      <c r="AE33" s="1">
        <v>268</v>
      </c>
      <c r="AF33" s="1">
        <v>15</v>
      </c>
      <c r="AG33" s="1">
        <v>15</v>
      </c>
      <c r="AH33" s="1">
        <v>32.799999999999997</v>
      </c>
      <c r="AI33" s="1">
        <v>52.7</v>
      </c>
      <c r="AJ33" s="1">
        <v>14.6</v>
      </c>
      <c r="AK33" s="1">
        <v>79.900000000000006</v>
      </c>
      <c r="AL33" s="1">
        <v>31.9</v>
      </c>
      <c r="AM33" s="1">
        <v>8</v>
      </c>
      <c r="AN33" s="1">
        <v>0</v>
      </c>
      <c r="AO33" s="1">
        <v>0</v>
      </c>
      <c r="AP33" s="1" t="s">
        <v>270</v>
      </c>
      <c r="AQ33" s="1" t="s">
        <v>267</v>
      </c>
      <c r="AR33" s="1" t="s">
        <v>268</v>
      </c>
    </row>
    <row r="34" spans="1:44" x14ac:dyDescent="0.2">
      <c r="A34" s="1" t="s">
        <v>176</v>
      </c>
      <c r="B34" s="1" t="s">
        <v>265</v>
      </c>
      <c r="C34" s="1">
        <v>-37.200000000000003</v>
      </c>
      <c r="D34" s="1">
        <v>482709</v>
      </c>
      <c r="E34" s="1">
        <v>5951130</v>
      </c>
      <c r="F34" s="1">
        <v>0</v>
      </c>
      <c r="G34" s="1">
        <v>-0.6</v>
      </c>
      <c r="H34" s="1">
        <v>0</v>
      </c>
      <c r="I34" s="1">
        <v>2</v>
      </c>
      <c r="J34" s="1">
        <v>0</v>
      </c>
      <c r="K34" s="1">
        <v>-69</v>
      </c>
      <c r="L34" s="1">
        <v>31.8</v>
      </c>
      <c r="M34" s="1">
        <v>1754.989</v>
      </c>
      <c r="N34" s="1">
        <v>94.4</v>
      </c>
      <c r="O34" s="1">
        <v>8</v>
      </c>
      <c r="P34" s="1">
        <v>10.5</v>
      </c>
      <c r="Q34" s="1">
        <v>2.9714</v>
      </c>
      <c r="R34" s="1">
        <v>72</v>
      </c>
      <c r="S34" s="1">
        <v>112</v>
      </c>
      <c r="T34" s="1">
        <v>146</v>
      </c>
      <c r="U34" s="1">
        <v>1406.2840000000001</v>
      </c>
      <c r="V34" s="1">
        <v>454.17399999999998</v>
      </c>
      <c r="W34" s="1">
        <v>752.85199999999998</v>
      </c>
      <c r="X34" s="1">
        <v>132.18100000000001</v>
      </c>
      <c r="Y34" s="1">
        <v>4.9400000000000004</v>
      </c>
      <c r="Z34" s="1">
        <v>8.0150000000000006</v>
      </c>
      <c r="AA34" s="1">
        <v>21.7</v>
      </c>
      <c r="AB34" s="1">
        <v>290.5</v>
      </c>
      <c r="AC34" s="1">
        <v>13016</v>
      </c>
      <c r="AD34" s="1">
        <v>3388</v>
      </c>
      <c r="AE34" s="1">
        <v>268</v>
      </c>
      <c r="AF34" s="1">
        <v>17</v>
      </c>
      <c r="AG34" s="1">
        <v>17</v>
      </c>
      <c r="AH34" s="1">
        <v>32.299999999999997</v>
      </c>
      <c r="AI34" s="1">
        <v>53</v>
      </c>
      <c r="AJ34" s="1">
        <v>14.7</v>
      </c>
      <c r="AK34" s="1">
        <v>81.3</v>
      </c>
      <c r="AL34" s="1">
        <v>31.9</v>
      </c>
      <c r="AM34" s="1">
        <v>8</v>
      </c>
      <c r="AN34" s="1">
        <v>0</v>
      </c>
      <c r="AO34" s="1">
        <v>0</v>
      </c>
      <c r="AP34" s="1" t="s">
        <v>270</v>
      </c>
      <c r="AQ34" s="1" t="s">
        <v>267</v>
      </c>
      <c r="AR34" s="1" t="s">
        <v>268</v>
      </c>
    </row>
    <row r="35" spans="1:44" x14ac:dyDescent="0.2">
      <c r="A35" s="1" t="s">
        <v>211</v>
      </c>
      <c r="B35" s="1" t="s">
        <v>265</v>
      </c>
      <c r="C35" s="1">
        <v>-39.1</v>
      </c>
      <c r="D35" s="1">
        <v>484249</v>
      </c>
      <c r="E35" s="1">
        <v>5950333</v>
      </c>
      <c r="F35" s="1">
        <v>0</v>
      </c>
      <c r="G35" s="1">
        <v>-0.7</v>
      </c>
      <c r="H35" s="1">
        <v>0</v>
      </c>
      <c r="I35" s="1">
        <v>2</v>
      </c>
      <c r="J35" s="1">
        <v>0</v>
      </c>
      <c r="K35" s="1">
        <v>-72.599999999999994</v>
      </c>
      <c r="L35" s="1">
        <v>33.5</v>
      </c>
      <c r="M35" s="1">
        <v>1903.4459999999999</v>
      </c>
      <c r="N35" s="1">
        <v>98</v>
      </c>
      <c r="O35" s="1">
        <v>8</v>
      </c>
      <c r="P35" s="1">
        <v>11</v>
      </c>
      <c r="Q35" s="1">
        <v>2.9817999999999998</v>
      </c>
      <c r="R35" s="1">
        <v>70</v>
      </c>
      <c r="S35" s="1">
        <v>117</v>
      </c>
      <c r="T35" s="1">
        <v>149</v>
      </c>
      <c r="U35" s="1">
        <v>1507.223</v>
      </c>
      <c r="V35" s="1">
        <v>327.68700000000001</v>
      </c>
      <c r="W35" s="1">
        <v>752.85199999999998</v>
      </c>
      <c r="X35" s="1">
        <v>132.18100000000001</v>
      </c>
      <c r="Y35" s="1">
        <v>4.9400000000000004</v>
      </c>
      <c r="Z35" s="1">
        <v>8.0150000000000006</v>
      </c>
      <c r="AA35" s="1">
        <v>21.7</v>
      </c>
      <c r="AB35" s="1">
        <v>290.5</v>
      </c>
      <c r="AC35" s="1">
        <v>13410</v>
      </c>
      <c r="AD35" s="1">
        <v>3574</v>
      </c>
      <c r="AE35" s="1">
        <v>268</v>
      </c>
      <c r="AF35" s="1">
        <v>19</v>
      </c>
      <c r="AG35" s="1">
        <v>19</v>
      </c>
      <c r="AH35" s="1">
        <v>29.9</v>
      </c>
      <c r="AI35" s="1">
        <v>53.8</v>
      </c>
      <c r="AJ35" s="1">
        <v>16.3</v>
      </c>
      <c r="AK35" s="1">
        <v>82.3</v>
      </c>
      <c r="AL35" s="1">
        <v>31.9</v>
      </c>
      <c r="AM35" s="1">
        <v>8</v>
      </c>
      <c r="AN35" s="1">
        <v>0</v>
      </c>
      <c r="AO35" s="1">
        <v>0</v>
      </c>
      <c r="AP35" s="1" t="s">
        <v>270</v>
      </c>
      <c r="AQ35" s="1" t="s">
        <v>267</v>
      </c>
      <c r="AR35" s="1" t="s">
        <v>268</v>
      </c>
    </row>
    <row r="36" spans="1:44" x14ac:dyDescent="0.2">
      <c r="A36" s="1" t="s">
        <v>174</v>
      </c>
      <c r="B36" s="1" t="s">
        <v>271</v>
      </c>
      <c r="C36" s="1">
        <v>-38.6</v>
      </c>
      <c r="D36" s="1">
        <v>484978.2</v>
      </c>
      <c r="E36" s="1">
        <v>5952440.2000000002</v>
      </c>
      <c r="F36" s="1">
        <v>0</v>
      </c>
      <c r="G36" s="1">
        <v>-0.6</v>
      </c>
      <c r="H36" s="1">
        <v>0</v>
      </c>
      <c r="I36" s="1">
        <v>2</v>
      </c>
      <c r="J36" s="1">
        <v>0</v>
      </c>
      <c r="K36" s="1">
        <v>-70.400000000000006</v>
      </c>
      <c r="L36" s="1">
        <v>31.8</v>
      </c>
      <c r="M36" s="1">
        <v>1795.5440000000001</v>
      </c>
      <c r="N36" s="1">
        <v>95.8</v>
      </c>
      <c r="O36" s="1">
        <v>8</v>
      </c>
      <c r="P36" s="1">
        <v>10.5</v>
      </c>
      <c r="Q36" s="1">
        <v>2.9714</v>
      </c>
      <c r="R36" s="1">
        <v>72</v>
      </c>
      <c r="S36" s="1">
        <v>112</v>
      </c>
      <c r="T36" s="1">
        <v>146</v>
      </c>
      <c r="U36" s="1">
        <v>1471.6790000000001</v>
      </c>
      <c r="V36" s="1">
        <v>448.714</v>
      </c>
      <c r="W36" s="1">
        <v>752.85199999999998</v>
      </c>
      <c r="X36" s="1">
        <v>132.18100000000001</v>
      </c>
      <c r="Y36" s="1">
        <v>4.9400000000000004</v>
      </c>
      <c r="Z36" s="1">
        <v>8.0150000000000006</v>
      </c>
      <c r="AA36" s="1">
        <v>21.7</v>
      </c>
      <c r="AB36" s="1">
        <v>290.5</v>
      </c>
      <c r="AC36" s="1">
        <v>13108</v>
      </c>
      <c r="AD36" s="1">
        <v>3479</v>
      </c>
      <c r="AE36" s="1">
        <v>268</v>
      </c>
      <c r="AF36" s="1">
        <v>17</v>
      </c>
      <c r="AG36" s="1">
        <v>17</v>
      </c>
      <c r="AH36" s="1">
        <v>32.1</v>
      </c>
      <c r="AI36" s="1">
        <v>53.3</v>
      </c>
      <c r="AJ36" s="1">
        <v>14.6</v>
      </c>
      <c r="AK36" s="1">
        <v>81.900000000000006</v>
      </c>
      <c r="AL36" s="1">
        <v>31.9</v>
      </c>
      <c r="AM36" s="1">
        <v>8</v>
      </c>
      <c r="AN36" s="1">
        <v>0</v>
      </c>
      <c r="AO36" s="1">
        <v>0</v>
      </c>
      <c r="AP36" s="1" t="s">
        <v>270</v>
      </c>
      <c r="AQ36" s="1" t="s">
        <v>267</v>
      </c>
      <c r="AR36" s="1" t="s">
        <v>268</v>
      </c>
    </row>
    <row r="37" spans="1:44" x14ac:dyDescent="0.2">
      <c r="A37" s="1" t="s">
        <v>90</v>
      </c>
      <c r="B37" s="1" t="s">
        <v>271</v>
      </c>
      <c r="C37" s="1">
        <v>-34.5</v>
      </c>
      <c r="D37" s="1">
        <v>484662</v>
      </c>
      <c r="E37" s="1">
        <v>5956140</v>
      </c>
      <c r="F37" s="1">
        <v>0</v>
      </c>
      <c r="G37" s="1">
        <v>-0.6</v>
      </c>
      <c r="H37" s="1">
        <v>0</v>
      </c>
      <c r="I37" s="1">
        <v>2</v>
      </c>
      <c r="J37" s="1">
        <v>0</v>
      </c>
      <c r="K37" s="1">
        <v>-63.6</v>
      </c>
      <c r="L37" s="1">
        <v>29.1</v>
      </c>
      <c r="M37" s="1">
        <v>1593.9269999999999</v>
      </c>
      <c r="N37" s="1">
        <v>89</v>
      </c>
      <c r="O37" s="1">
        <v>8</v>
      </c>
      <c r="P37" s="1">
        <v>10</v>
      </c>
      <c r="Q37" s="1">
        <v>2.85</v>
      </c>
      <c r="R37" s="1">
        <v>68</v>
      </c>
      <c r="S37" s="1">
        <v>110</v>
      </c>
      <c r="T37" s="1">
        <v>147</v>
      </c>
      <c r="U37" s="1">
        <v>1358.0229999999999</v>
      </c>
      <c r="V37" s="1">
        <v>459.28800000000001</v>
      </c>
      <c r="W37" s="1">
        <v>752.85199999999998</v>
      </c>
      <c r="X37" s="1">
        <v>132.18100000000001</v>
      </c>
      <c r="Y37" s="1">
        <v>4.9400000000000004</v>
      </c>
      <c r="Z37" s="1">
        <v>8.0150000000000006</v>
      </c>
      <c r="AA37" s="1">
        <v>21.7</v>
      </c>
      <c r="AB37" s="1">
        <v>290.5</v>
      </c>
      <c r="AC37" s="1">
        <v>12523</v>
      </c>
      <c r="AD37" s="1">
        <v>3155</v>
      </c>
      <c r="AE37" s="1">
        <v>268</v>
      </c>
      <c r="AF37" s="1">
        <v>15</v>
      </c>
      <c r="AG37" s="1">
        <v>15</v>
      </c>
      <c r="AH37" s="1">
        <v>34.4</v>
      </c>
      <c r="AI37" s="1">
        <v>52.4</v>
      </c>
      <c r="AJ37" s="1">
        <v>13.3</v>
      </c>
      <c r="AK37" s="1">
        <v>80.7</v>
      </c>
      <c r="AL37" s="1">
        <v>31.9</v>
      </c>
      <c r="AM37" s="1">
        <v>8</v>
      </c>
      <c r="AN37" s="1">
        <v>0</v>
      </c>
      <c r="AO37" s="1">
        <v>0</v>
      </c>
      <c r="AP37" s="1" t="s">
        <v>266</v>
      </c>
      <c r="AQ37" s="1" t="s">
        <v>267</v>
      </c>
      <c r="AR37" s="1" t="s">
        <v>268</v>
      </c>
    </row>
    <row r="38" spans="1:44" x14ac:dyDescent="0.2">
      <c r="A38" s="1" t="s">
        <v>25</v>
      </c>
      <c r="B38" s="1" t="s">
        <v>265</v>
      </c>
      <c r="C38" s="1">
        <v>-36.9</v>
      </c>
      <c r="D38" s="1">
        <v>483697.2</v>
      </c>
      <c r="E38" s="1">
        <v>5960783.0999999996</v>
      </c>
      <c r="F38" s="1">
        <v>0</v>
      </c>
      <c r="G38" s="1">
        <v>-0.6</v>
      </c>
      <c r="H38" s="1">
        <v>0</v>
      </c>
      <c r="I38" s="1">
        <v>2</v>
      </c>
      <c r="J38" s="1">
        <v>0</v>
      </c>
      <c r="K38" s="1">
        <v>-66.7</v>
      </c>
      <c r="L38" s="1">
        <v>29.8</v>
      </c>
      <c r="M38" s="1">
        <v>1742.712</v>
      </c>
      <c r="N38" s="1">
        <v>92.1</v>
      </c>
      <c r="O38" s="1">
        <v>8</v>
      </c>
      <c r="P38" s="1">
        <v>10</v>
      </c>
      <c r="Q38" s="1">
        <v>2.92</v>
      </c>
      <c r="R38" s="1">
        <v>68</v>
      </c>
      <c r="S38" s="1">
        <v>110</v>
      </c>
      <c r="T38" s="1">
        <v>147</v>
      </c>
      <c r="U38" s="1">
        <v>1357.4570000000001</v>
      </c>
      <c r="V38" s="1">
        <v>483.66699999999997</v>
      </c>
      <c r="W38" s="1">
        <v>752.85199999999998</v>
      </c>
      <c r="X38" s="1">
        <v>132.18100000000001</v>
      </c>
      <c r="Y38" s="1">
        <v>4.9400000000000004</v>
      </c>
      <c r="Z38" s="1">
        <v>8.0150000000000006</v>
      </c>
      <c r="AA38" s="1">
        <v>21.7</v>
      </c>
      <c r="AB38" s="1">
        <v>290.5</v>
      </c>
      <c r="AC38" s="1">
        <v>12714</v>
      </c>
      <c r="AD38" s="1">
        <v>3303</v>
      </c>
      <c r="AE38" s="1">
        <v>268</v>
      </c>
      <c r="AF38" s="1">
        <v>15</v>
      </c>
      <c r="AG38" s="1">
        <v>15</v>
      </c>
      <c r="AH38" s="1">
        <v>31.4</v>
      </c>
      <c r="AI38" s="1">
        <v>56.3</v>
      </c>
      <c r="AJ38" s="1">
        <v>12.2</v>
      </c>
      <c r="AK38" s="1">
        <v>84.7</v>
      </c>
      <c r="AL38" s="1">
        <v>31.9</v>
      </c>
      <c r="AM38" s="1">
        <v>8</v>
      </c>
      <c r="AN38" s="1">
        <v>0</v>
      </c>
      <c r="AO38" s="1">
        <v>0</v>
      </c>
      <c r="AP38" s="1" t="s">
        <v>266</v>
      </c>
      <c r="AQ38" s="1" t="s">
        <v>267</v>
      </c>
      <c r="AR38" s="1" t="s">
        <v>268</v>
      </c>
    </row>
    <row r="39" spans="1:44" x14ac:dyDescent="0.2">
      <c r="A39" s="1" t="s">
        <v>29</v>
      </c>
      <c r="B39" s="1" t="s">
        <v>265</v>
      </c>
      <c r="C39" s="1">
        <v>-34.4</v>
      </c>
      <c r="D39" s="1">
        <v>482774.7</v>
      </c>
      <c r="E39" s="1">
        <v>5965224.7999999998</v>
      </c>
      <c r="F39" s="1">
        <v>0</v>
      </c>
      <c r="G39" s="1">
        <v>-0.7</v>
      </c>
      <c r="H39" s="1">
        <v>0</v>
      </c>
      <c r="I39" s="1">
        <v>2</v>
      </c>
      <c r="J39" s="1">
        <v>0</v>
      </c>
      <c r="K39" s="1">
        <v>-66.599999999999994</v>
      </c>
      <c r="L39" s="1">
        <v>32.200000000000003</v>
      </c>
      <c r="M39" s="1">
        <v>1672.625</v>
      </c>
      <c r="N39" s="1">
        <v>92</v>
      </c>
      <c r="O39" s="1">
        <v>8</v>
      </c>
      <c r="P39" s="1">
        <v>10</v>
      </c>
      <c r="Q39" s="1">
        <v>3.15</v>
      </c>
      <c r="R39" s="1">
        <v>68</v>
      </c>
      <c r="S39" s="1">
        <v>110</v>
      </c>
      <c r="T39" s="1">
        <v>147</v>
      </c>
      <c r="U39" s="1">
        <v>1357.8589999999999</v>
      </c>
      <c r="V39" s="1">
        <v>609.04200000000003</v>
      </c>
      <c r="W39" s="1">
        <v>752.85199999999998</v>
      </c>
      <c r="X39" s="1">
        <v>132.18100000000001</v>
      </c>
      <c r="Y39" s="1">
        <v>4.9400000000000004</v>
      </c>
      <c r="Z39" s="1">
        <v>8.0150000000000006</v>
      </c>
      <c r="AA39" s="1">
        <v>21.7</v>
      </c>
      <c r="AB39" s="1">
        <v>290.5</v>
      </c>
      <c r="AC39" s="1">
        <v>12710</v>
      </c>
      <c r="AD39" s="1">
        <v>3148</v>
      </c>
      <c r="AE39" s="1">
        <v>268</v>
      </c>
      <c r="AF39" s="1">
        <v>17</v>
      </c>
      <c r="AG39" s="1">
        <v>17</v>
      </c>
      <c r="AH39" s="1">
        <v>32.799999999999997</v>
      </c>
      <c r="AI39" s="1">
        <v>54.3</v>
      </c>
      <c r="AJ39" s="1">
        <v>12.9</v>
      </c>
      <c r="AK39" s="1">
        <v>81.599999999999994</v>
      </c>
      <c r="AL39" s="1">
        <v>31.9</v>
      </c>
      <c r="AM39" s="1">
        <v>8</v>
      </c>
      <c r="AN39" s="1">
        <v>0</v>
      </c>
      <c r="AO39" s="1">
        <v>0</v>
      </c>
      <c r="AP39" s="1" t="s">
        <v>266</v>
      </c>
      <c r="AQ39" s="1" t="s">
        <v>267</v>
      </c>
      <c r="AR39" s="1" t="s">
        <v>268</v>
      </c>
    </row>
    <row r="40" spans="1:44" x14ac:dyDescent="0.2">
      <c r="A40" s="1" t="s">
        <v>11</v>
      </c>
      <c r="B40" s="1" t="s">
        <v>271</v>
      </c>
      <c r="C40" s="1">
        <v>-30.9</v>
      </c>
      <c r="D40" s="1">
        <v>481884</v>
      </c>
      <c r="E40" s="1">
        <v>5969460</v>
      </c>
      <c r="F40" s="1">
        <v>0</v>
      </c>
      <c r="G40" s="1">
        <v>-0.6</v>
      </c>
      <c r="H40" s="1">
        <v>0</v>
      </c>
      <c r="I40" s="1">
        <v>2</v>
      </c>
      <c r="J40" s="1">
        <v>0</v>
      </c>
      <c r="K40" s="1">
        <v>-59.3</v>
      </c>
      <c r="L40" s="1">
        <v>28.4</v>
      </c>
      <c r="M40" s="1">
        <v>1517.1890000000001</v>
      </c>
      <c r="N40" s="1">
        <v>84.7</v>
      </c>
      <c r="O40" s="1">
        <v>8</v>
      </c>
      <c r="P40" s="1">
        <v>10</v>
      </c>
      <c r="Q40" s="1">
        <v>2.78</v>
      </c>
      <c r="R40" s="1">
        <v>64</v>
      </c>
      <c r="S40" s="1">
        <v>110</v>
      </c>
      <c r="T40" s="1">
        <v>147</v>
      </c>
      <c r="U40" s="1">
        <v>1358.06</v>
      </c>
      <c r="V40" s="1">
        <v>399.46</v>
      </c>
      <c r="W40" s="1">
        <v>752.85199999999998</v>
      </c>
      <c r="X40" s="1">
        <v>132.18100000000001</v>
      </c>
      <c r="Y40" s="1">
        <v>4.9400000000000004</v>
      </c>
      <c r="Z40" s="1">
        <v>8.0150000000000006</v>
      </c>
      <c r="AA40" s="1">
        <v>21.7</v>
      </c>
      <c r="AB40" s="1">
        <v>290.5</v>
      </c>
      <c r="AC40" s="1">
        <v>12255</v>
      </c>
      <c r="AD40" s="1">
        <v>2932</v>
      </c>
      <c r="AE40" s="1">
        <v>268</v>
      </c>
      <c r="AF40" s="1">
        <v>15</v>
      </c>
      <c r="AG40" s="1">
        <v>15</v>
      </c>
      <c r="AH40" s="1">
        <v>35.200000000000003</v>
      </c>
      <c r="AI40" s="1">
        <v>53</v>
      </c>
      <c r="AJ40" s="1">
        <v>11.8</v>
      </c>
      <c r="AK40" s="1">
        <v>80.7</v>
      </c>
      <c r="AL40" s="1">
        <v>31.9</v>
      </c>
      <c r="AM40" s="1">
        <v>8</v>
      </c>
      <c r="AN40" s="1">
        <v>0</v>
      </c>
      <c r="AO40" s="1">
        <v>0</v>
      </c>
      <c r="AP40" s="1" t="s">
        <v>266</v>
      </c>
      <c r="AQ40" s="1" t="s">
        <v>267</v>
      </c>
      <c r="AR40" s="1" t="s">
        <v>268</v>
      </c>
    </row>
    <row r="41" spans="1:44" x14ac:dyDescent="0.2">
      <c r="A41" s="1" t="s">
        <v>79</v>
      </c>
      <c r="B41" s="1" t="s">
        <v>265</v>
      </c>
      <c r="C41" s="1">
        <v>-33.299999999999997</v>
      </c>
      <c r="D41" s="1">
        <v>459408</v>
      </c>
      <c r="E41" s="1">
        <v>5963900</v>
      </c>
      <c r="F41" s="1">
        <v>0</v>
      </c>
      <c r="G41" s="1">
        <v>-0.6</v>
      </c>
      <c r="H41" s="1">
        <v>0</v>
      </c>
      <c r="I41" s="1">
        <v>2</v>
      </c>
      <c r="J41" s="1">
        <v>0</v>
      </c>
      <c r="K41" s="1">
        <v>-64</v>
      </c>
      <c r="L41" s="1">
        <v>30.7</v>
      </c>
      <c r="M41" s="1">
        <v>1611.4169999999999</v>
      </c>
      <c r="N41" s="1">
        <v>89.4</v>
      </c>
      <c r="O41" s="1">
        <v>8</v>
      </c>
      <c r="P41" s="1">
        <v>10</v>
      </c>
      <c r="Q41" s="1">
        <v>3.01</v>
      </c>
      <c r="R41" s="1">
        <v>68</v>
      </c>
      <c r="S41" s="1">
        <v>110</v>
      </c>
      <c r="T41" s="1">
        <v>147</v>
      </c>
      <c r="U41" s="1">
        <v>1357.9469999999999</v>
      </c>
      <c r="V41" s="1">
        <v>490.17599999999999</v>
      </c>
      <c r="W41" s="1">
        <v>752.85199999999998</v>
      </c>
      <c r="X41" s="1">
        <v>132.18100000000001</v>
      </c>
      <c r="Y41" s="1">
        <v>4.9400000000000004</v>
      </c>
      <c r="Z41" s="1">
        <v>8.0150000000000006</v>
      </c>
      <c r="AA41" s="1">
        <v>21.7</v>
      </c>
      <c r="AB41" s="1">
        <v>290.5</v>
      </c>
      <c r="AC41" s="1">
        <v>12548</v>
      </c>
      <c r="AD41" s="1">
        <v>3080</v>
      </c>
      <c r="AE41" s="1">
        <v>268</v>
      </c>
      <c r="AF41" s="1">
        <v>17</v>
      </c>
      <c r="AG41" s="1">
        <v>17</v>
      </c>
      <c r="AH41" s="1">
        <v>34.1</v>
      </c>
      <c r="AI41" s="1">
        <v>52.4</v>
      </c>
      <c r="AJ41" s="1">
        <v>13.6</v>
      </c>
      <c r="AK41" s="1">
        <v>81.2</v>
      </c>
      <c r="AL41" s="1">
        <v>31.9</v>
      </c>
      <c r="AM41" s="1">
        <v>8</v>
      </c>
      <c r="AN41" s="1">
        <v>0</v>
      </c>
      <c r="AO41" s="1">
        <v>0</v>
      </c>
      <c r="AP41" s="1" t="s">
        <v>266</v>
      </c>
      <c r="AQ41" s="1" t="s">
        <v>267</v>
      </c>
      <c r="AR41" s="1" t="s">
        <v>268</v>
      </c>
    </row>
    <row r="42" spans="1:44" x14ac:dyDescent="0.2">
      <c r="A42" s="1" t="s">
        <v>110</v>
      </c>
      <c r="B42" s="1" t="s">
        <v>265</v>
      </c>
      <c r="C42" s="1">
        <v>-34.4</v>
      </c>
      <c r="D42" s="1">
        <v>461577.5</v>
      </c>
      <c r="E42" s="1">
        <v>5963523</v>
      </c>
      <c r="F42" s="1">
        <v>0</v>
      </c>
      <c r="G42" s="1">
        <v>-0.6</v>
      </c>
      <c r="H42" s="1">
        <v>0</v>
      </c>
      <c r="I42" s="1">
        <v>2</v>
      </c>
      <c r="J42" s="1">
        <v>0</v>
      </c>
      <c r="K42" s="1">
        <v>-62</v>
      </c>
      <c r="L42" s="1">
        <v>27.6</v>
      </c>
      <c r="M42" s="1">
        <v>1558.5940000000001</v>
      </c>
      <c r="N42" s="1">
        <v>87.4</v>
      </c>
      <c r="O42" s="1">
        <v>8</v>
      </c>
      <c r="P42" s="1">
        <v>10</v>
      </c>
      <c r="Q42" s="1">
        <v>2.7</v>
      </c>
      <c r="R42" s="1">
        <v>68</v>
      </c>
      <c r="S42" s="1">
        <v>110</v>
      </c>
      <c r="T42" s="1">
        <v>147</v>
      </c>
      <c r="U42" s="1">
        <v>1295.693</v>
      </c>
      <c r="V42" s="1">
        <v>521.67999999999995</v>
      </c>
      <c r="W42" s="1">
        <v>752.85199999999998</v>
      </c>
      <c r="X42" s="1">
        <v>132.18100000000001</v>
      </c>
      <c r="Y42" s="1">
        <v>4.9400000000000004</v>
      </c>
      <c r="Z42" s="1">
        <v>8.0150000000000006</v>
      </c>
      <c r="AA42" s="1">
        <v>21.7</v>
      </c>
      <c r="AB42" s="1">
        <v>290.5</v>
      </c>
      <c r="AC42" s="1">
        <v>12424</v>
      </c>
      <c r="AD42" s="1">
        <v>3149</v>
      </c>
      <c r="AE42" s="1">
        <v>268</v>
      </c>
      <c r="AF42" s="1">
        <v>15</v>
      </c>
      <c r="AG42" s="1">
        <v>15</v>
      </c>
      <c r="AH42" s="1">
        <v>35</v>
      </c>
      <c r="AI42" s="1">
        <v>51.6</v>
      </c>
      <c r="AJ42" s="1">
        <v>13.4</v>
      </c>
      <c r="AK42" s="1">
        <v>80.5</v>
      </c>
      <c r="AL42" s="1">
        <v>31.9</v>
      </c>
      <c r="AM42" s="1">
        <v>8</v>
      </c>
      <c r="AN42" s="1">
        <v>0</v>
      </c>
      <c r="AO42" s="1">
        <v>0</v>
      </c>
      <c r="AP42" s="1" t="s">
        <v>266</v>
      </c>
      <c r="AQ42" s="1" t="s">
        <v>267</v>
      </c>
      <c r="AR42" s="1" t="s">
        <v>268</v>
      </c>
    </row>
    <row r="43" spans="1:44" x14ac:dyDescent="0.2">
      <c r="A43" s="1" t="s">
        <v>112</v>
      </c>
      <c r="B43" s="1" t="s">
        <v>265</v>
      </c>
      <c r="C43" s="1">
        <v>-32.799999999999997</v>
      </c>
      <c r="D43" s="1">
        <v>464508.1</v>
      </c>
      <c r="E43" s="1">
        <v>5962000.0999999996</v>
      </c>
      <c r="F43" s="1">
        <v>0</v>
      </c>
      <c r="G43" s="1">
        <v>-0.6</v>
      </c>
      <c r="H43" s="1">
        <v>0</v>
      </c>
      <c r="I43" s="1">
        <v>2</v>
      </c>
      <c r="J43" s="1">
        <v>0</v>
      </c>
      <c r="K43" s="1">
        <v>-62.2</v>
      </c>
      <c r="L43" s="1">
        <v>29.4</v>
      </c>
      <c r="M43" s="1">
        <v>1547.806</v>
      </c>
      <c r="N43" s="1">
        <v>87.6</v>
      </c>
      <c r="O43" s="1">
        <v>8</v>
      </c>
      <c r="P43" s="1">
        <v>10</v>
      </c>
      <c r="Q43" s="1">
        <v>2.88</v>
      </c>
      <c r="R43" s="1">
        <v>68</v>
      </c>
      <c r="S43" s="1">
        <v>110</v>
      </c>
      <c r="T43" s="1">
        <v>147</v>
      </c>
      <c r="U43" s="1">
        <v>1295.7940000000001</v>
      </c>
      <c r="V43" s="1">
        <v>459.351</v>
      </c>
      <c r="W43" s="1">
        <v>752.85199999999998</v>
      </c>
      <c r="X43" s="1">
        <v>132.18100000000001</v>
      </c>
      <c r="Y43" s="1">
        <v>4.9400000000000004</v>
      </c>
      <c r="Z43" s="1">
        <v>8.0150000000000006</v>
      </c>
      <c r="AA43" s="1">
        <v>21.7</v>
      </c>
      <c r="AB43" s="1">
        <v>290.5</v>
      </c>
      <c r="AC43" s="1">
        <v>12437</v>
      </c>
      <c r="AD43" s="1">
        <v>3050</v>
      </c>
      <c r="AE43" s="1">
        <v>268</v>
      </c>
      <c r="AF43" s="1">
        <v>15</v>
      </c>
      <c r="AG43" s="1">
        <v>15</v>
      </c>
      <c r="AH43" s="1">
        <v>35.200000000000003</v>
      </c>
      <c r="AI43" s="1">
        <v>51.6</v>
      </c>
      <c r="AJ43" s="1">
        <v>13.3</v>
      </c>
      <c r="AK43" s="1">
        <v>79.8</v>
      </c>
      <c r="AL43" s="1">
        <v>31.9</v>
      </c>
      <c r="AM43" s="1">
        <v>8</v>
      </c>
      <c r="AN43" s="1">
        <v>0</v>
      </c>
      <c r="AO43" s="1">
        <v>0</v>
      </c>
      <c r="AP43" s="1" t="s">
        <v>266</v>
      </c>
      <c r="AQ43" s="1" t="s">
        <v>267</v>
      </c>
      <c r="AR43" s="1" t="s">
        <v>268</v>
      </c>
    </row>
    <row r="44" spans="1:44" x14ac:dyDescent="0.2">
      <c r="A44" s="1" t="s">
        <v>155</v>
      </c>
      <c r="B44" s="1" t="s">
        <v>265</v>
      </c>
      <c r="C44" s="1">
        <v>-29.4</v>
      </c>
      <c r="D44" s="1">
        <v>467528.6</v>
      </c>
      <c r="E44" s="1">
        <v>5960419.7000000002</v>
      </c>
      <c r="F44" s="1">
        <v>0</v>
      </c>
      <c r="G44" s="1">
        <v>-0.6</v>
      </c>
      <c r="H44" s="1">
        <v>0</v>
      </c>
      <c r="I44" s="1">
        <v>2</v>
      </c>
      <c r="J44" s="1">
        <v>0</v>
      </c>
      <c r="K44" s="1">
        <v>-58.6</v>
      </c>
      <c r="L44" s="1">
        <v>29.2</v>
      </c>
      <c r="M44" s="1">
        <v>1432.7070000000001</v>
      </c>
      <c r="N44" s="1">
        <v>84</v>
      </c>
      <c r="O44" s="1">
        <v>8</v>
      </c>
      <c r="P44" s="1">
        <v>10</v>
      </c>
      <c r="Q44" s="1">
        <v>2.86</v>
      </c>
      <c r="R44" s="1">
        <v>64</v>
      </c>
      <c r="S44" s="1">
        <v>110</v>
      </c>
      <c r="T44" s="1">
        <v>147</v>
      </c>
      <c r="U44" s="1">
        <v>1233.8040000000001</v>
      </c>
      <c r="V44" s="1">
        <v>430.87599999999998</v>
      </c>
      <c r="W44" s="1">
        <v>752.85199999999998</v>
      </c>
      <c r="X44" s="1">
        <v>132.18100000000001</v>
      </c>
      <c r="Y44" s="1">
        <v>4.9400000000000004</v>
      </c>
      <c r="Z44" s="1">
        <v>8.0150000000000006</v>
      </c>
      <c r="AA44" s="1">
        <v>21.7</v>
      </c>
      <c r="AB44" s="1">
        <v>290.5</v>
      </c>
      <c r="AC44" s="1">
        <v>12214</v>
      </c>
      <c r="AD44" s="1">
        <v>2839</v>
      </c>
      <c r="AE44" s="1">
        <v>268</v>
      </c>
      <c r="AF44" s="1">
        <v>15</v>
      </c>
      <c r="AG44" s="1">
        <v>15</v>
      </c>
      <c r="AH44" s="1">
        <v>37.200000000000003</v>
      </c>
      <c r="AI44" s="1">
        <v>50.2</v>
      </c>
      <c r="AJ44" s="1">
        <v>12.5</v>
      </c>
      <c r="AK44" s="1">
        <v>77.3</v>
      </c>
      <c r="AL44" s="1">
        <v>31.9</v>
      </c>
      <c r="AM44" s="1">
        <v>8</v>
      </c>
      <c r="AN44" s="1">
        <v>0</v>
      </c>
      <c r="AO44" s="1">
        <v>0</v>
      </c>
      <c r="AP44" s="1" t="s">
        <v>266</v>
      </c>
      <c r="AQ44" s="1" t="s">
        <v>267</v>
      </c>
      <c r="AR44" s="1" t="s">
        <v>268</v>
      </c>
    </row>
    <row r="45" spans="1:44" x14ac:dyDescent="0.2">
      <c r="A45" s="1" t="s">
        <v>22</v>
      </c>
      <c r="B45" s="1" t="s">
        <v>265</v>
      </c>
      <c r="C45" s="1">
        <v>-37.4</v>
      </c>
      <c r="D45" s="1">
        <v>483031.5</v>
      </c>
      <c r="E45" s="1">
        <v>5952290.2999999998</v>
      </c>
      <c r="F45" s="1">
        <v>0</v>
      </c>
      <c r="G45" s="1">
        <v>-0.6</v>
      </c>
      <c r="H45" s="1">
        <v>0</v>
      </c>
      <c r="I45" s="1">
        <v>2</v>
      </c>
      <c r="J45" s="1">
        <v>0</v>
      </c>
      <c r="K45" s="1">
        <v>-68.2</v>
      </c>
      <c r="L45" s="1">
        <v>30.8</v>
      </c>
      <c r="M45" s="1">
        <v>1764.319</v>
      </c>
      <c r="N45" s="1">
        <v>93.6</v>
      </c>
      <c r="O45" s="1">
        <v>8</v>
      </c>
      <c r="P45" s="1">
        <v>10</v>
      </c>
      <c r="Q45" s="1">
        <v>3.02</v>
      </c>
      <c r="R45" s="1">
        <v>68</v>
      </c>
      <c r="S45" s="1">
        <v>110</v>
      </c>
      <c r="T45" s="1">
        <v>147</v>
      </c>
      <c r="U45" s="1">
        <v>1419.8489999999999</v>
      </c>
      <c r="V45" s="1">
        <v>489.52300000000002</v>
      </c>
      <c r="W45" s="1">
        <v>752.85199999999998</v>
      </c>
      <c r="X45" s="1">
        <v>132.18100000000001</v>
      </c>
      <c r="Y45" s="1">
        <v>4.9400000000000004</v>
      </c>
      <c r="Z45" s="1">
        <v>8.0150000000000006</v>
      </c>
      <c r="AA45" s="1">
        <v>21.7</v>
      </c>
      <c r="AB45" s="1">
        <v>290.5</v>
      </c>
      <c r="AC45" s="1">
        <v>12808</v>
      </c>
      <c r="AD45" s="1">
        <v>3334</v>
      </c>
      <c r="AE45" s="1">
        <v>268</v>
      </c>
      <c r="AF45" s="1">
        <v>17</v>
      </c>
      <c r="AG45" s="1">
        <v>17</v>
      </c>
      <c r="AH45" s="1">
        <v>31</v>
      </c>
      <c r="AI45" s="1">
        <v>56.9</v>
      </c>
      <c r="AJ45" s="1">
        <v>12.1</v>
      </c>
      <c r="AK45" s="1">
        <v>84.2</v>
      </c>
      <c r="AL45" s="1">
        <v>31.9</v>
      </c>
      <c r="AM45" s="1">
        <v>8</v>
      </c>
      <c r="AN45" s="1">
        <v>0</v>
      </c>
      <c r="AO45" s="1">
        <v>0</v>
      </c>
      <c r="AP45" s="1" t="s">
        <v>266</v>
      </c>
      <c r="AQ45" s="1" t="s">
        <v>267</v>
      </c>
      <c r="AR45" s="1" t="s">
        <v>268</v>
      </c>
    </row>
    <row r="46" spans="1:44" x14ac:dyDescent="0.2">
      <c r="A46" s="1" t="s">
        <v>32</v>
      </c>
      <c r="B46" s="1" t="s">
        <v>265</v>
      </c>
      <c r="C46" s="1">
        <v>-35.700000000000003</v>
      </c>
      <c r="D46" s="1">
        <v>483981.9</v>
      </c>
      <c r="E46" s="1">
        <v>5954052.2999999998</v>
      </c>
      <c r="F46" s="1">
        <v>0</v>
      </c>
      <c r="G46" s="1">
        <v>-0.6</v>
      </c>
      <c r="H46" s="1">
        <v>0</v>
      </c>
      <c r="I46" s="1">
        <v>2</v>
      </c>
      <c r="J46" s="1">
        <v>0</v>
      </c>
      <c r="K46" s="1">
        <v>-66.900000000000006</v>
      </c>
      <c r="L46" s="1">
        <v>31.2</v>
      </c>
      <c r="M46" s="1">
        <v>1704.413</v>
      </c>
      <c r="N46" s="1">
        <v>92.3</v>
      </c>
      <c r="O46" s="1">
        <v>8</v>
      </c>
      <c r="P46" s="1">
        <v>10</v>
      </c>
      <c r="Q46" s="1">
        <v>3.06</v>
      </c>
      <c r="R46" s="1">
        <v>68</v>
      </c>
      <c r="S46" s="1">
        <v>110</v>
      </c>
      <c r="T46" s="1">
        <v>147</v>
      </c>
      <c r="U46" s="1">
        <v>1420.0630000000001</v>
      </c>
      <c r="V46" s="1">
        <v>421.96600000000001</v>
      </c>
      <c r="W46" s="1">
        <v>752.85199999999998</v>
      </c>
      <c r="X46" s="1">
        <v>132.18100000000001</v>
      </c>
      <c r="Y46" s="1">
        <v>4.9400000000000004</v>
      </c>
      <c r="Z46" s="1">
        <v>8.0150000000000006</v>
      </c>
      <c r="AA46" s="1">
        <v>21.7</v>
      </c>
      <c r="AB46" s="1">
        <v>290.5</v>
      </c>
      <c r="AC46" s="1">
        <v>12728</v>
      </c>
      <c r="AD46" s="1">
        <v>3229</v>
      </c>
      <c r="AE46" s="1">
        <v>268</v>
      </c>
      <c r="AF46" s="1">
        <v>17</v>
      </c>
      <c r="AG46" s="1">
        <v>17</v>
      </c>
      <c r="AH46" s="1">
        <v>32.200000000000003</v>
      </c>
      <c r="AI46" s="1">
        <v>55.1</v>
      </c>
      <c r="AJ46" s="1">
        <v>12.7</v>
      </c>
      <c r="AK46" s="1">
        <v>82.8</v>
      </c>
      <c r="AL46" s="1">
        <v>31.9</v>
      </c>
      <c r="AM46" s="1">
        <v>8</v>
      </c>
      <c r="AN46" s="1">
        <v>0</v>
      </c>
      <c r="AO46" s="1">
        <v>0</v>
      </c>
      <c r="AP46" s="1" t="s">
        <v>266</v>
      </c>
      <c r="AQ46" s="1" t="s">
        <v>267</v>
      </c>
      <c r="AR46" s="1" t="s">
        <v>268</v>
      </c>
    </row>
    <row r="47" spans="1:44" x14ac:dyDescent="0.2">
      <c r="A47" s="1" t="s">
        <v>101</v>
      </c>
      <c r="B47" s="1" t="s">
        <v>265</v>
      </c>
      <c r="C47" s="1">
        <v>-34.200000000000003</v>
      </c>
      <c r="D47" s="1">
        <v>483871</v>
      </c>
      <c r="E47" s="1">
        <v>5957410</v>
      </c>
      <c r="F47" s="1">
        <v>0</v>
      </c>
      <c r="G47" s="1">
        <v>-0.6</v>
      </c>
      <c r="H47" s="1">
        <v>0</v>
      </c>
      <c r="I47" s="1">
        <v>2</v>
      </c>
      <c r="J47" s="1">
        <v>0</v>
      </c>
      <c r="K47" s="1">
        <v>-62.5</v>
      </c>
      <c r="L47" s="1">
        <v>28.3</v>
      </c>
      <c r="M47" s="1">
        <v>1565.038</v>
      </c>
      <c r="N47" s="1">
        <v>87.9</v>
      </c>
      <c r="O47" s="1">
        <v>8</v>
      </c>
      <c r="P47" s="1">
        <v>10</v>
      </c>
      <c r="Q47" s="1">
        <v>2.77</v>
      </c>
      <c r="R47" s="1">
        <v>68</v>
      </c>
      <c r="S47" s="1">
        <v>110</v>
      </c>
      <c r="T47" s="1">
        <v>147</v>
      </c>
      <c r="U47" s="1">
        <v>1295.7180000000001</v>
      </c>
      <c r="V47" s="1">
        <v>542.25099999999998</v>
      </c>
      <c r="W47" s="1">
        <v>752.85199999999998</v>
      </c>
      <c r="X47" s="1">
        <v>132.18100000000001</v>
      </c>
      <c r="Y47" s="1">
        <v>4.9400000000000004</v>
      </c>
      <c r="Z47" s="1">
        <v>8.0150000000000006</v>
      </c>
      <c r="AA47" s="1">
        <v>21.7</v>
      </c>
      <c r="AB47" s="1">
        <v>290.5</v>
      </c>
      <c r="AC47" s="1">
        <v>12455</v>
      </c>
      <c r="AD47" s="1">
        <v>3137</v>
      </c>
      <c r="AE47" s="1">
        <v>268</v>
      </c>
      <c r="AF47" s="1">
        <v>15</v>
      </c>
      <c r="AG47" s="1">
        <v>15</v>
      </c>
      <c r="AH47" s="1">
        <v>34.9</v>
      </c>
      <c r="AI47" s="1">
        <v>51.9</v>
      </c>
      <c r="AJ47" s="1">
        <v>13.2</v>
      </c>
      <c r="AK47" s="1">
        <v>80.3</v>
      </c>
      <c r="AL47" s="1">
        <v>31.9</v>
      </c>
      <c r="AM47" s="1">
        <v>8</v>
      </c>
      <c r="AN47" s="1">
        <v>0</v>
      </c>
      <c r="AO47" s="1">
        <v>0</v>
      </c>
      <c r="AP47" s="1" t="s">
        <v>266</v>
      </c>
      <c r="AQ47" s="1" t="s">
        <v>267</v>
      </c>
      <c r="AR47" s="1" t="s">
        <v>268</v>
      </c>
    </row>
    <row r="48" spans="1:44" x14ac:dyDescent="0.2">
      <c r="A48" s="1" t="s">
        <v>192</v>
      </c>
      <c r="B48" s="1" t="s">
        <v>271</v>
      </c>
      <c r="C48" s="1">
        <v>-48.7</v>
      </c>
      <c r="D48" s="1">
        <v>483074</v>
      </c>
      <c r="E48" s="1">
        <v>5961784</v>
      </c>
      <c r="F48" s="1">
        <v>0</v>
      </c>
      <c r="G48" s="1">
        <v>-0.7</v>
      </c>
      <c r="H48" s="1">
        <v>0</v>
      </c>
      <c r="I48" s="1">
        <v>2</v>
      </c>
      <c r="J48" s="1">
        <v>0</v>
      </c>
      <c r="K48" s="1">
        <v>-80.5</v>
      </c>
      <c r="L48" s="1">
        <v>31.8</v>
      </c>
      <c r="M48" s="1">
        <v>2316.0819999999999</v>
      </c>
      <c r="N48" s="1">
        <v>105.9</v>
      </c>
      <c r="O48" s="1">
        <v>8</v>
      </c>
      <c r="P48" s="1">
        <v>11</v>
      </c>
      <c r="Q48" s="1">
        <v>2.8273000000000001</v>
      </c>
      <c r="R48" s="1">
        <v>70</v>
      </c>
      <c r="S48" s="1">
        <v>117</v>
      </c>
      <c r="T48" s="1">
        <v>149</v>
      </c>
      <c r="U48" s="1">
        <v>1711.489</v>
      </c>
      <c r="V48" s="1">
        <v>335.19499999999999</v>
      </c>
      <c r="W48" s="1">
        <v>752.85199999999998</v>
      </c>
      <c r="X48" s="1">
        <v>132.18100000000001</v>
      </c>
      <c r="Y48" s="1">
        <v>4.9400000000000004</v>
      </c>
      <c r="Z48" s="1">
        <v>8.0150000000000006</v>
      </c>
      <c r="AA48" s="1">
        <v>21.7</v>
      </c>
      <c r="AB48" s="1">
        <v>290.5</v>
      </c>
      <c r="AC48" s="1">
        <v>13946</v>
      </c>
      <c r="AD48" s="1">
        <v>4229</v>
      </c>
      <c r="AE48" s="1">
        <v>268</v>
      </c>
      <c r="AF48" s="1">
        <v>17</v>
      </c>
      <c r="AG48" s="1">
        <v>17</v>
      </c>
      <c r="AH48" s="1">
        <v>25.3</v>
      </c>
      <c r="AI48" s="1">
        <v>60.8</v>
      </c>
      <c r="AJ48" s="1">
        <v>13.8</v>
      </c>
      <c r="AK48" s="1">
        <v>91</v>
      </c>
      <c r="AL48" s="1">
        <v>31.9</v>
      </c>
      <c r="AM48" s="1">
        <v>8</v>
      </c>
      <c r="AN48" s="1">
        <v>0</v>
      </c>
      <c r="AO48" s="1">
        <v>0</v>
      </c>
      <c r="AP48" s="1" t="s">
        <v>270</v>
      </c>
      <c r="AQ48" s="1" t="s">
        <v>267</v>
      </c>
      <c r="AR48" s="1" t="s">
        <v>268</v>
      </c>
    </row>
    <row r="49" spans="1:44" x14ac:dyDescent="0.2">
      <c r="A49" s="1" t="s">
        <v>130</v>
      </c>
      <c r="B49" s="1" t="s">
        <v>271</v>
      </c>
      <c r="C49" s="1">
        <v>-31.9</v>
      </c>
      <c r="D49" s="1">
        <v>481864.2</v>
      </c>
      <c r="E49" s="1">
        <v>5966688</v>
      </c>
      <c r="F49" s="1">
        <v>0</v>
      </c>
      <c r="G49" s="1">
        <v>-0.6</v>
      </c>
      <c r="H49" s="1">
        <v>0</v>
      </c>
      <c r="I49" s="1">
        <v>2</v>
      </c>
      <c r="J49" s="1">
        <v>0</v>
      </c>
      <c r="K49" s="1">
        <v>-60.7</v>
      </c>
      <c r="L49" s="1">
        <v>28.8</v>
      </c>
      <c r="M49" s="1">
        <v>1486.3489999999999</v>
      </c>
      <c r="N49" s="1">
        <v>86.1</v>
      </c>
      <c r="O49" s="1">
        <v>8</v>
      </c>
      <c r="P49" s="1">
        <v>10</v>
      </c>
      <c r="Q49" s="1">
        <v>2.82</v>
      </c>
      <c r="R49" s="1">
        <v>68</v>
      </c>
      <c r="S49" s="1">
        <v>110</v>
      </c>
      <c r="T49" s="1">
        <v>147</v>
      </c>
      <c r="U49" s="1">
        <v>1296.0329999999999</v>
      </c>
      <c r="V49" s="1">
        <v>555.572</v>
      </c>
      <c r="W49" s="1">
        <v>752.85199999999998</v>
      </c>
      <c r="X49" s="1">
        <v>132.18100000000001</v>
      </c>
      <c r="Y49" s="1">
        <v>4.9400000000000004</v>
      </c>
      <c r="Z49" s="1">
        <v>8.0150000000000006</v>
      </c>
      <c r="AA49" s="1">
        <v>21.7</v>
      </c>
      <c r="AB49" s="1">
        <v>290.5</v>
      </c>
      <c r="AC49" s="1">
        <v>12344</v>
      </c>
      <c r="AD49" s="1">
        <v>2994</v>
      </c>
      <c r="AE49" s="1">
        <v>268</v>
      </c>
      <c r="AF49" s="1">
        <v>15</v>
      </c>
      <c r="AG49" s="1">
        <v>15</v>
      </c>
      <c r="AH49" s="1">
        <v>36.299999999999997</v>
      </c>
      <c r="AI49" s="1">
        <v>50.5</v>
      </c>
      <c r="AJ49" s="1">
        <v>13.1</v>
      </c>
      <c r="AK49" s="1">
        <v>78.099999999999994</v>
      </c>
      <c r="AL49" s="1">
        <v>31.9</v>
      </c>
      <c r="AM49" s="1">
        <v>8</v>
      </c>
      <c r="AN49" s="1">
        <v>0</v>
      </c>
      <c r="AO49" s="1">
        <v>0</v>
      </c>
      <c r="AP49" s="1" t="s">
        <v>266</v>
      </c>
      <c r="AQ49" s="1" t="s">
        <v>267</v>
      </c>
      <c r="AR49" s="1" t="s">
        <v>268</v>
      </c>
    </row>
    <row r="50" spans="1:44" x14ac:dyDescent="0.2">
      <c r="A50" s="1" t="s">
        <v>92</v>
      </c>
      <c r="B50" s="1" t="s">
        <v>265</v>
      </c>
      <c r="C50" s="1">
        <v>-34.4</v>
      </c>
      <c r="D50" s="1">
        <v>480966.6</v>
      </c>
      <c r="E50" s="1">
        <v>5970941.2999999998</v>
      </c>
      <c r="F50" s="1">
        <v>0</v>
      </c>
      <c r="G50" s="1">
        <v>-0.7</v>
      </c>
      <c r="H50" s="1">
        <v>0</v>
      </c>
      <c r="I50" s="1">
        <v>2</v>
      </c>
      <c r="J50" s="1">
        <v>0</v>
      </c>
      <c r="K50" s="1">
        <v>-63.3</v>
      </c>
      <c r="L50" s="1">
        <v>28.9</v>
      </c>
      <c r="M50" s="1">
        <v>1604.5740000000001</v>
      </c>
      <c r="N50" s="1">
        <v>88.7</v>
      </c>
      <c r="O50" s="1">
        <v>8</v>
      </c>
      <c r="P50" s="1">
        <v>10</v>
      </c>
      <c r="Q50" s="1">
        <v>2.82</v>
      </c>
      <c r="R50" s="1">
        <v>68</v>
      </c>
      <c r="S50" s="1">
        <v>110</v>
      </c>
      <c r="T50" s="1">
        <v>147</v>
      </c>
      <c r="U50" s="1">
        <v>1295.5930000000001</v>
      </c>
      <c r="V50" s="1">
        <v>546.76300000000003</v>
      </c>
      <c r="W50" s="1">
        <v>752.85199999999998</v>
      </c>
      <c r="X50" s="1">
        <v>132.18100000000001</v>
      </c>
      <c r="Y50" s="1">
        <v>4.9400000000000004</v>
      </c>
      <c r="Z50" s="1">
        <v>8.0150000000000006</v>
      </c>
      <c r="AA50" s="1">
        <v>21.7</v>
      </c>
      <c r="AB50" s="1">
        <v>290.5</v>
      </c>
      <c r="AC50" s="1">
        <v>12504</v>
      </c>
      <c r="AD50" s="1">
        <v>3149</v>
      </c>
      <c r="AE50" s="1">
        <v>268</v>
      </c>
      <c r="AF50" s="1">
        <v>15</v>
      </c>
      <c r="AG50" s="1">
        <v>15</v>
      </c>
      <c r="AH50" s="1">
        <v>34.1</v>
      </c>
      <c r="AI50" s="1">
        <v>52.6</v>
      </c>
      <c r="AJ50" s="1">
        <v>13.3</v>
      </c>
      <c r="AK50" s="1">
        <v>81.5</v>
      </c>
      <c r="AL50" s="1">
        <v>31.9</v>
      </c>
      <c r="AM50" s="1">
        <v>8</v>
      </c>
      <c r="AN50" s="1">
        <v>0</v>
      </c>
      <c r="AO50" s="1">
        <v>0</v>
      </c>
      <c r="AP50" s="1" t="s">
        <v>266</v>
      </c>
      <c r="AQ50" s="1" t="s">
        <v>267</v>
      </c>
      <c r="AR50" s="1" t="s">
        <v>268</v>
      </c>
    </row>
    <row r="51" spans="1:44" x14ac:dyDescent="0.2">
      <c r="A51" s="1" t="s">
        <v>83</v>
      </c>
      <c r="B51" s="1" t="s">
        <v>269</v>
      </c>
      <c r="C51" s="1">
        <v>-35.700000000000003</v>
      </c>
      <c r="D51" s="1">
        <v>458281.5</v>
      </c>
      <c r="E51" s="1">
        <v>5965690.2000000002</v>
      </c>
      <c r="F51" s="1">
        <v>0</v>
      </c>
      <c r="G51" s="1">
        <v>-0.7</v>
      </c>
      <c r="H51" s="1">
        <v>0</v>
      </c>
      <c r="I51" s="1">
        <v>2</v>
      </c>
      <c r="J51" s="1">
        <v>0</v>
      </c>
      <c r="K51" s="1">
        <v>-63.2</v>
      </c>
      <c r="L51" s="1">
        <v>27.5</v>
      </c>
      <c r="M51" s="1">
        <v>1633.6990000000001</v>
      </c>
      <c r="N51" s="1">
        <v>88.6</v>
      </c>
      <c r="O51" s="1">
        <v>8</v>
      </c>
      <c r="P51" s="1">
        <v>10</v>
      </c>
      <c r="Q51" s="1">
        <v>2.68</v>
      </c>
      <c r="R51" s="1">
        <v>68</v>
      </c>
      <c r="S51" s="1">
        <v>110</v>
      </c>
      <c r="T51" s="1">
        <v>147</v>
      </c>
      <c r="U51" s="1">
        <v>1295.4169999999999</v>
      </c>
      <c r="V51" s="1">
        <v>490.12599999999998</v>
      </c>
      <c r="W51" s="1">
        <v>752.85199999999998</v>
      </c>
      <c r="X51" s="1">
        <v>132.18100000000001</v>
      </c>
      <c r="Y51" s="1">
        <v>4.9400000000000004</v>
      </c>
      <c r="Z51" s="1">
        <v>8.0150000000000006</v>
      </c>
      <c r="AA51" s="1">
        <v>21.7</v>
      </c>
      <c r="AB51" s="1">
        <v>290.5</v>
      </c>
      <c r="AC51" s="1">
        <v>12497</v>
      </c>
      <c r="AD51" s="1">
        <v>3229</v>
      </c>
      <c r="AE51" s="1">
        <v>268</v>
      </c>
      <c r="AF51" s="1">
        <v>15</v>
      </c>
      <c r="AG51" s="1">
        <v>15</v>
      </c>
      <c r="AH51" s="1">
        <v>33.6</v>
      </c>
      <c r="AI51" s="1">
        <v>53.1</v>
      </c>
      <c r="AJ51" s="1">
        <v>13.3</v>
      </c>
      <c r="AK51" s="1">
        <v>83</v>
      </c>
      <c r="AL51" s="1">
        <v>31.9</v>
      </c>
      <c r="AM51" s="1">
        <v>8</v>
      </c>
      <c r="AN51" s="1">
        <v>0</v>
      </c>
      <c r="AO51" s="1">
        <v>0</v>
      </c>
      <c r="AP51" s="1" t="s">
        <v>266</v>
      </c>
      <c r="AQ51" s="1" t="s">
        <v>267</v>
      </c>
      <c r="AR51" s="1" t="s">
        <v>268</v>
      </c>
    </row>
    <row r="52" spans="1:44" x14ac:dyDescent="0.2">
      <c r="A52" s="1" t="s">
        <v>178</v>
      </c>
      <c r="B52" s="1" t="s">
        <v>265</v>
      </c>
      <c r="C52" s="1">
        <v>-36.5</v>
      </c>
      <c r="D52" s="1">
        <v>460741</v>
      </c>
      <c r="E52" s="1">
        <v>5964870</v>
      </c>
      <c r="F52" s="1">
        <v>0</v>
      </c>
      <c r="G52" s="1">
        <v>-0.7</v>
      </c>
      <c r="H52" s="1">
        <v>0</v>
      </c>
      <c r="I52" s="1">
        <v>2</v>
      </c>
      <c r="J52" s="1">
        <v>0</v>
      </c>
      <c r="K52" s="1">
        <v>-69.2</v>
      </c>
      <c r="L52" s="1">
        <v>32.700000000000003</v>
      </c>
      <c r="M52" s="1">
        <v>1737.62</v>
      </c>
      <c r="N52" s="1">
        <v>94.6</v>
      </c>
      <c r="O52" s="1">
        <v>8</v>
      </c>
      <c r="P52" s="1">
        <v>10.5</v>
      </c>
      <c r="Q52" s="1">
        <v>3.0476000000000001</v>
      </c>
      <c r="R52" s="1">
        <v>70</v>
      </c>
      <c r="S52" s="1">
        <v>112</v>
      </c>
      <c r="T52" s="1">
        <v>146</v>
      </c>
      <c r="U52" s="1">
        <v>1406.46</v>
      </c>
      <c r="V52" s="1">
        <v>388.72800000000001</v>
      </c>
      <c r="W52" s="1">
        <v>752.85199999999998</v>
      </c>
      <c r="X52" s="1">
        <v>132.18100000000001</v>
      </c>
      <c r="Y52" s="1">
        <v>4.9400000000000004</v>
      </c>
      <c r="Z52" s="1">
        <v>8.0150000000000006</v>
      </c>
      <c r="AA52" s="1">
        <v>21.7</v>
      </c>
      <c r="AB52" s="1">
        <v>290.5</v>
      </c>
      <c r="AC52" s="1">
        <v>13030</v>
      </c>
      <c r="AD52" s="1">
        <v>3343</v>
      </c>
      <c r="AE52" s="1">
        <v>268</v>
      </c>
      <c r="AF52" s="1">
        <v>19</v>
      </c>
      <c r="AG52" s="1">
        <v>19</v>
      </c>
      <c r="AH52" s="1">
        <v>31.9</v>
      </c>
      <c r="AI52" s="1">
        <v>53.8</v>
      </c>
      <c r="AJ52" s="1">
        <v>14.3</v>
      </c>
      <c r="AK52" s="1">
        <v>80.099999999999994</v>
      </c>
      <c r="AL52" s="1">
        <v>31.9</v>
      </c>
      <c r="AM52" s="1">
        <v>8</v>
      </c>
      <c r="AN52" s="1">
        <v>0</v>
      </c>
      <c r="AO52" s="1">
        <v>0</v>
      </c>
      <c r="AP52" s="1" t="s">
        <v>270</v>
      </c>
      <c r="AQ52" s="1" t="s">
        <v>267</v>
      </c>
      <c r="AR52" s="1" t="s">
        <v>268</v>
      </c>
    </row>
    <row r="53" spans="1:44" x14ac:dyDescent="0.2">
      <c r="A53" s="1" t="s">
        <v>47</v>
      </c>
      <c r="B53" s="1" t="s">
        <v>269</v>
      </c>
      <c r="C53" s="1">
        <v>-35</v>
      </c>
      <c r="D53" s="1">
        <v>463727.4</v>
      </c>
      <c r="E53" s="1">
        <v>5963253.4000000004</v>
      </c>
      <c r="F53" s="1">
        <v>0</v>
      </c>
      <c r="G53" s="1">
        <v>-0.6</v>
      </c>
      <c r="H53" s="1">
        <v>0</v>
      </c>
      <c r="I53" s="1">
        <v>2</v>
      </c>
      <c r="J53" s="1">
        <v>0</v>
      </c>
      <c r="K53" s="1">
        <v>-66.099999999999994</v>
      </c>
      <c r="L53" s="1">
        <v>31.1</v>
      </c>
      <c r="M53" s="1">
        <v>1664.336</v>
      </c>
      <c r="N53" s="1">
        <v>91.5</v>
      </c>
      <c r="O53" s="1">
        <v>8</v>
      </c>
      <c r="P53" s="1">
        <v>10</v>
      </c>
      <c r="Q53" s="1">
        <v>3.05</v>
      </c>
      <c r="R53" s="1">
        <v>68</v>
      </c>
      <c r="S53" s="1">
        <v>110</v>
      </c>
      <c r="T53" s="1">
        <v>147</v>
      </c>
      <c r="U53" s="1">
        <v>1420.2260000000001</v>
      </c>
      <c r="V53" s="1">
        <v>453.43200000000002</v>
      </c>
      <c r="W53" s="1">
        <v>752.85199999999998</v>
      </c>
      <c r="X53" s="1">
        <v>132.18100000000001</v>
      </c>
      <c r="Y53" s="1">
        <v>4.9400000000000004</v>
      </c>
      <c r="Z53" s="1">
        <v>8.0150000000000006</v>
      </c>
      <c r="AA53" s="1">
        <v>21.7</v>
      </c>
      <c r="AB53" s="1">
        <v>290.5</v>
      </c>
      <c r="AC53" s="1">
        <v>12679</v>
      </c>
      <c r="AD53" s="1">
        <v>3186</v>
      </c>
      <c r="AE53" s="1">
        <v>268</v>
      </c>
      <c r="AF53" s="1">
        <v>17</v>
      </c>
      <c r="AG53" s="1">
        <v>17</v>
      </c>
      <c r="AH53" s="1">
        <v>32.9</v>
      </c>
      <c r="AI53" s="1">
        <v>54.1</v>
      </c>
      <c r="AJ53" s="1">
        <v>13</v>
      </c>
      <c r="AK53" s="1">
        <v>81.7</v>
      </c>
      <c r="AL53" s="1">
        <v>31.9</v>
      </c>
      <c r="AM53" s="1">
        <v>8</v>
      </c>
      <c r="AN53" s="1">
        <v>0</v>
      </c>
      <c r="AO53" s="1">
        <v>0</v>
      </c>
      <c r="AP53" s="1" t="s">
        <v>266</v>
      </c>
      <c r="AQ53" s="1" t="s">
        <v>267</v>
      </c>
      <c r="AR53" s="1" t="s">
        <v>268</v>
      </c>
    </row>
    <row r="54" spans="1:44" x14ac:dyDescent="0.2">
      <c r="A54" s="1" t="s">
        <v>138</v>
      </c>
      <c r="B54" s="1" t="s">
        <v>269</v>
      </c>
      <c r="C54" s="1">
        <v>-31.1</v>
      </c>
      <c r="D54" s="1">
        <v>466748.9</v>
      </c>
      <c r="E54" s="1">
        <v>5961671.7999999998</v>
      </c>
      <c r="F54" s="1">
        <v>0</v>
      </c>
      <c r="G54" s="1">
        <v>-0.7</v>
      </c>
      <c r="H54" s="1">
        <v>0</v>
      </c>
      <c r="I54" s="1">
        <v>2</v>
      </c>
      <c r="J54" s="1">
        <v>0</v>
      </c>
      <c r="K54" s="1">
        <v>-60.7</v>
      </c>
      <c r="L54" s="1">
        <v>29.6</v>
      </c>
      <c r="M54" s="1">
        <v>1474.922</v>
      </c>
      <c r="N54" s="1">
        <v>86.1</v>
      </c>
      <c r="O54" s="1">
        <v>8</v>
      </c>
      <c r="P54" s="1">
        <v>10</v>
      </c>
      <c r="Q54" s="1">
        <v>2.89</v>
      </c>
      <c r="R54" s="1">
        <v>68</v>
      </c>
      <c r="S54" s="1">
        <v>110</v>
      </c>
      <c r="T54" s="1">
        <v>147</v>
      </c>
      <c r="U54" s="1">
        <v>1296.1210000000001</v>
      </c>
      <c r="V54" s="1">
        <v>549.351</v>
      </c>
      <c r="W54" s="1">
        <v>752.85199999999998</v>
      </c>
      <c r="X54" s="1">
        <v>132.18100000000001</v>
      </c>
      <c r="Y54" s="1">
        <v>4.9400000000000004</v>
      </c>
      <c r="Z54" s="1">
        <v>8.0150000000000006</v>
      </c>
      <c r="AA54" s="1">
        <v>21.7</v>
      </c>
      <c r="AB54" s="1">
        <v>290.5</v>
      </c>
      <c r="AC54" s="1">
        <v>12344</v>
      </c>
      <c r="AD54" s="1">
        <v>2945</v>
      </c>
      <c r="AE54" s="1">
        <v>268</v>
      </c>
      <c r="AF54" s="1">
        <v>15</v>
      </c>
      <c r="AG54" s="1">
        <v>15</v>
      </c>
      <c r="AH54" s="1">
        <v>36.4</v>
      </c>
      <c r="AI54" s="1">
        <v>51</v>
      </c>
      <c r="AJ54" s="1">
        <v>12.6</v>
      </c>
      <c r="AK54" s="1">
        <v>77.5</v>
      </c>
      <c r="AL54" s="1">
        <v>31.9</v>
      </c>
      <c r="AM54" s="1">
        <v>8</v>
      </c>
      <c r="AN54" s="1">
        <v>0</v>
      </c>
      <c r="AO54" s="1">
        <v>0</v>
      </c>
      <c r="AP54" s="1" t="s">
        <v>266</v>
      </c>
      <c r="AQ54" s="1" t="s">
        <v>267</v>
      </c>
      <c r="AR54" s="1" t="s">
        <v>268</v>
      </c>
    </row>
    <row r="55" spans="1:44" x14ac:dyDescent="0.2">
      <c r="A55" s="1" t="s">
        <v>161</v>
      </c>
      <c r="B55" s="1" t="s">
        <v>265</v>
      </c>
      <c r="C55" s="1">
        <v>-28.9</v>
      </c>
      <c r="D55" s="1">
        <v>470584.2</v>
      </c>
      <c r="E55" s="1">
        <v>5958839.5999999996</v>
      </c>
      <c r="F55" s="1">
        <v>0</v>
      </c>
      <c r="G55" s="1">
        <v>-0.7</v>
      </c>
      <c r="H55" s="1">
        <v>0</v>
      </c>
      <c r="I55" s="1">
        <v>2</v>
      </c>
      <c r="J55" s="1">
        <v>0</v>
      </c>
      <c r="K55" s="1">
        <v>-57.8</v>
      </c>
      <c r="L55" s="1">
        <v>28.9</v>
      </c>
      <c r="M55" s="1">
        <v>1416.875</v>
      </c>
      <c r="N55" s="1">
        <v>83.2</v>
      </c>
      <c r="O55" s="1">
        <v>8</v>
      </c>
      <c r="P55" s="1">
        <v>10</v>
      </c>
      <c r="Q55" s="1">
        <v>2.82</v>
      </c>
      <c r="R55" s="1">
        <v>64</v>
      </c>
      <c r="S55" s="1">
        <v>110</v>
      </c>
      <c r="T55" s="1">
        <v>147</v>
      </c>
      <c r="U55" s="1">
        <v>1233.7909999999999</v>
      </c>
      <c r="V55" s="1">
        <v>430.87599999999998</v>
      </c>
      <c r="W55" s="1">
        <v>752.85199999999998</v>
      </c>
      <c r="X55" s="1">
        <v>132.18100000000001</v>
      </c>
      <c r="Y55" s="1">
        <v>4.9400000000000004</v>
      </c>
      <c r="Z55" s="1">
        <v>8.0150000000000006</v>
      </c>
      <c r="AA55" s="1">
        <v>21.7</v>
      </c>
      <c r="AB55" s="1">
        <v>290.5</v>
      </c>
      <c r="AC55" s="1">
        <v>12164</v>
      </c>
      <c r="AD55" s="1">
        <v>2808</v>
      </c>
      <c r="AE55" s="1">
        <v>268</v>
      </c>
      <c r="AF55" s="1">
        <v>15</v>
      </c>
      <c r="AG55" s="1">
        <v>15</v>
      </c>
      <c r="AH55" s="1">
        <v>37.700000000000003</v>
      </c>
      <c r="AI55" s="1">
        <v>49.6</v>
      </c>
      <c r="AJ55" s="1">
        <v>12.7</v>
      </c>
      <c r="AK55" s="1">
        <v>77.2</v>
      </c>
      <c r="AL55" s="1">
        <v>31.9</v>
      </c>
      <c r="AM55" s="1">
        <v>8</v>
      </c>
      <c r="AN55" s="1">
        <v>0</v>
      </c>
      <c r="AO55" s="1">
        <v>0</v>
      </c>
      <c r="AP55" s="1" t="s">
        <v>266</v>
      </c>
      <c r="AQ55" s="1" t="s">
        <v>267</v>
      </c>
      <c r="AR55" s="1" t="s">
        <v>268</v>
      </c>
    </row>
    <row r="56" spans="1:44" x14ac:dyDescent="0.2">
      <c r="A56" s="1" t="s">
        <v>124</v>
      </c>
      <c r="B56" s="1" t="s">
        <v>265</v>
      </c>
      <c r="C56" s="1">
        <v>-31</v>
      </c>
      <c r="D56" s="1">
        <v>473709.7</v>
      </c>
      <c r="E56" s="1">
        <v>5957180.4000000004</v>
      </c>
      <c r="F56" s="1">
        <v>0</v>
      </c>
      <c r="G56" s="1">
        <v>-0.7</v>
      </c>
      <c r="H56" s="1">
        <v>0</v>
      </c>
      <c r="I56" s="1">
        <v>2</v>
      </c>
      <c r="J56" s="1">
        <v>0</v>
      </c>
      <c r="K56" s="1">
        <v>-61.4</v>
      </c>
      <c r="L56" s="1">
        <v>30.4</v>
      </c>
      <c r="M56" s="1">
        <v>1497.2449999999999</v>
      </c>
      <c r="N56" s="1">
        <v>86.8</v>
      </c>
      <c r="O56" s="1">
        <v>8</v>
      </c>
      <c r="P56" s="1">
        <v>10</v>
      </c>
      <c r="Q56" s="1">
        <v>2.97</v>
      </c>
      <c r="R56" s="1">
        <v>68</v>
      </c>
      <c r="S56" s="1">
        <v>110</v>
      </c>
      <c r="T56" s="1">
        <v>147</v>
      </c>
      <c r="U56" s="1">
        <v>1296.1210000000001</v>
      </c>
      <c r="V56" s="1">
        <v>611.75599999999997</v>
      </c>
      <c r="W56" s="1">
        <v>752.85199999999998</v>
      </c>
      <c r="X56" s="1">
        <v>132.18100000000001</v>
      </c>
      <c r="Y56" s="1">
        <v>4.9400000000000004</v>
      </c>
      <c r="Z56" s="1">
        <v>8.0150000000000006</v>
      </c>
      <c r="AA56" s="1">
        <v>21.7</v>
      </c>
      <c r="AB56" s="1">
        <v>290.5</v>
      </c>
      <c r="AC56" s="1">
        <v>12388</v>
      </c>
      <c r="AD56" s="1">
        <v>2938</v>
      </c>
      <c r="AE56" s="1">
        <v>268</v>
      </c>
      <c r="AF56" s="1">
        <v>15</v>
      </c>
      <c r="AG56" s="1">
        <v>15</v>
      </c>
      <c r="AH56" s="1">
        <v>35.9</v>
      </c>
      <c r="AI56" s="1">
        <v>51.7</v>
      </c>
      <c r="AJ56" s="1">
        <v>12.5</v>
      </c>
      <c r="AK56" s="1">
        <v>77.900000000000006</v>
      </c>
      <c r="AL56" s="1">
        <v>31.9</v>
      </c>
      <c r="AM56" s="1">
        <v>8</v>
      </c>
      <c r="AN56" s="1">
        <v>0</v>
      </c>
      <c r="AO56" s="1">
        <v>0</v>
      </c>
      <c r="AP56" s="1" t="s">
        <v>266</v>
      </c>
      <c r="AQ56" s="1" t="s">
        <v>267</v>
      </c>
      <c r="AR56" s="1" t="s">
        <v>268</v>
      </c>
    </row>
    <row r="57" spans="1:44" x14ac:dyDescent="0.2">
      <c r="A57" s="1" t="s">
        <v>30</v>
      </c>
      <c r="B57" s="1" t="s">
        <v>265</v>
      </c>
      <c r="C57" s="1">
        <v>-36.4</v>
      </c>
      <c r="D57" s="1">
        <v>476832.1</v>
      </c>
      <c r="E57" s="1">
        <v>5955548.2000000002</v>
      </c>
      <c r="F57" s="1">
        <v>0</v>
      </c>
      <c r="G57" s="1">
        <v>-0.6</v>
      </c>
      <c r="H57" s="1">
        <v>0</v>
      </c>
      <c r="I57" s="1">
        <v>2</v>
      </c>
      <c r="J57" s="1">
        <v>0</v>
      </c>
      <c r="K57" s="1">
        <v>-65.400000000000006</v>
      </c>
      <c r="L57" s="1">
        <v>29</v>
      </c>
      <c r="M57" s="1">
        <v>1700.2819999999999</v>
      </c>
      <c r="N57" s="1">
        <v>90.8</v>
      </c>
      <c r="O57" s="1">
        <v>8</v>
      </c>
      <c r="P57" s="1">
        <v>10</v>
      </c>
      <c r="Q57" s="1">
        <v>2.84</v>
      </c>
      <c r="R57" s="1">
        <v>68</v>
      </c>
      <c r="S57" s="1">
        <v>110</v>
      </c>
      <c r="T57" s="1">
        <v>147</v>
      </c>
      <c r="U57" s="1">
        <v>1357.5450000000001</v>
      </c>
      <c r="V57" s="1">
        <v>483.642</v>
      </c>
      <c r="W57" s="1">
        <v>752.85199999999998</v>
      </c>
      <c r="X57" s="1">
        <v>132.18100000000001</v>
      </c>
      <c r="Y57" s="1">
        <v>4.9400000000000004</v>
      </c>
      <c r="Z57" s="1">
        <v>8.0150000000000006</v>
      </c>
      <c r="AA57" s="1">
        <v>21.7</v>
      </c>
      <c r="AB57" s="1">
        <v>290.5</v>
      </c>
      <c r="AC57" s="1">
        <v>12634</v>
      </c>
      <c r="AD57" s="1">
        <v>3272</v>
      </c>
      <c r="AE57" s="1">
        <v>268</v>
      </c>
      <c r="AF57" s="1">
        <v>15</v>
      </c>
      <c r="AG57" s="1">
        <v>15</v>
      </c>
      <c r="AH57" s="1">
        <v>32.299999999999997</v>
      </c>
      <c r="AI57" s="1">
        <v>54.8</v>
      </c>
      <c r="AJ57" s="1">
        <v>12.8</v>
      </c>
      <c r="AK57" s="1">
        <v>84</v>
      </c>
      <c r="AL57" s="1">
        <v>31.9</v>
      </c>
      <c r="AM57" s="1">
        <v>8</v>
      </c>
      <c r="AN57" s="1">
        <v>0</v>
      </c>
      <c r="AO57" s="1">
        <v>0</v>
      </c>
      <c r="AP57" s="1" t="s">
        <v>266</v>
      </c>
      <c r="AQ57" s="1" t="s">
        <v>267</v>
      </c>
      <c r="AR57" s="1" t="s">
        <v>268</v>
      </c>
    </row>
    <row r="58" spans="1:44" x14ac:dyDescent="0.2">
      <c r="A58" s="1" t="s">
        <v>58</v>
      </c>
      <c r="B58" s="1" t="s">
        <v>265</v>
      </c>
      <c r="C58" s="1">
        <v>-36</v>
      </c>
      <c r="D58" s="1">
        <v>479945.7</v>
      </c>
      <c r="E58" s="1">
        <v>5953911</v>
      </c>
      <c r="F58" s="1">
        <v>0</v>
      </c>
      <c r="G58" s="1">
        <v>-0.6</v>
      </c>
      <c r="H58" s="1">
        <v>0</v>
      </c>
      <c r="I58" s="1">
        <v>2</v>
      </c>
      <c r="J58" s="1">
        <v>0</v>
      </c>
      <c r="K58" s="1">
        <v>-65.3</v>
      </c>
      <c r="L58" s="1">
        <v>29.3</v>
      </c>
      <c r="M58" s="1">
        <v>1652.8969999999999</v>
      </c>
      <c r="N58" s="1">
        <v>90.7</v>
      </c>
      <c r="O58" s="1">
        <v>8</v>
      </c>
      <c r="P58" s="1">
        <v>10</v>
      </c>
      <c r="Q58" s="1">
        <v>2.87</v>
      </c>
      <c r="R58" s="1">
        <v>68</v>
      </c>
      <c r="S58" s="1">
        <v>110</v>
      </c>
      <c r="T58" s="1">
        <v>147</v>
      </c>
      <c r="U58" s="1">
        <v>1357.8340000000001</v>
      </c>
      <c r="V58" s="1">
        <v>459.22500000000002</v>
      </c>
      <c r="W58" s="1">
        <v>752.85199999999998</v>
      </c>
      <c r="X58" s="1">
        <v>132.18100000000001</v>
      </c>
      <c r="Y58" s="1">
        <v>4.9400000000000004</v>
      </c>
      <c r="Z58" s="1">
        <v>8.0150000000000006</v>
      </c>
      <c r="AA58" s="1">
        <v>21.7</v>
      </c>
      <c r="AB58" s="1">
        <v>290.5</v>
      </c>
      <c r="AC58" s="1">
        <v>12629</v>
      </c>
      <c r="AD58" s="1">
        <v>3248</v>
      </c>
      <c r="AE58" s="1">
        <v>268</v>
      </c>
      <c r="AF58" s="1">
        <v>15</v>
      </c>
      <c r="AG58" s="1">
        <v>15</v>
      </c>
      <c r="AH58" s="1">
        <v>33.1</v>
      </c>
      <c r="AI58" s="1">
        <v>53.8</v>
      </c>
      <c r="AJ58" s="1">
        <v>13</v>
      </c>
      <c r="AK58" s="1">
        <v>81.900000000000006</v>
      </c>
      <c r="AL58" s="1">
        <v>31.9</v>
      </c>
      <c r="AM58" s="1">
        <v>8</v>
      </c>
      <c r="AN58" s="1">
        <v>0</v>
      </c>
      <c r="AO58" s="1">
        <v>0</v>
      </c>
      <c r="AP58" s="1" t="s">
        <v>266</v>
      </c>
      <c r="AQ58" s="1" t="s">
        <v>267</v>
      </c>
      <c r="AR58" s="1" t="s">
        <v>268</v>
      </c>
    </row>
    <row r="59" spans="1:44" x14ac:dyDescent="0.2">
      <c r="A59" s="1" t="s">
        <v>38</v>
      </c>
      <c r="B59" s="1" t="s">
        <v>265</v>
      </c>
      <c r="C59" s="1">
        <v>-35.700000000000003</v>
      </c>
      <c r="D59" s="1">
        <v>482214.3</v>
      </c>
      <c r="E59" s="1">
        <v>5953603.5999999996</v>
      </c>
      <c r="F59" s="1">
        <v>0</v>
      </c>
      <c r="G59" s="1">
        <v>-0.6</v>
      </c>
      <c r="H59" s="1">
        <v>0</v>
      </c>
      <c r="I59" s="1">
        <v>2</v>
      </c>
      <c r="J59" s="1">
        <v>0</v>
      </c>
      <c r="K59" s="1">
        <v>-66.400000000000006</v>
      </c>
      <c r="L59" s="1">
        <v>30.7</v>
      </c>
      <c r="M59" s="1">
        <v>1699.905</v>
      </c>
      <c r="N59" s="1">
        <v>91.8</v>
      </c>
      <c r="O59" s="1">
        <v>8</v>
      </c>
      <c r="P59" s="1">
        <v>10</v>
      </c>
      <c r="Q59" s="1">
        <v>3.01</v>
      </c>
      <c r="R59" s="1">
        <v>68</v>
      </c>
      <c r="S59" s="1">
        <v>110</v>
      </c>
      <c r="T59" s="1">
        <v>147</v>
      </c>
      <c r="U59" s="1">
        <v>1420.05</v>
      </c>
      <c r="V59" s="1">
        <v>427.84699999999998</v>
      </c>
      <c r="W59" s="1">
        <v>752.85199999999998</v>
      </c>
      <c r="X59" s="1">
        <v>132.18100000000001</v>
      </c>
      <c r="Y59" s="1">
        <v>4.9400000000000004</v>
      </c>
      <c r="Z59" s="1">
        <v>8.0150000000000006</v>
      </c>
      <c r="AA59" s="1">
        <v>21.7</v>
      </c>
      <c r="AB59" s="1">
        <v>290.5</v>
      </c>
      <c r="AC59" s="1">
        <v>12697</v>
      </c>
      <c r="AD59" s="1">
        <v>3229</v>
      </c>
      <c r="AE59" s="1">
        <v>268</v>
      </c>
      <c r="AF59" s="1">
        <v>17</v>
      </c>
      <c r="AG59" s="1">
        <v>17</v>
      </c>
      <c r="AH59" s="1">
        <v>32.200000000000003</v>
      </c>
      <c r="AI59" s="1">
        <v>55.2</v>
      </c>
      <c r="AJ59" s="1">
        <v>12.6</v>
      </c>
      <c r="AK59" s="1">
        <v>83</v>
      </c>
      <c r="AL59" s="1">
        <v>31.9</v>
      </c>
      <c r="AM59" s="1">
        <v>8</v>
      </c>
      <c r="AN59" s="1">
        <v>0</v>
      </c>
      <c r="AO59" s="1">
        <v>0</v>
      </c>
      <c r="AP59" s="1" t="s">
        <v>266</v>
      </c>
      <c r="AQ59" s="1" t="s">
        <v>267</v>
      </c>
      <c r="AR59" s="1" t="s">
        <v>268</v>
      </c>
    </row>
    <row r="60" spans="1:44" x14ac:dyDescent="0.2">
      <c r="A60" s="1" t="s">
        <v>82</v>
      </c>
      <c r="B60" s="1" t="s">
        <v>269</v>
      </c>
      <c r="C60" s="1">
        <v>-33.799999999999997</v>
      </c>
      <c r="D60" s="1">
        <v>483010</v>
      </c>
      <c r="E60" s="1">
        <v>5955625</v>
      </c>
      <c r="F60" s="1">
        <v>0</v>
      </c>
      <c r="G60" s="1">
        <v>-0.6</v>
      </c>
      <c r="H60" s="1">
        <v>0</v>
      </c>
      <c r="I60" s="1">
        <v>2</v>
      </c>
      <c r="J60" s="1">
        <v>0</v>
      </c>
      <c r="K60" s="1">
        <v>-64</v>
      </c>
      <c r="L60" s="1">
        <v>30.2</v>
      </c>
      <c r="M60" s="1">
        <v>1592.0340000000001</v>
      </c>
      <c r="N60" s="1">
        <v>89.4</v>
      </c>
      <c r="O60" s="1">
        <v>8</v>
      </c>
      <c r="P60" s="1">
        <v>10</v>
      </c>
      <c r="Q60" s="1">
        <v>2.96</v>
      </c>
      <c r="R60" s="1">
        <v>68</v>
      </c>
      <c r="S60" s="1">
        <v>110</v>
      </c>
      <c r="T60" s="1">
        <v>147</v>
      </c>
      <c r="U60" s="1">
        <v>1358.085</v>
      </c>
      <c r="V60" s="1">
        <v>484.43400000000003</v>
      </c>
      <c r="W60" s="1">
        <v>752.85199999999998</v>
      </c>
      <c r="X60" s="1">
        <v>132.18100000000001</v>
      </c>
      <c r="Y60" s="1">
        <v>4.9400000000000004</v>
      </c>
      <c r="Z60" s="1">
        <v>8.0150000000000006</v>
      </c>
      <c r="AA60" s="1">
        <v>21.7</v>
      </c>
      <c r="AB60" s="1">
        <v>290.5</v>
      </c>
      <c r="AC60" s="1">
        <v>12549</v>
      </c>
      <c r="AD60" s="1">
        <v>3111</v>
      </c>
      <c r="AE60" s="1">
        <v>268</v>
      </c>
      <c r="AF60" s="1">
        <v>15</v>
      </c>
      <c r="AG60" s="1">
        <v>15</v>
      </c>
      <c r="AH60" s="1">
        <v>34.299999999999997</v>
      </c>
      <c r="AI60" s="1">
        <v>52.6</v>
      </c>
      <c r="AJ60" s="1">
        <v>13.1</v>
      </c>
      <c r="AK60" s="1">
        <v>80.2</v>
      </c>
      <c r="AL60" s="1">
        <v>31.9</v>
      </c>
      <c r="AM60" s="1">
        <v>8</v>
      </c>
      <c r="AN60" s="1">
        <v>0</v>
      </c>
      <c r="AO60" s="1">
        <v>0</v>
      </c>
      <c r="AP60" s="1" t="s">
        <v>266</v>
      </c>
      <c r="AQ60" s="1" t="s">
        <v>267</v>
      </c>
      <c r="AR60" s="1" t="s">
        <v>268</v>
      </c>
    </row>
    <row r="61" spans="1:44" x14ac:dyDescent="0.2">
      <c r="A61" s="1" t="s">
        <v>118</v>
      </c>
      <c r="B61" s="1" t="s">
        <v>271</v>
      </c>
      <c r="C61" s="1">
        <v>-31.7</v>
      </c>
      <c r="D61" s="1">
        <v>483080</v>
      </c>
      <c r="E61" s="1">
        <v>5958680</v>
      </c>
      <c r="F61" s="1">
        <v>0</v>
      </c>
      <c r="G61" s="1">
        <v>-0.7</v>
      </c>
      <c r="H61" s="1">
        <v>0</v>
      </c>
      <c r="I61" s="1">
        <v>2</v>
      </c>
      <c r="J61" s="1">
        <v>0</v>
      </c>
      <c r="K61" s="1">
        <v>-61.6</v>
      </c>
      <c r="L61" s="1">
        <v>29.9</v>
      </c>
      <c r="M61" s="1">
        <v>1505.12</v>
      </c>
      <c r="N61" s="1">
        <v>87</v>
      </c>
      <c r="O61" s="1">
        <v>8</v>
      </c>
      <c r="P61" s="1">
        <v>10</v>
      </c>
      <c r="Q61" s="1">
        <v>2.92</v>
      </c>
      <c r="R61" s="1">
        <v>68</v>
      </c>
      <c r="S61" s="1">
        <v>110</v>
      </c>
      <c r="T61" s="1">
        <v>147</v>
      </c>
      <c r="U61" s="1">
        <v>1296.02</v>
      </c>
      <c r="V61" s="1">
        <v>555.572</v>
      </c>
      <c r="W61" s="1">
        <v>752.85199999999998</v>
      </c>
      <c r="X61" s="1">
        <v>132.18100000000001</v>
      </c>
      <c r="Y61" s="1">
        <v>4.9400000000000004</v>
      </c>
      <c r="Z61" s="1">
        <v>8.0150000000000006</v>
      </c>
      <c r="AA61" s="1">
        <v>21.7</v>
      </c>
      <c r="AB61" s="1">
        <v>290.5</v>
      </c>
      <c r="AC61" s="1">
        <v>12400</v>
      </c>
      <c r="AD61" s="1">
        <v>2982</v>
      </c>
      <c r="AE61" s="1">
        <v>268</v>
      </c>
      <c r="AF61" s="1">
        <v>15</v>
      </c>
      <c r="AG61" s="1">
        <v>15</v>
      </c>
      <c r="AH61" s="1">
        <v>35.9</v>
      </c>
      <c r="AI61" s="1">
        <v>51.3</v>
      </c>
      <c r="AJ61" s="1">
        <v>12.8</v>
      </c>
      <c r="AK61" s="1">
        <v>78.2</v>
      </c>
      <c r="AL61" s="1">
        <v>31.9</v>
      </c>
      <c r="AM61" s="1">
        <v>8</v>
      </c>
      <c r="AN61" s="1">
        <v>0</v>
      </c>
      <c r="AO61" s="1">
        <v>0</v>
      </c>
      <c r="AP61" s="1" t="s">
        <v>266</v>
      </c>
      <c r="AQ61" s="1" t="s">
        <v>267</v>
      </c>
      <c r="AR61" s="1" t="s">
        <v>268</v>
      </c>
    </row>
    <row r="62" spans="1:44" x14ac:dyDescent="0.2">
      <c r="A62" s="1" t="s">
        <v>74</v>
      </c>
      <c r="B62" s="1" t="s">
        <v>271</v>
      </c>
      <c r="C62" s="1">
        <v>-35.4</v>
      </c>
      <c r="D62" s="1">
        <v>481215.8</v>
      </c>
      <c r="E62" s="1">
        <v>5964770</v>
      </c>
      <c r="F62" s="1">
        <v>0</v>
      </c>
      <c r="G62" s="1">
        <v>-0.6</v>
      </c>
      <c r="H62" s="1">
        <v>0</v>
      </c>
      <c r="I62" s="1">
        <v>2</v>
      </c>
      <c r="J62" s="1">
        <v>0</v>
      </c>
      <c r="K62" s="1">
        <v>-64</v>
      </c>
      <c r="L62" s="1">
        <v>28.6</v>
      </c>
      <c r="M62" s="1">
        <v>1620.414</v>
      </c>
      <c r="N62" s="1">
        <v>89.4</v>
      </c>
      <c r="O62" s="1">
        <v>8</v>
      </c>
      <c r="P62" s="1">
        <v>10</v>
      </c>
      <c r="Q62" s="1">
        <v>2.8</v>
      </c>
      <c r="R62" s="1">
        <v>68</v>
      </c>
      <c r="S62" s="1">
        <v>110</v>
      </c>
      <c r="T62" s="1">
        <v>147</v>
      </c>
      <c r="U62" s="1">
        <v>1357.884</v>
      </c>
      <c r="V62" s="1">
        <v>521.59199999999998</v>
      </c>
      <c r="W62" s="1">
        <v>752.85199999999998</v>
      </c>
      <c r="X62" s="1">
        <v>132.18100000000001</v>
      </c>
      <c r="Y62" s="1">
        <v>4.9400000000000004</v>
      </c>
      <c r="Z62" s="1">
        <v>8.0150000000000006</v>
      </c>
      <c r="AA62" s="1">
        <v>21.7</v>
      </c>
      <c r="AB62" s="1">
        <v>290.5</v>
      </c>
      <c r="AC62" s="1">
        <v>12548</v>
      </c>
      <c r="AD62" s="1">
        <v>3211</v>
      </c>
      <c r="AE62" s="1">
        <v>268</v>
      </c>
      <c r="AF62" s="1">
        <v>15</v>
      </c>
      <c r="AG62" s="1">
        <v>15</v>
      </c>
      <c r="AH62" s="1">
        <v>33.799999999999997</v>
      </c>
      <c r="AI62" s="1">
        <v>52.9</v>
      </c>
      <c r="AJ62" s="1">
        <v>13.3</v>
      </c>
      <c r="AK62" s="1">
        <v>81.599999999999994</v>
      </c>
      <c r="AL62" s="1">
        <v>31.9</v>
      </c>
      <c r="AM62" s="1">
        <v>8</v>
      </c>
      <c r="AN62" s="1">
        <v>0</v>
      </c>
      <c r="AO62" s="1">
        <v>0</v>
      </c>
      <c r="AP62" s="1" t="s">
        <v>266</v>
      </c>
      <c r="AQ62" s="1" t="s">
        <v>267</v>
      </c>
      <c r="AR62" s="1" t="s">
        <v>268</v>
      </c>
    </row>
    <row r="63" spans="1:44" x14ac:dyDescent="0.2">
      <c r="A63" s="1" t="s">
        <v>141</v>
      </c>
      <c r="B63" s="1" t="s">
        <v>265</v>
      </c>
      <c r="C63" s="1">
        <v>-30.1</v>
      </c>
      <c r="D63" s="1">
        <v>480956.4</v>
      </c>
      <c r="E63" s="1">
        <v>5968146</v>
      </c>
      <c r="F63" s="1">
        <v>0</v>
      </c>
      <c r="G63" s="1">
        <v>-0.6</v>
      </c>
      <c r="H63" s="1">
        <v>0</v>
      </c>
      <c r="I63" s="1">
        <v>2</v>
      </c>
      <c r="J63" s="1">
        <v>0</v>
      </c>
      <c r="K63" s="1">
        <v>-60</v>
      </c>
      <c r="L63" s="1">
        <v>29.9</v>
      </c>
      <c r="M63" s="1">
        <v>1449.6030000000001</v>
      </c>
      <c r="N63" s="1">
        <v>85.4</v>
      </c>
      <c r="O63" s="1">
        <v>8</v>
      </c>
      <c r="P63" s="1">
        <v>10</v>
      </c>
      <c r="Q63" s="1">
        <v>2.93</v>
      </c>
      <c r="R63" s="1">
        <v>64</v>
      </c>
      <c r="S63" s="1">
        <v>110</v>
      </c>
      <c r="T63" s="1">
        <v>147</v>
      </c>
      <c r="U63" s="1">
        <v>1296.2090000000001</v>
      </c>
      <c r="V63" s="1">
        <v>549.82899999999995</v>
      </c>
      <c r="W63" s="1">
        <v>752.85199999999998</v>
      </c>
      <c r="X63" s="1">
        <v>132.18100000000001</v>
      </c>
      <c r="Y63" s="1">
        <v>4.9400000000000004</v>
      </c>
      <c r="Z63" s="1">
        <v>8.0150000000000006</v>
      </c>
      <c r="AA63" s="1">
        <v>21.7</v>
      </c>
      <c r="AB63" s="1">
        <v>290.5</v>
      </c>
      <c r="AC63" s="1">
        <v>12301</v>
      </c>
      <c r="AD63" s="1">
        <v>2883</v>
      </c>
      <c r="AE63" s="1">
        <v>268</v>
      </c>
      <c r="AF63" s="1">
        <v>15</v>
      </c>
      <c r="AG63" s="1">
        <v>15</v>
      </c>
      <c r="AH63" s="1">
        <v>36.799999999999997</v>
      </c>
      <c r="AI63" s="1">
        <v>50.8</v>
      </c>
      <c r="AJ63" s="1">
        <v>12.4</v>
      </c>
      <c r="AK63" s="1">
        <v>76.8</v>
      </c>
      <c r="AL63" s="1">
        <v>31.9</v>
      </c>
      <c r="AM63" s="1">
        <v>8</v>
      </c>
      <c r="AN63" s="1">
        <v>0</v>
      </c>
      <c r="AO63" s="1">
        <v>0</v>
      </c>
      <c r="AP63" s="1" t="s">
        <v>266</v>
      </c>
      <c r="AQ63" s="1" t="s">
        <v>267</v>
      </c>
      <c r="AR63" s="1" t="s">
        <v>268</v>
      </c>
    </row>
    <row r="64" spans="1:44" x14ac:dyDescent="0.2">
      <c r="A64" s="1" t="s">
        <v>87</v>
      </c>
      <c r="B64" s="1" t="s">
        <v>265</v>
      </c>
      <c r="C64" s="1">
        <v>-37.299999999999997</v>
      </c>
      <c r="D64" s="1">
        <v>480018</v>
      </c>
      <c r="E64" s="1">
        <v>5972470</v>
      </c>
      <c r="F64" s="1">
        <v>0</v>
      </c>
      <c r="G64" s="1">
        <v>-0.6</v>
      </c>
      <c r="H64" s="1">
        <v>0</v>
      </c>
      <c r="I64" s="1">
        <v>2</v>
      </c>
      <c r="J64" s="1">
        <v>0</v>
      </c>
      <c r="K64" s="1">
        <v>-62.8</v>
      </c>
      <c r="L64" s="1">
        <v>25.5</v>
      </c>
      <c r="M64" s="1">
        <v>1623.779</v>
      </c>
      <c r="N64" s="1">
        <v>88.2</v>
      </c>
      <c r="O64" s="1">
        <v>8</v>
      </c>
      <c r="P64" s="1">
        <v>10</v>
      </c>
      <c r="Q64" s="1">
        <v>2.4900000000000002</v>
      </c>
      <c r="R64" s="1">
        <v>68</v>
      </c>
      <c r="S64" s="1">
        <v>110</v>
      </c>
      <c r="T64" s="1">
        <v>147</v>
      </c>
      <c r="U64" s="1">
        <v>1295.3920000000001</v>
      </c>
      <c r="V64" s="1">
        <v>452.86700000000002</v>
      </c>
      <c r="W64" s="1">
        <v>752.85199999999998</v>
      </c>
      <c r="X64" s="1">
        <v>132.18100000000001</v>
      </c>
      <c r="Y64" s="1">
        <v>4.9400000000000004</v>
      </c>
      <c r="Z64" s="1">
        <v>8.0150000000000006</v>
      </c>
      <c r="AA64" s="1">
        <v>21.7</v>
      </c>
      <c r="AB64" s="1">
        <v>290.5</v>
      </c>
      <c r="AC64" s="1">
        <v>12472</v>
      </c>
      <c r="AD64" s="1">
        <v>3329</v>
      </c>
      <c r="AE64" s="1">
        <v>268</v>
      </c>
      <c r="AF64" s="1">
        <v>15</v>
      </c>
      <c r="AG64" s="1">
        <v>15</v>
      </c>
      <c r="AH64" s="1">
        <v>33.700000000000003</v>
      </c>
      <c r="AI64" s="1">
        <v>53.1</v>
      </c>
      <c r="AJ64" s="1">
        <v>13.1</v>
      </c>
      <c r="AK64" s="1">
        <v>82.9</v>
      </c>
      <c r="AL64" s="1">
        <v>31.9</v>
      </c>
      <c r="AM64" s="1">
        <v>8</v>
      </c>
      <c r="AN64" s="1">
        <v>0</v>
      </c>
      <c r="AO64" s="1">
        <v>0</v>
      </c>
      <c r="AP64" s="1" t="s">
        <v>266</v>
      </c>
      <c r="AQ64" s="1" t="s">
        <v>267</v>
      </c>
      <c r="AR64" s="1" t="s">
        <v>268</v>
      </c>
    </row>
    <row r="65" spans="1:44" x14ac:dyDescent="0.2">
      <c r="A65" s="1" t="s">
        <v>186</v>
      </c>
      <c r="B65" s="1" t="s">
        <v>265</v>
      </c>
      <c r="C65" s="1">
        <v>-36.5</v>
      </c>
      <c r="D65" s="1">
        <v>457556</v>
      </c>
      <c r="E65" s="1">
        <v>5966844.7999999998</v>
      </c>
      <c r="F65" s="1">
        <v>0</v>
      </c>
      <c r="G65" s="1">
        <v>-0.6</v>
      </c>
      <c r="H65" s="1">
        <v>0</v>
      </c>
      <c r="I65" s="1">
        <v>2</v>
      </c>
      <c r="J65" s="1">
        <v>0</v>
      </c>
      <c r="K65" s="1">
        <v>-67</v>
      </c>
      <c r="L65" s="1">
        <v>30.5</v>
      </c>
      <c r="M65" s="1">
        <v>1708.25</v>
      </c>
      <c r="N65" s="1">
        <v>92.4</v>
      </c>
      <c r="O65" s="1">
        <v>8</v>
      </c>
      <c r="P65" s="1">
        <v>10.5</v>
      </c>
      <c r="Q65" s="1">
        <v>2.8475999999999999</v>
      </c>
      <c r="R65" s="1">
        <v>70</v>
      </c>
      <c r="S65" s="1">
        <v>112</v>
      </c>
      <c r="T65" s="1">
        <v>146</v>
      </c>
      <c r="U65" s="1">
        <v>1406.347</v>
      </c>
      <c r="V65" s="1">
        <v>356.14400000000001</v>
      </c>
      <c r="W65" s="1">
        <v>752.85199999999998</v>
      </c>
      <c r="X65" s="1">
        <v>132.18100000000001</v>
      </c>
      <c r="Y65" s="1">
        <v>4.9400000000000004</v>
      </c>
      <c r="Z65" s="1">
        <v>8.0150000000000006</v>
      </c>
      <c r="AA65" s="1">
        <v>21.7</v>
      </c>
      <c r="AB65" s="1">
        <v>290.5</v>
      </c>
      <c r="AC65" s="1">
        <v>12886</v>
      </c>
      <c r="AD65" s="1">
        <v>3342</v>
      </c>
      <c r="AE65" s="1">
        <v>268</v>
      </c>
      <c r="AF65" s="1">
        <v>15</v>
      </c>
      <c r="AG65" s="1">
        <v>15</v>
      </c>
      <c r="AH65" s="1">
        <v>33</v>
      </c>
      <c r="AI65" s="1">
        <v>52.2</v>
      </c>
      <c r="AJ65" s="1">
        <v>14.8</v>
      </c>
      <c r="AK65" s="1">
        <v>81</v>
      </c>
      <c r="AL65" s="1">
        <v>31.9</v>
      </c>
      <c r="AM65" s="1">
        <v>8</v>
      </c>
      <c r="AN65" s="1">
        <v>0</v>
      </c>
      <c r="AO65" s="1">
        <v>0</v>
      </c>
      <c r="AP65" s="1" t="s">
        <v>270</v>
      </c>
      <c r="AQ65" s="1" t="s">
        <v>267</v>
      </c>
      <c r="AR65" s="1" t="s">
        <v>268</v>
      </c>
    </row>
    <row r="66" spans="1:44" x14ac:dyDescent="0.2">
      <c r="A66" s="1" t="s">
        <v>17</v>
      </c>
      <c r="B66" s="1" t="s">
        <v>269</v>
      </c>
      <c r="C66" s="1">
        <v>-36.6</v>
      </c>
      <c r="D66" s="1">
        <v>462946.7</v>
      </c>
      <c r="E66" s="1">
        <v>5964506.7000000002</v>
      </c>
      <c r="F66" s="1">
        <v>0</v>
      </c>
      <c r="G66" s="1">
        <v>-0.7</v>
      </c>
      <c r="H66" s="1">
        <v>0</v>
      </c>
      <c r="I66" s="1">
        <v>2</v>
      </c>
      <c r="J66" s="1">
        <v>0</v>
      </c>
      <c r="K66" s="1">
        <v>-70.7</v>
      </c>
      <c r="L66" s="1">
        <v>34.1</v>
      </c>
      <c r="M66" s="1">
        <v>1825.818</v>
      </c>
      <c r="N66" s="1">
        <v>96.1</v>
      </c>
      <c r="O66" s="1">
        <v>8</v>
      </c>
      <c r="P66" s="1">
        <v>10</v>
      </c>
      <c r="Q66" s="1">
        <v>3.34</v>
      </c>
      <c r="R66" s="1">
        <v>68</v>
      </c>
      <c r="S66" s="1">
        <v>110</v>
      </c>
      <c r="T66" s="1">
        <v>147</v>
      </c>
      <c r="U66" s="1">
        <v>1419.761</v>
      </c>
      <c r="V66" s="1">
        <v>514.55499999999995</v>
      </c>
      <c r="W66" s="1">
        <v>752.85199999999998</v>
      </c>
      <c r="X66" s="1">
        <v>132.18100000000001</v>
      </c>
      <c r="Y66" s="1">
        <v>4.9400000000000004</v>
      </c>
      <c r="Z66" s="1">
        <v>8.0150000000000006</v>
      </c>
      <c r="AA66" s="1">
        <v>21.7</v>
      </c>
      <c r="AB66" s="1">
        <v>290.5</v>
      </c>
      <c r="AC66" s="1">
        <v>12964</v>
      </c>
      <c r="AD66" s="1">
        <v>3285</v>
      </c>
      <c r="AE66" s="1">
        <v>268</v>
      </c>
      <c r="AF66" s="1">
        <v>19</v>
      </c>
      <c r="AG66" s="1">
        <v>19</v>
      </c>
      <c r="AH66" s="1">
        <v>30</v>
      </c>
      <c r="AI66" s="1">
        <v>58.4</v>
      </c>
      <c r="AJ66" s="1">
        <v>11.6</v>
      </c>
      <c r="AK66" s="1">
        <v>84.7</v>
      </c>
      <c r="AL66" s="1">
        <v>31.9</v>
      </c>
      <c r="AM66" s="1">
        <v>8</v>
      </c>
      <c r="AN66" s="1">
        <v>0</v>
      </c>
      <c r="AO66" s="1">
        <v>0</v>
      </c>
      <c r="AP66" s="1" t="s">
        <v>266</v>
      </c>
      <c r="AQ66" s="1" t="s">
        <v>267</v>
      </c>
      <c r="AR66" s="1" t="s">
        <v>268</v>
      </c>
    </row>
    <row r="67" spans="1:44" x14ac:dyDescent="0.2">
      <c r="A67" s="1" t="s">
        <v>75</v>
      </c>
      <c r="B67" s="1" t="s">
        <v>269</v>
      </c>
      <c r="C67" s="1">
        <v>-33.1</v>
      </c>
      <c r="D67" s="1">
        <v>465969.2</v>
      </c>
      <c r="E67" s="1">
        <v>5962923.9000000004</v>
      </c>
      <c r="F67" s="1">
        <v>0</v>
      </c>
      <c r="G67" s="1">
        <v>-0.7</v>
      </c>
      <c r="H67" s="1">
        <v>0</v>
      </c>
      <c r="I67" s="1">
        <v>2</v>
      </c>
      <c r="J67" s="1">
        <v>0</v>
      </c>
      <c r="K67" s="1">
        <v>-64.099999999999994</v>
      </c>
      <c r="L67" s="1">
        <v>31</v>
      </c>
      <c r="M67" s="1">
        <v>1587.2950000000001</v>
      </c>
      <c r="N67" s="1">
        <v>89.5</v>
      </c>
      <c r="O67" s="1">
        <v>8</v>
      </c>
      <c r="P67" s="1">
        <v>10</v>
      </c>
      <c r="Q67" s="1">
        <v>3.03</v>
      </c>
      <c r="R67" s="1">
        <v>68</v>
      </c>
      <c r="S67" s="1">
        <v>110</v>
      </c>
      <c r="T67" s="1">
        <v>147</v>
      </c>
      <c r="U67" s="1">
        <v>1358.123</v>
      </c>
      <c r="V67" s="1">
        <v>546.82600000000002</v>
      </c>
      <c r="W67" s="1">
        <v>752.85199999999998</v>
      </c>
      <c r="X67" s="1">
        <v>132.18100000000001</v>
      </c>
      <c r="Y67" s="1">
        <v>4.9400000000000004</v>
      </c>
      <c r="Z67" s="1">
        <v>8.0150000000000006</v>
      </c>
      <c r="AA67" s="1">
        <v>21.7</v>
      </c>
      <c r="AB67" s="1">
        <v>290.5</v>
      </c>
      <c r="AC67" s="1">
        <v>12555</v>
      </c>
      <c r="AD67" s="1">
        <v>3068</v>
      </c>
      <c r="AE67" s="1">
        <v>268</v>
      </c>
      <c r="AF67" s="1">
        <v>17</v>
      </c>
      <c r="AG67" s="1">
        <v>17</v>
      </c>
      <c r="AH67" s="1">
        <v>34.4</v>
      </c>
      <c r="AI67" s="1">
        <v>52.4</v>
      </c>
      <c r="AJ67" s="1">
        <v>13.2</v>
      </c>
      <c r="AK67" s="1">
        <v>79.900000000000006</v>
      </c>
      <c r="AL67" s="1">
        <v>31.9</v>
      </c>
      <c r="AM67" s="1">
        <v>8</v>
      </c>
      <c r="AN67" s="1">
        <v>0</v>
      </c>
      <c r="AO67" s="1">
        <v>0</v>
      </c>
      <c r="AP67" s="1" t="s">
        <v>266</v>
      </c>
      <c r="AQ67" s="1" t="s">
        <v>267</v>
      </c>
      <c r="AR67" s="1" t="s">
        <v>268</v>
      </c>
    </row>
    <row r="68" spans="1:44" x14ac:dyDescent="0.2">
      <c r="A68" s="1" t="s">
        <v>162</v>
      </c>
      <c r="B68" s="1" t="s">
        <v>265</v>
      </c>
      <c r="C68" s="1">
        <v>-29.5</v>
      </c>
      <c r="D68" s="1">
        <v>469781.5</v>
      </c>
      <c r="E68" s="1">
        <v>5960130.0999999996</v>
      </c>
      <c r="F68" s="1">
        <v>0</v>
      </c>
      <c r="G68" s="1">
        <v>-0.7</v>
      </c>
      <c r="H68" s="1">
        <v>0</v>
      </c>
      <c r="I68" s="1">
        <v>2</v>
      </c>
      <c r="J68" s="1">
        <v>0</v>
      </c>
      <c r="K68" s="1">
        <v>-57.7</v>
      </c>
      <c r="L68" s="1">
        <v>28.2</v>
      </c>
      <c r="M68" s="1">
        <v>1412.925</v>
      </c>
      <c r="N68" s="1">
        <v>83.1</v>
      </c>
      <c r="O68" s="1">
        <v>8</v>
      </c>
      <c r="P68" s="1">
        <v>10</v>
      </c>
      <c r="Q68" s="1">
        <v>2.75</v>
      </c>
      <c r="R68" s="1">
        <v>64</v>
      </c>
      <c r="S68" s="1">
        <v>110</v>
      </c>
      <c r="T68" s="1">
        <v>147</v>
      </c>
      <c r="U68" s="1">
        <v>1233.8040000000001</v>
      </c>
      <c r="V68" s="1">
        <v>430.87599999999998</v>
      </c>
      <c r="W68" s="1">
        <v>752.85199999999998</v>
      </c>
      <c r="X68" s="1">
        <v>132.18100000000001</v>
      </c>
      <c r="Y68" s="1">
        <v>4.9400000000000004</v>
      </c>
      <c r="Z68" s="1">
        <v>8.0150000000000006</v>
      </c>
      <c r="AA68" s="1">
        <v>21.7</v>
      </c>
      <c r="AB68" s="1">
        <v>290.5</v>
      </c>
      <c r="AC68" s="1">
        <v>12158</v>
      </c>
      <c r="AD68" s="1">
        <v>2845</v>
      </c>
      <c r="AE68" s="1">
        <v>268</v>
      </c>
      <c r="AF68" s="1">
        <v>15</v>
      </c>
      <c r="AG68" s="1">
        <v>15</v>
      </c>
      <c r="AH68" s="1">
        <v>37.799999999999997</v>
      </c>
      <c r="AI68" s="1">
        <v>49.5</v>
      </c>
      <c r="AJ68" s="1">
        <v>12.7</v>
      </c>
      <c r="AK68" s="1">
        <v>77.099999999999994</v>
      </c>
      <c r="AL68" s="1">
        <v>31.9</v>
      </c>
      <c r="AM68" s="1">
        <v>8</v>
      </c>
      <c r="AN68" s="1">
        <v>0</v>
      </c>
      <c r="AO68" s="1">
        <v>0</v>
      </c>
      <c r="AP68" s="1" t="s">
        <v>266</v>
      </c>
      <c r="AQ68" s="1" t="s">
        <v>267</v>
      </c>
      <c r="AR68" s="1" t="s">
        <v>268</v>
      </c>
    </row>
    <row r="69" spans="1:44" x14ac:dyDescent="0.2">
      <c r="A69" s="1" t="s">
        <v>134</v>
      </c>
      <c r="B69" s="1" t="s">
        <v>265</v>
      </c>
      <c r="C69" s="1">
        <v>-30.7</v>
      </c>
      <c r="D69" s="1">
        <v>473047.2</v>
      </c>
      <c r="E69" s="1">
        <v>5958242.7000000002</v>
      </c>
      <c r="F69" s="1">
        <v>0</v>
      </c>
      <c r="G69" s="1">
        <v>-0.6</v>
      </c>
      <c r="H69" s="1">
        <v>0</v>
      </c>
      <c r="I69" s="1">
        <v>2</v>
      </c>
      <c r="J69" s="1">
        <v>0</v>
      </c>
      <c r="K69" s="1">
        <v>-60.6</v>
      </c>
      <c r="L69" s="1">
        <v>29.9</v>
      </c>
      <c r="M69" s="1">
        <v>1472.7049999999999</v>
      </c>
      <c r="N69" s="1">
        <v>86</v>
      </c>
      <c r="O69" s="1">
        <v>8</v>
      </c>
      <c r="P69" s="1">
        <v>10</v>
      </c>
      <c r="Q69" s="1">
        <v>2.93</v>
      </c>
      <c r="R69" s="1">
        <v>66</v>
      </c>
      <c r="S69" s="1">
        <v>110</v>
      </c>
      <c r="T69" s="1">
        <v>147</v>
      </c>
      <c r="U69" s="1">
        <v>1296.133</v>
      </c>
      <c r="V69" s="1">
        <v>611.76900000000001</v>
      </c>
      <c r="W69" s="1">
        <v>752.85199999999998</v>
      </c>
      <c r="X69" s="1">
        <v>132.18100000000001</v>
      </c>
      <c r="Y69" s="1">
        <v>4.9400000000000004</v>
      </c>
      <c r="Z69" s="1">
        <v>8.0150000000000006</v>
      </c>
      <c r="AA69" s="1">
        <v>21.7</v>
      </c>
      <c r="AB69" s="1">
        <v>290.5</v>
      </c>
      <c r="AC69" s="1">
        <v>12338</v>
      </c>
      <c r="AD69" s="1">
        <v>2920</v>
      </c>
      <c r="AE69" s="1">
        <v>268</v>
      </c>
      <c r="AF69" s="1">
        <v>15</v>
      </c>
      <c r="AG69" s="1">
        <v>15</v>
      </c>
      <c r="AH69" s="1">
        <v>36.4</v>
      </c>
      <c r="AI69" s="1">
        <v>51</v>
      </c>
      <c r="AJ69" s="1">
        <v>12.5</v>
      </c>
      <c r="AK69" s="1">
        <v>77.5</v>
      </c>
      <c r="AL69" s="1">
        <v>31.9</v>
      </c>
      <c r="AM69" s="1">
        <v>8</v>
      </c>
      <c r="AN69" s="1">
        <v>0</v>
      </c>
      <c r="AO69" s="1">
        <v>0</v>
      </c>
      <c r="AP69" s="1" t="s">
        <v>266</v>
      </c>
      <c r="AQ69" s="1" t="s">
        <v>267</v>
      </c>
      <c r="AR69" s="1" t="s">
        <v>268</v>
      </c>
    </row>
    <row r="70" spans="1:44" x14ac:dyDescent="0.2">
      <c r="A70" s="1" t="s">
        <v>109</v>
      </c>
      <c r="B70" s="1" t="s">
        <v>265</v>
      </c>
      <c r="C70" s="1">
        <v>-33.200000000000003</v>
      </c>
      <c r="D70" s="1">
        <v>475925.3</v>
      </c>
      <c r="E70" s="1">
        <v>5957007.4000000004</v>
      </c>
      <c r="F70" s="1">
        <v>0</v>
      </c>
      <c r="G70" s="1">
        <v>-0.7</v>
      </c>
      <c r="H70" s="1">
        <v>0</v>
      </c>
      <c r="I70" s="1">
        <v>2.4</v>
      </c>
      <c r="J70" s="1">
        <v>0</v>
      </c>
      <c r="K70" s="1">
        <v>-62.3</v>
      </c>
      <c r="L70" s="1">
        <v>29.1</v>
      </c>
      <c r="M70" s="1">
        <v>1544.097</v>
      </c>
      <c r="N70" s="1">
        <v>87.7</v>
      </c>
      <c r="O70" s="1">
        <v>8</v>
      </c>
      <c r="P70" s="1">
        <v>10</v>
      </c>
      <c r="Q70" s="1">
        <v>2.84</v>
      </c>
      <c r="R70" s="1">
        <v>68</v>
      </c>
      <c r="S70" s="1">
        <v>110</v>
      </c>
      <c r="T70" s="1">
        <v>147</v>
      </c>
      <c r="U70" s="1">
        <v>1295.8320000000001</v>
      </c>
      <c r="V70" s="1">
        <v>522.35900000000004</v>
      </c>
      <c r="W70" s="1">
        <v>752.85199999999998</v>
      </c>
      <c r="X70" s="1">
        <v>132.18100000000001</v>
      </c>
      <c r="Y70" s="1">
        <v>4.9400000000000004</v>
      </c>
      <c r="Z70" s="1">
        <v>8.0150000000000006</v>
      </c>
      <c r="AA70" s="1">
        <v>21.7</v>
      </c>
      <c r="AB70" s="1">
        <v>290.5</v>
      </c>
      <c r="AC70" s="1">
        <v>12443</v>
      </c>
      <c r="AD70" s="1">
        <v>3075</v>
      </c>
      <c r="AE70" s="1">
        <v>268</v>
      </c>
      <c r="AF70" s="1">
        <v>15</v>
      </c>
      <c r="AG70" s="1">
        <v>15</v>
      </c>
      <c r="AH70" s="1">
        <v>35.200000000000003</v>
      </c>
      <c r="AI70" s="1">
        <v>51.7</v>
      </c>
      <c r="AJ70" s="1">
        <v>13.2</v>
      </c>
      <c r="AK70" s="1">
        <v>79.5</v>
      </c>
      <c r="AL70" s="1">
        <v>31.9</v>
      </c>
      <c r="AM70" s="1">
        <v>8</v>
      </c>
      <c r="AN70" s="1">
        <v>0</v>
      </c>
      <c r="AO70" s="1">
        <v>0</v>
      </c>
      <c r="AP70" s="1" t="s">
        <v>266</v>
      </c>
      <c r="AQ70" s="1" t="s">
        <v>267</v>
      </c>
      <c r="AR70" s="1" t="s">
        <v>268</v>
      </c>
    </row>
    <row r="71" spans="1:44" x14ac:dyDescent="0.2">
      <c r="A71" s="1" t="s">
        <v>136</v>
      </c>
      <c r="B71" s="1" t="s">
        <v>265</v>
      </c>
      <c r="C71" s="1">
        <v>-33.6</v>
      </c>
      <c r="D71" s="1">
        <v>479093.5</v>
      </c>
      <c r="E71" s="1">
        <v>5955279.5999999996</v>
      </c>
      <c r="F71" s="1">
        <v>0</v>
      </c>
      <c r="G71" s="1">
        <v>-0.6</v>
      </c>
      <c r="H71" s="1">
        <v>0</v>
      </c>
      <c r="I71" s="1">
        <v>2</v>
      </c>
      <c r="J71" s="1">
        <v>0</v>
      </c>
      <c r="K71" s="1">
        <v>-59.9</v>
      </c>
      <c r="L71" s="1">
        <v>26.3</v>
      </c>
      <c r="M71" s="1">
        <v>1506.432</v>
      </c>
      <c r="N71" s="1">
        <v>85.3</v>
      </c>
      <c r="O71" s="1">
        <v>8</v>
      </c>
      <c r="P71" s="1">
        <v>10</v>
      </c>
      <c r="Q71" s="1">
        <v>2.57</v>
      </c>
      <c r="R71" s="1">
        <v>68</v>
      </c>
      <c r="S71" s="1">
        <v>110</v>
      </c>
      <c r="T71" s="1">
        <v>147</v>
      </c>
      <c r="U71" s="1">
        <v>1295.7940000000001</v>
      </c>
      <c r="V71" s="1">
        <v>428.375</v>
      </c>
      <c r="W71" s="1">
        <v>752.85199999999998</v>
      </c>
      <c r="X71" s="1">
        <v>132.18100000000001</v>
      </c>
      <c r="Y71" s="1">
        <v>4.9400000000000004</v>
      </c>
      <c r="Z71" s="1">
        <v>8.0150000000000006</v>
      </c>
      <c r="AA71" s="1">
        <v>21.7</v>
      </c>
      <c r="AB71" s="1">
        <v>290.5</v>
      </c>
      <c r="AC71" s="1">
        <v>12293</v>
      </c>
      <c r="AD71" s="1">
        <v>3099</v>
      </c>
      <c r="AE71" s="1">
        <v>268</v>
      </c>
      <c r="AF71" s="1">
        <v>15</v>
      </c>
      <c r="AG71" s="1">
        <v>15</v>
      </c>
      <c r="AH71" s="1">
        <v>36.200000000000003</v>
      </c>
      <c r="AI71" s="1">
        <v>50.2</v>
      </c>
      <c r="AJ71" s="1">
        <v>13.6</v>
      </c>
      <c r="AK71" s="1">
        <v>80</v>
      </c>
      <c r="AL71" s="1">
        <v>31.9</v>
      </c>
      <c r="AM71" s="1">
        <v>8</v>
      </c>
      <c r="AN71" s="1">
        <v>0</v>
      </c>
      <c r="AO71" s="1">
        <v>0</v>
      </c>
      <c r="AP71" s="1" t="s">
        <v>266</v>
      </c>
      <c r="AQ71" s="1" t="s">
        <v>267</v>
      </c>
      <c r="AR71" s="1" t="s">
        <v>268</v>
      </c>
    </row>
    <row r="72" spans="1:44" x14ac:dyDescent="0.2">
      <c r="A72" s="1" t="s">
        <v>48</v>
      </c>
      <c r="B72" s="1" t="s">
        <v>265</v>
      </c>
      <c r="C72" s="1">
        <v>-36.4</v>
      </c>
      <c r="D72" s="1">
        <v>481397.1</v>
      </c>
      <c r="E72" s="1">
        <v>5954916.9000000004</v>
      </c>
      <c r="F72" s="1">
        <v>0</v>
      </c>
      <c r="G72" s="1">
        <v>-0.6</v>
      </c>
      <c r="H72" s="1">
        <v>0</v>
      </c>
      <c r="I72" s="1">
        <v>2</v>
      </c>
      <c r="J72" s="1">
        <v>0</v>
      </c>
      <c r="K72" s="1">
        <v>-65.900000000000006</v>
      </c>
      <c r="L72" s="1">
        <v>29.5</v>
      </c>
      <c r="M72" s="1">
        <v>1687.2739999999999</v>
      </c>
      <c r="N72" s="1">
        <v>91.3</v>
      </c>
      <c r="O72" s="1">
        <v>8</v>
      </c>
      <c r="P72" s="1">
        <v>10</v>
      </c>
      <c r="Q72" s="1">
        <v>2.89</v>
      </c>
      <c r="R72" s="1">
        <v>68</v>
      </c>
      <c r="S72" s="1">
        <v>110</v>
      </c>
      <c r="T72" s="1">
        <v>147</v>
      </c>
      <c r="U72" s="1">
        <v>1357.6959999999999</v>
      </c>
      <c r="V72" s="1">
        <v>427.75900000000001</v>
      </c>
      <c r="W72" s="1">
        <v>752.85199999999998</v>
      </c>
      <c r="X72" s="1">
        <v>132.18100000000001</v>
      </c>
      <c r="Y72" s="1">
        <v>4.9400000000000004</v>
      </c>
      <c r="Z72" s="1">
        <v>8.0150000000000006</v>
      </c>
      <c r="AA72" s="1">
        <v>21.7</v>
      </c>
      <c r="AB72" s="1">
        <v>290.5</v>
      </c>
      <c r="AC72" s="1">
        <v>12666</v>
      </c>
      <c r="AD72" s="1">
        <v>3273</v>
      </c>
      <c r="AE72" s="1">
        <v>268</v>
      </c>
      <c r="AF72" s="1">
        <v>15</v>
      </c>
      <c r="AG72" s="1">
        <v>15</v>
      </c>
      <c r="AH72" s="1">
        <v>32.5</v>
      </c>
      <c r="AI72" s="1">
        <v>54.8</v>
      </c>
      <c r="AJ72" s="1">
        <v>12.7</v>
      </c>
      <c r="AK72" s="1">
        <v>82.9</v>
      </c>
      <c r="AL72" s="1">
        <v>31.9</v>
      </c>
      <c r="AM72" s="1">
        <v>8</v>
      </c>
      <c r="AN72" s="1">
        <v>0</v>
      </c>
      <c r="AO72" s="1">
        <v>0</v>
      </c>
      <c r="AP72" s="1" t="s">
        <v>266</v>
      </c>
      <c r="AQ72" s="1" t="s">
        <v>267</v>
      </c>
      <c r="AR72" s="1" t="s">
        <v>268</v>
      </c>
    </row>
    <row r="73" spans="1:44" x14ac:dyDescent="0.2">
      <c r="A73" s="1" t="s">
        <v>88</v>
      </c>
      <c r="B73" s="1" t="s">
        <v>269</v>
      </c>
      <c r="C73" s="1">
        <v>-34.200000000000003</v>
      </c>
      <c r="D73" s="1">
        <v>482020</v>
      </c>
      <c r="E73" s="1">
        <v>5957212</v>
      </c>
      <c r="F73" s="1">
        <v>0</v>
      </c>
      <c r="G73" s="1">
        <v>-0.7</v>
      </c>
      <c r="H73" s="1">
        <v>0</v>
      </c>
      <c r="I73" s="1">
        <v>2</v>
      </c>
      <c r="J73" s="1">
        <v>0</v>
      </c>
      <c r="K73" s="1">
        <v>-63.8</v>
      </c>
      <c r="L73" s="1">
        <v>29.6</v>
      </c>
      <c r="M73" s="1">
        <v>1586.1</v>
      </c>
      <c r="N73" s="1">
        <v>89.2</v>
      </c>
      <c r="O73" s="1">
        <v>8</v>
      </c>
      <c r="P73" s="1">
        <v>10</v>
      </c>
      <c r="Q73" s="1">
        <v>2.89</v>
      </c>
      <c r="R73" s="1">
        <v>68</v>
      </c>
      <c r="S73" s="1">
        <v>110</v>
      </c>
      <c r="T73" s="1">
        <v>147</v>
      </c>
      <c r="U73" s="1">
        <v>1358.098</v>
      </c>
      <c r="V73" s="1">
        <v>578.22900000000004</v>
      </c>
      <c r="W73" s="1">
        <v>752.85199999999998</v>
      </c>
      <c r="X73" s="1">
        <v>132.18100000000001</v>
      </c>
      <c r="Y73" s="1">
        <v>4.9400000000000004</v>
      </c>
      <c r="Z73" s="1">
        <v>8.0150000000000006</v>
      </c>
      <c r="AA73" s="1">
        <v>21.7</v>
      </c>
      <c r="AB73" s="1">
        <v>290.5</v>
      </c>
      <c r="AC73" s="1">
        <v>12536</v>
      </c>
      <c r="AD73" s="1">
        <v>3136</v>
      </c>
      <c r="AE73" s="1">
        <v>268</v>
      </c>
      <c r="AF73" s="1">
        <v>15</v>
      </c>
      <c r="AG73" s="1">
        <v>15</v>
      </c>
      <c r="AH73" s="1">
        <v>34.4</v>
      </c>
      <c r="AI73" s="1">
        <v>52.2</v>
      </c>
      <c r="AJ73" s="1">
        <v>13.4</v>
      </c>
      <c r="AK73" s="1">
        <v>80.2</v>
      </c>
      <c r="AL73" s="1">
        <v>31.9</v>
      </c>
      <c r="AM73" s="1">
        <v>8</v>
      </c>
      <c r="AN73" s="1">
        <v>0</v>
      </c>
      <c r="AO73" s="1">
        <v>0</v>
      </c>
      <c r="AP73" s="1" t="s">
        <v>266</v>
      </c>
      <c r="AQ73" s="1" t="s">
        <v>267</v>
      </c>
      <c r="AR73" s="1" t="s">
        <v>268</v>
      </c>
    </row>
    <row r="74" spans="1:44" x14ac:dyDescent="0.2">
      <c r="A74" s="1" t="s">
        <v>61</v>
      </c>
      <c r="B74" s="1" t="s">
        <v>271</v>
      </c>
      <c r="C74" s="1">
        <v>-36.6</v>
      </c>
      <c r="D74" s="1">
        <v>482289</v>
      </c>
      <c r="E74" s="1">
        <v>5959950</v>
      </c>
      <c r="F74" s="1">
        <v>0</v>
      </c>
      <c r="G74" s="1">
        <v>-0.6</v>
      </c>
      <c r="H74" s="1">
        <v>0</v>
      </c>
      <c r="I74" s="1">
        <v>2</v>
      </c>
      <c r="J74" s="1">
        <v>0</v>
      </c>
      <c r="K74" s="1">
        <v>-64.5</v>
      </c>
      <c r="L74" s="1">
        <v>27.9</v>
      </c>
      <c r="M74" s="1">
        <v>1656.4369999999999</v>
      </c>
      <c r="N74" s="1">
        <v>89.9</v>
      </c>
      <c r="O74" s="1">
        <v>8</v>
      </c>
      <c r="P74" s="1">
        <v>10</v>
      </c>
      <c r="Q74" s="1">
        <v>2.73</v>
      </c>
      <c r="R74" s="1">
        <v>68</v>
      </c>
      <c r="S74" s="1">
        <v>110</v>
      </c>
      <c r="T74" s="1">
        <v>147</v>
      </c>
      <c r="U74" s="1">
        <v>1357.721</v>
      </c>
      <c r="V74" s="1">
        <v>396.88400000000001</v>
      </c>
      <c r="W74" s="1">
        <v>752.85199999999998</v>
      </c>
      <c r="X74" s="1">
        <v>132.18100000000001</v>
      </c>
      <c r="Y74" s="1">
        <v>4.9400000000000004</v>
      </c>
      <c r="Z74" s="1">
        <v>8.0150000000000006</v>
      </c>
      <c r="AA74" s="1">
        <v>21.7</v>
      </c>
      <c r="AB74" s="1">
        <v>290.5</v>
      </c>
      <c r="AC74" s="1">
        <v>12578</v>
      </c>
      <c r="AD74" s="1">
        <v>3285</v>
      </c>
      <c r="AE74" s="1">
        <v>268</v>
      </c>
      <c r="AF74" s="1">
        <v>15</v>
      </c>
      <c r="AG74" s="1">
        <v>15</v>
      </c>
      <c r="AH74" s="1">
        <v>33.1</v>
      </c>
      <c r="AI74" s="1">
        <v>54.1</v>
      </c>
      <c r="AJ74" s="1">
        <v>12.9</v>
      </c>
      <c r="AK74" s="1">
        <v>82.8</v>
      </c>
      <c r="AL74" s="1">
        <v>31.9</v>
      </c>
      <c r="AM74" s="1">
        <v>8</v>
      </c>
      <c r="AN74" s="1">
        <v>0</v>
      </c>
      <c r="AO74" s="1">
        <v>0</v>
      </c>
      <c r="AP74" s="1" t="s">
        <v>266</v>
      </c>
      <c r="AQ74" s="1" t="s">
        <v>267</v>
      </c>
      <c r="AR74" s="1" t="s">
        <v>268</v>
      </c>
    </row>
    <row r="75" spans="1:44" x14ac:dyDescent="0.2">
      <c r="A75" s="1" t="s">
        <v>111</v>
      </c>
      <c r="B75" s="1" t="s">
        <v>265</v>
      </c>
      <c r="C75" s="1">
        <v>-32.9</v>
      </c>
      <c r="D75" s="1">
        <v>480311</v>
      </c>
      <c r="E75" s="1">
        <v>5966220</v>
      </c>
      <c r="F75" s="1">
        <v>0</v>
      </c>
      <c r="G75" s="1">
        <v>-0.7</v>
      </c>
      <c r="H75" s="1">
        <v>0</v>
      </c>
      <c r="I75" s="1">
        <v>2</v>
      </c>
      <c r="J75" s="1">
        <v>0</v>
      </c>
      <c r="K75" s="1">
        <v>-62</v>
      </c>
      <c r="L75" s="1">
        <v>29.1</v>
      </c>
      <c r="M75" s="1">
        <v>1541.751</v>
      </c>
      <c r="N75" s="1">
        <v>87.4</v>
      </c>
      <c r="O75" s="1">
        <v>8</v>
      </c>
      <c r="P75" s="1">
        <v>10</v>
      </c>
      <c r="Q75" s="1">
        <v>2.84</v>
      </c>
      <c r="R75" s="1">
        <v>68</v>
      </c>
      <c r="S75" s="1">
        <v>110</v>
      </c>
      <c r="T75" s="1">
        <v>147</v>
      </c>
      <c r="U75" s="1">
        <v>1295.806</v>
      </c>
      <c r="V75" s="1">
        <v>484.49599999999998</v>
      </c>
      <c r="W75" s="1">
        <v>752.85199999999998</v>
      </c>
      <c r="X75" s="1">
        <v>132.18100000000001</v>
      </c>
      <c r="Y75" s="1">
        <v>4.9400000000000004</v>
      </c>
      <c r="Z75" s="1">
        <v>8.0150000000000006</v>
      </c>
      <c r="AA75" s="1">
        <v>21.7</v>
      </c>
      <c r="AB75" s="1">
        <v>290.5</v>
      </c>
      <c r="AC75" s="1">
        <v>12424</v>
      </c>
      <c r="AD75" s="1">
        <v>3056</v>
      </c>
      <c r="AE75" s="1">
        <v>268</v>
      </c>
      <c r="AF75" s="1">
        <v>15</v>
      </c>
      <c r="AG75" s="1">
        <v>15</v>
      </c>
      <c r="AH75" s="1">
        <v>35.299999999999997</v>
      </c>
      <c r="AI75" s="1">
        <v>51.4</v>
      </c>
      <c r="AJ75" s="1">
        <v>13.3</v>
      </c>
      <c r="AK75" s="1">
        <v>79.7</v>
      </c>
      <c r="AL75" s="1">
        <v>31.9</v>
      </c>
      <c r="AM75" s="1">
        <v>8</v>
      </c>
      <c r="AN75" s="1">
        <v>0</v>
      </c>
      <c r="AO75" s="1">
        <v>0</v>
      </c>
      <c r="AP75" s="1" t="s">
        <v>266</v>
      </c>
      <c r="AQ75" s="1" t="s">
        <v>267</v>
      </c>
      <c r="AR75" s="1" t="s">
        <v>268</v>
      </c>
    </row>
    <row r="76" spans="1:44" x14ac:dyDescent="0.2">
      <c r="A76" s="1" t="s">
        <v>145</v>
      </c>
      <c r="B76" s="1" t="s">
        <v>271</v>
      </c>
      <c r="C76" s="1">
        <v>-30.5</v>
      </c>
      <c r="D76" s="1">
        <v>480065.6</v>
      </c>
      <c r="E76" s="1">
        <v>5969576.2999999998</v>
      </c>
      <c r="F76" s="1">
        <v>0</v>
      </c>
      <c r="G76" s="1">
        <v>-0.6</v>
      </c>
      <c r="H76" s="1">
        <v>0</v>
      </c>
      <c r="I76" s="1">
        <v>2</v>
      </c>
      <c r="J76" s="1">
        <v>0</v>
      </c>
      <c r="K76" s="1">
        <v>-59.8</v>
      </c>
      <c r="L76" s="1">
        <v>29.3</v>
      </c>
      <c r="M76" s="1">
        <v>1450.9860000000001</v>
      </c>
      <c r="N76" s="1">
        <v>85.2</v>
      </c>
      <c r="O76" s="1">
        <v>8</v>
      </c>
      <c r="P76" s="1">
        <v>10</v>
      </c>
      <c r="Q76" s="1">
        <v>2.87</v>
      </c>
      <c r="R76" s="1">
        <v>64</v>
      </c>
      <c r="S76" s="1">
        <v>110</v>
      </c>
      <c r="T76" s="1">
        <v>147</v>
      </c>
      <c r="U76" s="1">
        <v>1296.1959999999999</v>
      </c>
      <c r="V76" s="1">
        <v>493.28</v>
      </c>
      <c r="W76" s="1">
        <v>752.85199999999998</v>
      </c>
      <c r="X76" s="1">
        <v>132.18100000000001</v>
      </c>
      <c r="Y76" s="1">
        <v>4.9400000000000004</v>
      </c>
      <c r="Z76" s="1">
        <v>8.0150000000000006</v>
      </c>
      <c r="AA76" s="1">
        <v>21.7</v>
      </c>
      <c r="AB76" s="1">
        <v>290.5</v>
      </c>
      <c r="AC76" s="1">
        <v>12289</v>
      </c>
      <c r="AD76" s="1">
        <v>2907</v>
      </c>
      <c r="AE76" s="1">
        <v>268</v>
      </c>
      <c r="AF76" s="1">
        <v>15</v>
      </c>
      <c r="AG76" s="1">
        <v>15</v>
      </c>
      <c r="AH76" s="1">
        <v>36.799999999999997</v>
      </c>
      <c r="AI76" s="1">
        <v>50.8</v>
      </c>
      <c r="AJ76" s="1">
        <v>12.4</v>
      </c>
      <c r="AK76" s="1">
        <v>77.099999999999994</v>
      </c>
      <c r="AL76" s="1">
        <v>31.9</v>
      </c>
      <c r="AM76" s="1">
        <v>8</v>
      </c>
      <c r="AN76" s="1">
        <v>0</v>
      </c>
      <c r="AO76" s="1">
        <v>0</v>
      </c>
      <c r="AP76" s="1" t="s">
        <v>266</v>
      </c>
      <c r="AQ76" s="1" t="s">
        <v>267</v>
      </c>
      <c r="AR76" s="1" t="s">
        <v>268</v>
      </c>
    </row>
    <row r="77" spans="1:44" x14ac:dyDescent="0.2">
      <c r="A77" s="1" t="s">
        <v>77</v>
      </c>
      <c r="B77" s="1" t="s">
        <v>265</v>
      </c>
      <c r="C77" s="1">
        <v>-36.9</v>
      </c>
      <c r="D77" s="1">
        <v>456830.5</v>
      </c>
      <c r="E77" s="1">
        <v>5967999.4000000004</v>
      </c>
      <c r="F77" s="1">
        <v>0</v>
      </c>
      <c r="G77" s="1">
        <v>-0.6</v>
      </c>
      <c r="H77" s="1">
        <v>0</v>
      </c>
      <c r="I77" s="1">
        <v>2</v>
      </c>
      <c r="J77" s="1">
        <v>0</v>
      </c>
      <c r="K77" s="1">
        <v>-63.1</v>
      </c>
      <c r="L77" s="1">
        <v>26.2</v>
      </c>
      <c r="M77" s="1">
        <v>1646.3109999999999</v>
      </c>
      <c r="N77" s="1">
        <v>88.5</v>
      </c>
      <c r="O77" s="1">
        <v>8</v>
      </c>
      <c r="P77" s="1">
        <v>10</v>
      </c>
      <c r="Q77" s="1">
        <v>2.56</v>
      </c>
      <c r="R77" s="1">
        <v>68</v>
      </c>
      <c r="S77" s="1">
        <v>110</v>
      </c>
      <c r="T77" s="1">
        <v>147</v>
      </c>
      <c r="U77" s="1">
        <v>1295.316</v>
      </c>
      <c r="V77" s="1">
        <v>396.88400000000001</v>
      </c>
      <c r="W77" s="1">
        <v>752.85199999999998</v>
      </c>
      <c r="X77" s="1">
        <v>132.18100000000001</v>
      </c>
      <c r="Y77" s="1">
        <v>4.9400000000000004</v>
      </c>
      <c r="Z77" s="1">
        <v>8.0150000000000006</v>
      </c>
      <c r="AA77" s="1">
        <v>21.7</v>
      </c>
      <c r="AB77" s="1">
        <v>290.5</v>
      </c>
      <c r="AC77" s="1">
        <v>12491</v>
      </c>
      <c r="AD77" s="1">
        <v>3304</v>
      </c>
      <c r="AE77" s="1">
        <v>268</v>
      </c>
      <c r="AF77" s="1">
        <v>15</v>
      </c>
      <c r="AG77" s="1">
        <v>15</v>
      </c>
      <c r="AH77" s="1">
        <v>33.299999999999997</v>
      </c>
      <c r="AI77" s="1">
        <v>53.8</v>
      </c>
      <c r="AJ77" s="1">
        <v>13</v>
      </c>
      <c r="AK77" s="1">
        <v>83.6</v>
      </c>
      <c r="AL77" s="1">
        <v>31.9</v>
      </c>
      <c r="AM77" s="1">
        <v>8</v>
      </c>
      <c r="AN77" s="1">
        <v>0</v>
      </c>
      <c r="AO77" s="1">
        <v>0</v>
      </c>
      <c r="AP77" s="1" t="s">
        <v>266</v>
      </c>
      <c r="AQ77" s="1" t="s">
        <v>267</v>
      </c>
      <c r="AR77" s="1" t="s">
        <v>268</v>
      </c>
    </row>
    <row r="78" spans="1:44" x14ac:dyDescent="0.2">
      <c r="A78" s="1" t="s">
        <v>23</v>
      </c>
      <c r="B78" s="1" t="s">
        <v>265</v>
      </c>
      <c r="C78" s="1">
        <v>-38.1</v>
      </c>
      <c r="D78" s="1">
        <v>459201</v>
      </c>
      <c r="E78" s="1">
        <v>5967340</v>
      </c>
      <c r="F78" s="1">
        <v>0</v>
      </c>
      <c r="G78" s="1">
        <v>-0.8</v>
      </c>
      <c r="H78" s="1">
        <v>0</v>
      </c>
      <c r="I78" s="1">
        <v>2</v>
      </c>
      <c r="J78" s="1">
        <v>0</v>
      </c>
      <c r="K78" s="1">
        <v>-67.3</v>
      </c>
      <c r="L78" s="1">
        <v>29.2</v>
      </c>
      <c r="M78" s="1">
        <v>1742.915</v>
      </c>
      <c r="N78" s="1">
        <v>92.7</v>
      </c>
      <c r="O78" s="1">
        <v>8</v>
      </c>
      <c r="P78" s="1">
        <v>10</v>
      </c>
      <c r="Q78" s="1">
        <v>2.84</v>
      </c>
      <c r="R78" s="1">
        <v>68</v>
      </c>
      <c r="S78" s="1">
        <v>110</v>
      </c>
      <c r="T78" s="1">
        <v>147</v>
      </c>
      <c r="U78" s="1">
        <v>1357.5319999999999</v>
      </c>
      <c r="V78" s="1">
        <v>458.685</v>
      </c>
      <c r="W78" s="1">
        <v>752.85199999999998</v>
      </c>
      <c r="X78" s="1">
        <v>132.18100000000001</v>
      </c>
      <c r="Y78" s="1">
        <v>4.9400000000000004</v>
      </c>
      <c r="Z78" s="1">
        <v>8.0150000000000006</v>
      </c>
      <c r="AA78" s="1">
        <v>21.7</v>
      </c>
      <c r="AB78" s="1">
        <v>290.5</v>
      </c>
      <c r="AC78" s="1">
        <v>12752</v>
      </c>
      <c r="AD78" s="1">
        <v>3378</v>
      </c>
      <c r="AE78" s="1">
        <v>268</v>
      </c>
      <c r="AF78" s="1">
        <v>15</v>
      </c>
      <c r="AG78" s="1">
        <v>15</v>
      </c>
      <c r="AH78" s="1">
        <v>31.5</v>
      </c>
      <c r="AI78" s="1">
        <v>56</v>
      </c>
      <c r="AJ78" s="1">
        <v>12.5</v>
      </c>
      <c r="AK78" s="1">
        <v>84.2</v>
      </c>
      <c r="AL78" s="1">
        <v>31.9</v>
      </c>
      <c r="AM78" s="1">
        <v>8</v>
      </c>
      <c r="AN78" s="1">
        <v>0</v>
      </c>
      <c r="AO78" s="1">
        <v>0</v>
      </c>
      <c r="AP78" s="1" t="s">
        <v>266</v>
      </c>
      <c r="AQ78" s="1" t="s">
        <v>267</v>
      </c>
      <c r="AR78" s="1" t="s">
        <v>268</v>
      </c>
    </row>
    <row r="79" spans="1:44" x14ac:dyDescent="0.2">
      <c r="A79" s="1" t="s">
        <v>173</v>
      </c>
      <c r="B79" s="1" t="s">
        <v>265</v>
      </c>
      <c r="C79" s="1">
        <v>-38.799999999999997</v>
      </c>
      <c r="D79" s="1">
        <v>462166</v>
      </c>
      <c r="E79" s="1">
        <v>5965760</v>
      </c>
      <c r="F79" s="1">
        <v>0</v>
      </c>
      <c r="G79" s="1">
        <v>-0.7</v>
      </c>
      <c r="H79" s="1">
        <v>0</v>
      </c>
      <c r="I79" s="1">
        <v>2</v>
      </c>
      <c r="J79" s="1">
        <v>0</v>
      </c>
      <c r="K79" s="1">
        <v>-70.900000000000006</v>
      </c>
      <c r="L79" s="1">
        <v>32.1</v>
      </c>
      <c r="M79" s="1">
        <v>1796.414</v>
      </c>
      <c r="N79" s="1">
        <v>96.3</v>
      </c>
      <c r="O79" s="1">
        <v>8</v>
      </c>
      <c r="P79" s="1">
        <v>10.5</v>
      </c>
      <c r="Q79" s="1">
        <v>2.9904999999999999</v>
      </c>
      <c r="R79" s="1">
        <v>72</v>
      </c>
      <c r="S79" s="1">
        <v>112</v>
      </c>
      <c r="T79" s="1">
        <v>146</v>
      </c>
      <c r="U79" s="1">
        <v>1471.742</v>
      </c>
      <c r="V79" s="1">
        <v>421.62700000000001</v>
      </c>
      <c r="W79" s="1">
        <v>752.85199999999998</v>
      </c>
      <c r="X79" s="1">
        <v>132.18100000000001</v>
      </c>
      <c r="Y79" s="1">
        <v>4.9400000000000004</v>
      </c>
      <c r="Z79" s="1">
        <v>8.0150000000000006</v>
      </c>
      <c r="AA79" s="1">
        <v>21.7</v>
      </c>
      <c r="AB79" s="1">
        <v>290.5</v>
      </c>
      <c r="AC79" s="1">
        <v>13141</v>
      </c>
      <c r="AD79" s="1">
        <v>3493</v>
      </c>
      <c r="AE79" s="1">
        <v>268</v>
      </c>
      <c r="AF79" s="1">
        <v>17</v>
      </c>
      <c r="AG79" s="1">
        <v>17</v>
      </c>
      <c r="AH79" s="1">
        <v>31.9</v>
      </c>
      <c r="AI79" s="1">
        <v>53.8</v>
      </c>
      <c r="AJ79" s="1">
        <v>14.3</v>
      </c>
      <c r="AK79" s="1">
        <v>81.400000000000006</v>
      </c>
      <c r="AL79" s="1">
        <v>31.9</v>
      </c>
      <c r="AM79" s="1">
        <v>8</v>
      </c>
      <c r="AN79" s="1">
        <v>0</v>
      </c>
      <c r="AO79" s="1">
        <v>0</v>
      </c>
      <c r="AP79" s="1" t="s">
        <v>270</v>
      </c>
      <c r="AQ79" s="1" t="s">
        <v>267</v>
      </c>
      <c r="AR79" s="1" t="s">
        <v>268</v>
      </c>
    </row>
    <row r="80" spans="1:44" x14ac:dyDescent="0.2">
      <c r="A80" s="1" t="s">
        <v>45</v>
      </c>
      <c r="B80" s="1" t="s">
        <v>269</v>
      </c>
      <c r="C80" s="1">
        <v>-36</v>
      </c>
      <c r="D80" s="1">
        <v>465189.5</v>
      </c>
      <c r="E80" s="1">
        <v>5964176</v>
      </c>
      <c r="F80" s="1">
        <v>0</v>
      </c>
      <c r="G80" s="1">
        <v>-0.6</v>
      </c>
      <c r="H80" s="1">
        <v>0</v>
      </c>
      <c r="I80" s="1">
        <v>2</v>
      </c>
      <c r="J80" s="1">
        <v>0</v>
      </c>
      <c r="K80" s="1">
        <v>-65.900000000000006</v>
      </c>
      <c r="L80" s="1">
        <v>29.9</v>
      </c>
      <c r="M80" s="1">
        <v>1684.673</v>
      </c>
      <c r="N80" s="1">
        <v>91.3</v>
      </c>
      <c r="O80" s="1">
        <v>8</v>
      </c>
      <c r="P80" s="1">
        <v>10</v>
      </c>
      <c r="Q80" s="1">
        <v>2.93</v>
      </c>
      <c r="R80" s="1">
        <v>68</v>
      </c>
      <c r="S80" s="1">
        <v>110</v>
      </c>
      <c r="T80" s="1">
        <v>147</v>
      </c>
      <c r="U80" s="1">
        <v>1357.7339999999999</v>
      </c>
      <c r="V80" s="1">
        <v>422.01600000000002</v>
      </c>
      <c r="W80" s="1">
        <v>752.85199999999998</v>
      </c>
      <c r="X80" s="1">
        <v>132.18100000000001</v>
      </c>
      <c r="Y80" s="1">
        <v>4.9400000000000004</v>
      </c>
      <c r="Z80" s="1">
        <v>8.0150000000000006</v>
      </c>
      <c r="AA80" s="1">
        <v>21.7</v>
      </c>
      <c r="AB80" s="1">
        <v>290.5</v>
      </c>
      <c r="AC80" s="1">
        <v>12666</v>
      </c>
      <c r="AD80" s="1">
        <v>3248</v>
      </c>
      <c r="AE80" s="1">
        <v>268</v>
      </c>
      <c r="AF80" s="1">
        <v>15</v>
      </c>
      <c r="AG80" s="1">
        <v>15</v>
      </c>
      <c r="AH80" s="1">
        <v>32.5</v>
      </c>
      <c r="AI80" s="1">
        <v>54.8</v>
      </c>
      <c r="AJ80" s="1">
        <v>12.7</v>
      </c>
      <c r="AK80" s="1">
        <v>82.8</v>
      </c>
      <c r="AL80" s="1">
        <v>31.9</v>
      </c>
      <c r="AM80" s="1">
        <v>8</v>
      </c>
      <c r="AN80" s="1">
        <v>0</v>
      </c>
      <c r="AO80" s="1">
        <v>0</v>
      </c>
      <c r="AP80" s="1" t="s">
        <v>266</v>
      </c>
      <c r="AQ80" s="1" t="s">
        <v>267</v>
      </c>
      <c r="AR80" s="1" t="s">
        <v>268</v>
      </c>
    </row>
    <row r="81" spans="1:44" x14ac:dyDescent="0.2">
      <c r="A81" s="1" t="s">
        <v>144</v>
      </c>
      <c r="B81" s="1" t="s">
        <v>265</v>
      </c>
      <c r="C81" s="1">
        <v>-31</v>
      </c>
      <c r="D81" s="1">
        <v>468965</v>
      </c>
      <c r="E81" s="1">
        <v>5961442.0999999996</v>
      </c>
      <c r="F81" s="1">
        <v>0</v>
      </c>
      <c r="G81" s="1">
        <v>-0.6</v>
      </c>
      <c r="H81" s="1">
        <v>0</v>
      </c>
      <c r="I81" s="1">
        <v>2</v>
      </c>
      <c r="J81" s="1">
        <v>0</v>
      </c>
      <c r="K81" s="1">
        <v>-59.9</v>
      </c>
      <c r="L81" s="1">
        <v>28.9</v>
      </c>
      <c r="M81" s="1">
        <v>1456.64</v>
      </c>
      <c r="N81" s="1">
        <v>85.3</v>
      </c>
      <c r="O81" s="1">
        <v>8</v>
      </c>
      <c r="P81" s="1">
        <v>10</v>
      </c>
      <c r="Q81" s="1">
        <v>2.83</v>
      </c>
      <c r="R81" s="1">
        <v>66</v>
      </c>
      <c r="S81" s="1">
        <v>110</v>
      </c>
      <c r="T81" s="1">
        <v>147</v>
      </c>
      <c r="U81" s="1">
        <v>1296.1579999999999</v>
      </c>
      <c r="V81" s="1">
        <v>524.24400000000003</v>
      </c>
      <c r="W81" s="1">
        <v>752.85199999999998</v>
      </c>
      <c r="X81" s="1">
        <v>132.18100000000001</v>
      </c>
      <c r="Y81" s="1">
        <v>4.9400000000000004</v>
      </c>
      <c r="Z81" s="1">
        <v>8.0150000000000006</v>
      </c>
      <c r="AA81" s="1">
        <v>21.7</v>
      </c>
      <c r="AB81" s="1">
        <v>290.5</v>
      </c>
      <c r="AC81" s="1">
        <v>12295</v>
      </c>
      <c r="AD81" s="1">
        <v>2938</v>
      </c>
      <c r="AE81" s="1">
        <v>268</v>
      </c>
      <c r="AF81" s="1">
        <v>15</v>
      </c>
      <c r="AG81" s="1">
        <v>15</v>
      </c>
      <c r="AH81" s="1">
        <v>36.700000000000003</v>
      </c>
      <c r="AI81" s="1">
        <v>50.7</v>
      </c>
      <c r="AJ81" s="1">
        <v>12.6</v>
      </c>
      <c r="AK81" s="1">
        <v>77.3</v>
      </c>
      <c r="AL81" s="1">
        <v>31.9</v>
      </c>
      <c r="AM81" s="1">
        <v>8</v>
      </c>
      <c r="AN81" s="1">
        <v>0</v>
      </c>
      <c r="AO81" s="1">
        <v>0</v>
      </c>
      <c r="AP81" s="1" t="s">
        <v>266</v>
      </c>
      <c r="AQ81" s="1" t="s">
        <v>267</v>
      </c>
      <c r="AR81" s="1" t="s">
        <v>268</v>
      </c>
    </row>
    <row r="82" spans="1:44" x14ac:dyDescent="0.2">
      <c r="A82" s="1" t="s">
        <v>159</v>
      </c>
      <c r="B82" s="1" t="s">
        <v>265</v>
      </c>
      <c r="C82" s="1">
        <v>-29.4</v>
      </c>
      <c r="D82" s="1">
        <v>472154.9</v>
      </c>
      <c r="E82" s="1">
        <v>5959675.2999999998</v>
      </c>
      <c r="F82" s="1">
        <v>0</v>
      </c>
      <c r="G82" s="1">
        <v>-0.7</v>
      </c>
      <c r="H82" s="1">
        <v>0</v>
      </c>
      <c r="I82" s="1">
        <v>2</v>
      </c>
      <c r="J82" s="1">
        <v>0</v>
      </c>
      <c r="K82" s="1">
        <v>-58.2</v>
      </c>
      <c r="L82" s="1">
        <v>28.8</v>
      </c>
      <c r="M82" s="1">
        <v>1422.4680000000001</v>
      </c>
      <c r="N82" s="1">
        <v>83.6</v>
      </c>
      <c r="O82" s="1">
        <v>8</v>
      </c>
      <c r="P82" s="1">
        <v>10</v>
      </c>
      <c r="Q82" s="1">
        <v>2.81</v>
      </c>
      <c r="R82" s="1">
        <v>64</v>
      </c>
      <c r="S82" s="1">
        <v>110</v>
      </c>
      <c r="T82" s="1">
        <v>147</v>
      </c>
      <c r="U82" s="1">
        <v>1233.8040000000001</v>
      </c>
      <c r="V82" s="1">
        <v>430.87599999999998</v>
      </c>
      <c r="W82" s="1">
        <v>752.85199999999998</v>
      </c>
      <c r="X82" s="1">
        <v>132.18100000000001</v>
      </c>
      <c r="Y82" s="1">
        <v>4.9400000000000004</v>
      </c>
      <c r="Z82" s="1">
        <v>8.0150000000000006</v>
      </c>
      <c r="AA82" s="1">
        <v>21.7</v>
      </c>
      <c r="AB82" s="1">
        <v>290.5</v>
      </c>
      <c r="AC82" s="1">
        <v>12189</v>
      </c>
      <c r="AD82" s="1">
        <v>2839</v>
      </c>
      <c r="AE82" s="1">
        <v>268</v>
      </c>
      <c r="AF82" s="1">
        <v>15</v>
      </c>
      <c r="AG82" s="1">
        <v>15</v>
      </c>
      <c r="AH82" s="1">
        <v>37.5</v>
      </c>
      <c r="AI82" s="1">
        <v>49.8</v>
      </c>
      <c r="AJ82" s="1">
        <v>12.6</v>
      </c>
      <c r="AK82" s="1">
        <v>77.099999999999994</v>
      </c>
      <c r="AL82" s="1">
        <v>31.9</v>
      </c>
      <c r="AM82" s="1">
        <v>8</v>
      </c>
      <c r="AN82" s="1">
        <v>0</v>
      </c>
      <c r="AO82" s="1">
        <v>0</v>
      </c>
      <c r="AP82" s="1" t="s">
        <v>266</v>
      </c>
      <c r="AQ82" s="1" t="s">
        <v>267</v>
      </c>
      <c r="AR82" s="1" t="s">
        <v>268</v>
      </c>
    </row>
    <row r="83" spans="1:44" x14ac:dyDescent="0.2">
      <c r="A83" s="1" t="s">
        <v>106</v>
      </c>
      <c r="B83" s="1" t="s">
        <v>269</v>
      </c>
      <c r="C83" s="1">
        <v>-31.4</v>
      </c>
      <c r="D83" s="1">
        <v>474974.3</v>
      </c>
      <c r="E83" s="1">
        <v>5958531.5999999996</v>
      </c>
      <c r="F83" s="1">
        <v>0</v>
      </c>
      <c r="G83" s="1">
        <v>-0.7</v>
      </c>
      <c r="H83" s="1">
        <v>0</v>
      </c>
      <c r="I83" s="1">
        <v>2</v>
      </c>
      <c r="J83" s="1">
        <v>0</v>
      </c>
      <c r="K83" s="1">
        <v>-62.4</v>
      </c>
      <c r="L83" s="1">
        <v>31</v>
      </c>
      <c r="M83" s="1">
        <v>1526.357</v>
      </c>
      <c r="N83" s="1">
        <v>87.8</v>
      </c>
      <c r="O83" s="1">
        <v>8</v>
      </c>
      <c r="P83" s="1">
        <v>10</v>
      </c>
      <c r="Q83" s="1">
        <v>3.03</v>
      </c>
      <c r="R83" s="1">
        <v>68</v>
      </c>
      <c r="S83" s="1">
        <v>110</v>
      </c>
      <c r="T83" s="1">
        <v>147</v>
      </c>
      <c r="U83" s="1">
        <v>1295.9949999999999</v>
      </c>
      <c r="V83" s="1">
        <v>555.55899999999997</v>
      </c>
      <c r="W83" s="1">
        <v>752.85199999999998</v>
      </c>
      <c r="X83" s="1">
        <v>132.18100000000001</v>
      </c>
      <c r="Y83" s="1">
        <v>4.9400000000000004</v>
      </c>
      <c r="Z83" s="1">
        <v>8.0150000000000006</v>
      </c>
      <c r="AA83" s="1">
        <v>21.7</v>
      </c>
      <c r="AB83" s="1">
        <v>290.5</v>
      </c>
      <c r="AC83" s="1">
        <v>12450</v>
      </c>
      <c r="AD83" s="1">
        <v>2963</v>
      </c>
      <c r="AE83" s="1">
        <v>268</v>
      </c>
      <c r="AF83" s="1">
        <v>17</v>
      </c>
      <c r="AG83" s="1">
        <v>17</v>
      </c>
      <c r="AH83" s="1">
        <v>35.5</v>
      </c>
      <c r="AI83" s="1">
        <v>51.8</v>
      </c>
      <c r="AJ83" s="1">
        <v>12.8</v>
      </c>
      <c r="AK83" s="1">
        <v>78.5</v>
      </c>
      <c r="AL83" s="1">
        <v>31.9</v>
      </c>
      <c r="AM83" s="1">
        <v>8</v>
      </c>
      <c r="AN83" s="1">
        <v>0</v>
      </c>
      <c r="AO83" s="1">
        <v>0</v>
      </c>
      <c r="AP83" s="1" t="s">
        <v>266</v>
      </c>
      <c r="AQ83" s="1" t="s">
        <v>267</v>
      </c>
      <c r="AR83" s="1" t="s">
        <v>268</v>
      </c>
    </row>
    <row r="84" spans="1:44" x14ac:dyDescent="0.2">
      <c r="A84" s="1" t="s">
        <v>120</v>
      </c>
      <c r="B84" s="1" t="s">
        <v>265</v>
      </c>
      <c r="C84" s="1">
        <v>-32.1</v>
      </c>
      <c r="D84" s="1">
        <v>478241.3</v>
      </c>
      <c r="E84" s="1">
        <v>5956648.2000000002</v>
      </c>
      <c r="F84" s="1">
        <v>0</v>
      </c>
      <c r="G84" s="1">
        <v>-0.7</v>
      </c>
      <c r="H84" s="1">
        <v>0</v>
      </c>
      <c r="I84" s="1">
        <v>2</v>
      </c>
      <c r="J84" s="1">
        <v>0</v>
      </c>
      <c r="K84" s="1">
        <v>-61.2</v>
      </c>
      <c r="L84" s="1">
        <v>29.1</v>
      </c>
      <c r="M84" s="1">
        <v>1508.8040000000001</v>
      </c>
      <c r="N84" s="1">
        <v>86.6</v>
      </c>
      <c r="O84" s="1">
        <v>8</v>
      </c>
      <c r="P84" s="1">
        <v>10</v>
      </c>
      <c r="Q84" s="1">
        <v>2.84</v>
      </c>
      <c r="R84" s="1">
        <v>68</v>
      </c>
      <c r="S84" s="1">
        <v>110</v>
      </c>
      <c r="T84" s="1">
        <v>147</v>
      </c>
      <c r="U84" s="1">
        <v>1295.9449999999999</v>
      </c>
      <c r="V84" s="1">
        <v>487.29899999999998</v>
      </c>
      <c r="W84" s="1">
        <v>752.85199999999998</v>
      </c>
      <c r="X84" s="1">
        <v>132.18100000000001</v>
      </c>
      <c r="Y84" s="1">
        <v>4.9400000000000004</v>
      </c>
      <c r="Z84" s="1">
        <v>8.0150000000000006</v>
      </c>
      <c r="AA84" s="1">
        <v>21.7</v>
      </c>
      <c r="AB84" s="1">
        <v>290.5</v>
      </c>
      <c r="AC84" s="1">
        <v>12375</v>
      </c>
      <c r="AD84" s="1">
        <v>3006</v>
      </c>
      <c r="AE84" s="1">
        <v>268</v>
      </c>
      <c r="AF84" s="1">
        <v>15</v>
      </c>
      <c r="AG84" s="1">
        <v>15</v>
      </c>
      <c r="AH84" s="1">
        <v>35.9</v>
      </c>
      <c r="AI84" s="1">
        <v>51.1</v>
      </c>
      <c r="AJ84" s="1">
        <v>13</v>
      </c>
      <c r="AK84" s="1">
        <v>78.8</v>
      </c>
      <c r="AL84" s="1">
        <v>31.9</v>
      </c>
      <c r="AM84" s="1">
        <v>8</v>
      </c>
      <c r="AN84" s="1">
        <v>0</v>
      </c>
      <c r="AO84" s="1">
        <v>0</v>
      </c>
      <c r="AP84" s="1" t="s">
        <v>266</v>
      </c>
      <c r="AQ84" s="1" t="s">
        <v>267</v>
      </c>
      <c r="AR84" s="1" t="s">
        <v>268</v>
      </c>
    </row>
    <row r="85" spans="1:44" x14ac:dyDescent="0.2">
      <c r="A85" s="1" t="s">
        <v>84</v>
      </c>
      <c r="B85" s="1" t="s">
        <v>269</v>
      </c>
      <c r="C85" s="1">
        <v>-34.1</v>
      </c>
      <c r="D85" s="1">
        <v>480591</v>
      </c>
      <c r="E85" s="1">
        <v>5956212.5</v>
      </c>
      <c r="F85" s="1">
        <v>0</v>
      </c>
      <c r="G85" s="1">
        <v>-0.6</v>
      </c>
      <c r="H85" s="1">
        <v>0</v>
      </c>
      <c r="I85" s="1">
        <v>2</v>
      </c>
      <c r="J85" s="1">
        <v>0</v>
      </c>
      <c r="K85" s="1">
        <v>-63.8</v>
      </c>
      <c r="L85" s="1">
        <v>29.7</v>
      </c>
      <c r="M85" s="1">
        <v>1595.403</v>
      </c>
      <c r="N85" s="1">
        <v>89.2</v>
      </c>
      <c r="O85" s="1">
        <v>8</v>
      </c>
      <c r="P85" s="1">
        <v>10</v>
      </c>
      <c r="Q85" s="1">
        <v>2.91</v>
      </c>
      <c r="R85" s="1">
        <v>68</v>
      </c>
      <c r="S85" s="1">
        <v>110</v>
      </c>
      <c r="T85" s="1">
        <v>147</v>
      </c>
      <c r="U85" s="1">
        <v>1358.0350000000001</v>
      </c>
      <c r="V85" s="1">
        <v>547.24</v>
      </c>
      <c r="W85" s="1">
        <v>752.85199999999998</v>
      </c>
      <c r="X85" s="1">
        <v>132.18100000000001</v>
      </c>
      <c r="Y85" s="1">
        <v>4.9400000000000004</v>
      </c>
      <c r="Z85" s="1">
        <v>8.0150000000000006</v>
      </c>
      <c r="AA85" s="1">
        <v>21.7</v>
      </c>
      <c r="AB85" s="1">
        <v>290.5</v>
      </c>
      <c r="AC85" s="1">
        <v>12536</v>
      </c>
      <c r="AD85" s="1">
        <v>3130</v>
      </c>
      <c r="AE85" s="1">
        <v>268</v>
      </c>
      <c r="AF85" s="1">
        <v>15</v>
      </c>
      <c r="AG85" s="1">
        <v>15</v>
      </c>
      <c r="AH85" s="1">
        <v>34.299999999999997</v>
      </c>
      <c r="AI85" s="1">
        <v>52.3</v>
      </c>
      <c r="AJ85" s="1">
        <v>13.4</v>
      </c>
      <c r="AK85" s="1">
        <v>80.599999999999994</v>
      </c>
      <c r="AL85" s="1">
        <v>31.9</v>
      </c>
      <c r="AM85" s="1">
        <v>8</v>
      </c>
      <c r="AN85" s="1">
        <v>0</v>
      </c>
      <c r="AO85" s="1">
        <v>0</v>
      </c>
      <c r="AP85" s="1" t="s">
        <v>266</v>
      </c>
      <c r="AQ85" s="1" t="s">
        <v>267</v>
      </c>
      <c r="AR85" s="1" t="s">
        <v>268</v>
      </c>
    </row>
    <row r="86" spans="1:44" x14ac:dyDescent="0.2">
      <c r="A86" s="1" t="s">
        <v>91</v>
      </c>
      <c r="B86" s="1" t="s">
        <v>269</v>
      </c>
      <c r="C86" s="1">
        <v>-34.4</v>
      </c>
      <c r="D86" s="1">
        <v>481023.4</v>
      </c>
      <c r="E86" s="1">
        <v>5958793.4000000004</v>
      </c>
      <c r="F86" s="1">
        <v>0</v>
      </c>
      <c r="G86" s="1">
        <v>-0.6</v>
      </c>
      <c r="H86" s="1">
        <v>0</v>
      </c>
      <c r="I86" s="1">
        <v>2</v>
      </c>
      <c r="J86" s="1">
        <v>0</v>
      </c>
      <c r="K86" s="1">
        <v>-63.2</v>
      </c>
      <c r="L86" s="1">
        <v>28.8</v>
      </c>
      <c r="M86" s="1">
        <v>1592.0550000000001</v>
      </c>
      <c r="N86" s="1">
        <v>88.6</v>
      </c>
      <c r="O86" s="1">
        <v>8</v>
      </c>
      <c r="P86" s="1">
        <v>10</v>
      </c>
      <c r="Q86" s="1">
        <v>2.82</v>
      </c>
      <c r="R86" s="1">
        <v>68</v>
      </c>
      <c r="S86" s="1">
        <v>110</v>
      </c>
      <c r="T86" s="1">
        <v>147</v>
      </c>
      <c r="U86" s="1">
        <v>1295.6559999999999</v>
      </c>
      <c r="V86" s="1">
        <v>577.726</v>
      </c>
      <c r="W86" s="1">
        <v>752.85199999999998</v>
      </c>
      <c r="X86" s="1">
        <v>132.18100000000001</v>
      </c>
      <c r="Y86" s="1">
        <v>4.9400000000000004</v>
      </c>
      <c r="Z86" s="1">
        <v>8.0150000000000006</v>
      </c>
      <c r="AA86" s="1">
        <v>21.7</v>
      </c>
      <c r="AB86" s="1">
        <v>290.5</v>
      </c>
      <c r="AC86" s="1">
        <v>12498</v>
      </c>
      <c r="AD86" s="1">
        <v>3149</v>
      </c>
      <c r="AE86" s="1">
        <v>268</v>
      </c>
      <c r="AF86" s="1">
        <v>15</v>
      </c>
      <c r="AG86" s="1">
        <v>15</v>
      </c>
      <c r="AH86" s="1">
        <v>34.4</v>
      </c>
      <c r="AI86" s="1">
        <v>52.3</v>
      </c>
      <c r="AJ86" s="1">
        <v>13.3</v>
      </c>
      <c r="AK86" s="1">
        <v>81</v>
      </c>
      <c r="AL86" s="1">
        <v>31.9</v>
      </c>
      <c r="AM86" s="1">
        <v>8</v>
      </c>
      <c r="AN86" s="1">
        <v>0</v>
      </c>
      <c r="AO86" s="1">
        <v>0</v>
      </c>
      <c r="AP86" s="1" t="s">
        <v>266</v>
      </c>
      <c r="AQ86" s="1" t="s">
        <v>267</v>
      </c>
      <c r="AR86" s="1" t="s">
        <v>268</v>
      </c>
    </row>
    <row r="87" spans="1:44" x14ac:dyDescent="0.2">
      <c r="A87" s="1" t="s">
        <v>177</v>
      </c>
      <c r="B87" s="1" t="s">
        <v>271</v>
      </c>
      <c r="C87" s="1">
        <v>-38.799999999999997</v>
      </c>
      <c r="D87" s="1">
        <v>481498</v>
      </c>
      <c r="E87" s="1">
        <v>5961220</v>
      </c>
      <c r="F87" s="1">
        <v>0</v>
      </c>
      <c r="G87" s="1">
        <v>-0.7</v>
      </c>
      <c r="H87" s="1">
        <v>0</v>
      </c>
      <c r="I87" s="1">
        <v>2</v>
      </c>
      <c r="J87" s="1">
        <v>0</v>
      </c>
      <c r="K87" s="1">
        <v>-68.599999999999994</v>
      </c>
      <c r="L87" s="1">
        <v>29.8</v>
      </c>
      <c r="M87" s="1">
        <v>1755.7370000000001</v>
      </c>
      <c r="N87" s="1">
        <v>94</v>
      </c>
      <c r="O87" s="1">
        <v>8</v>
      </c>
      <c r="P87" s="1">
        <v>10.5</v>
      </c>
      <c r="Q87" s="1">
        <v>2.7713999999999999</v>
      </c>
      <c r="R87" s="1">
        <v>72</v>
      </c>
      <c r="S87" s="1">
        <v>112</v>
      </c>
      <c r="T87" s="1">
        <v>146</v>
      </c>
      <c r="U87" s="1">
        <v>1406.2329999999999</v>
      </c>
      <c r="V87" s="1">
        <v>362.03100000000001</v>
      </c>
      <c r="W87" s="1">
        <v>752.85199999999998</v>
      </c>
      <c r="X87" s="1">
        <v>132.18100000000001</v>
      </c>
      <c r="Y87" s="1">
        <v>4.9400000000000004</v>
      </c>
      <c r="Z87" s="1">
        <v>8.0150000000000006</v>
      </c>
      <c r="AA87" s="1">
        <v>21.7</v>
      </c>
      <c r="AB87" s="1">
        <v>290.5</v>
      </c>
      <c r="AC87" s="1">
        <v>12990</v>
      </c>
      <c r="AD87" s="1">
        <v>3493</v>
      </c>
      <c r="AE87" s="1">
        <v>268</v>
      </c>
      <c r="AF87" s="1">
        <v>15</v>
      </c>
      <c r="AG87" s="1">
        <v>15</v>
      </c>
      <c r="AH87" s="1">
        <v>32.4</v>
      </c>
      <c r="AI87" s="1">
        <v>52.9</v>
      </c>
      <c r="AJ87" s="1">
        <v>14.8</v>
      </c>
      <c r="AK87" s="1">
        <v>81.7</v>
      </c>
      <c r="AL87" s="1">
        <v>31.9</v>
      </c>
      <c r="AM87" s="1">
        <v>8</v>
      </c>
      <c r="AN87" s="1">
        <v>0</v>
      </c>
      <c r="AO87" s="1">
        <v>0</v>
      </c>
      <c r="AP87" s="1" t="s">
        <v>270</v>
      </c>
      <c r="AQ87" s="1" t="s">
        <v>267</v>
      </c>
      <c r="AR87" s="1" t="s">
        <v>268</v>
      </c>
    </row>
    <row r="88" spans="1:44" x14ac:dyDescent="0.2">
      <c r="A88" s="1" t="s">
        <v>148</v>
      </c>
      <c r="B88" s="1" t="s">
        <v>265</v>
      </c>
      <c r="C88" s="1">
        <v>-29.6</v>
      </c>
      <c r="D88" s="1">
        <v>479406.2</v>
      </c>
      <c r="E88" s="1">
        <v>5967670</v>
      </c>
      <c r="F88" s="1">
        <v>0</v>
      </c>
      <c r="G88" s="1">
        <v>-0.6</v>
      </c>
      <c r="H88" s="1">
        <v>0</v>
      </c>
      <c r="I88" s="1">
        <v>2</v>
      </c>
      <c r="J88" s="1">
        <v>0</v>
      </c>
      <c r="K88" s="1">
        <v>-59.6</v>
      </c>
      <c r="L88" s="1">
        <v>30</v>
      </c>
      <c r="M88" s="1">
        <v>1442.941</v>
      </c>
      <c r="N88" s="1">
        <v>85</v>
      </c>
      <c r="O88" s="1">
        <v>8</v>
      </c>
      <c r="P88" s="1">
        <v>10</v>
      </c>
      <c r="Q88" s="1">
        <v>2.94</v>
      </c>
      <c r="R88" s="1">
        <v>64</v>
      </c>
      <c r="S88" s="1">
        <v>110</v>
      </c>
      <c r="T88" s="1">
        <v>147</v>
      </c>
      <c r="U88" s="1">
        <v>1296.2090000000001</v>
      </c>
      <c r="V88" s="1">
        <v>487.42399999999998</v>
      </c>
      <c r="W88" s="1">
        <v>752.85199999999998</v>
      </c>
      <c r="X88" s="1">
        <v>132.18100000000001</v>
      </c>
      <c r="Y88" s="1">
        <v>4.9400000000000004</v>
      </c>
      <c r="Z88" s="1">
        <v>8.0150000000000006</v>
      </c>
      <c r="AA88" s="1">
        <v>21.7</v>
      </c>
      <c r="AB88" s="1">
        <v>290.5</v>
      </c>
      <c r="AC88" s="1">
        <v>12276</v>
      </c>
      <c r="AD88" s="1">
        <v>2851</v>
      </c>
      <c r="AE88" s="1">
        <v>268</v>
      </c>
      <c r="AF88" s="1">
        <v>15</v>
      </c>
      <c r="AG88" s="1">
        <v>15</v>
      </c>
      <c r="AH88" s="1">
        <v>37</v>
      </c>
      <c r="AI88" s="1">
        <v>50.6</v>
      </c>
      <c r="AJ88" s="1">
        <v>12.5</v>
      </c>
      <c r="AK88" s="1">
        <v>76.900000000000006</v>
      </c>
      <c r="AL88" s="1">
        <v>31.9</v>
      </c>
      <c r="AM88" s="1">
        <v>8</v>
      </c>
      <c r="AN88" s="1">
        <v>0</v>
      </c>
      <c r="AO88" s="1">
        <v>0</v>
      </c>
      <c r="AP88" s="1" t="s">
        <v>266</v>
      </c>
      <c r="AQ88" s="1" t="s">
        <v>267</v>
      </c>
      <c r="AR88" s="1" t="s">
        <v>268</v>
      </c>
    </row>
    <row r="89" spans="1:44" x14ac:dyDescent="0.2">
      <c r="A89" s="1" t="s">
        <v>50</v>
      </c>
      <c r="B89" s="1" t="s">
        <v>265</v>
      </c>
      <c r="C89" s="1">
        <v>-35.4</v>
      </c>
      <c r="D89" s="1">
        <v>479140.8</v>
      </c>
      <c r="E89" s="1">
        <v>5971062</v>
      </c>
      <c r="F89" s="1">
        <v>0</v>
      </c>
      <c r="G89" s="1">
        <v>-0.8</v>
      </c>
      <c r="H89" s="1">
        <v>0</v>
      </c>
      <c r="I89" s="1">
        <v>2</v>
      </c>
      <c r="J89" s="1">
        <v>0</v>
      </c>
      <c r="K89" s="1">
        <v>-65.5</v>
      </c>
      <c r="L89" s="1">
        <v>30.1</v>
      </c>
      <c r="M89" s="1">
        <v>1663.2629999999999</v>
      </c>
      <c r="N89" s="1">
        <v>90.9</v>
      </c>
      <c r="O89" s="1">
        <v>8</v>
      </c>
      <c r="P89" s="1">
        <v>10</v>
      </c>
      <c r="Q89" s="1">
        <v>2.93</v>
      </c>
      <c r="R89" s="1">
        <v>68</v>
      </c>
      <c r="S89" s="1">
        <v>110</v>
      </c>
      <c r="T89" s="1">
        <v>147</v>
      </c>
      <c r="U89" s="1">
        <v>1357.8209999999999</v>
      </c>
      <c r="V89" s="1">
        <v>515.774</v>
      </c>
      <c r="W89" s="1">
        <v>752.85199999999998</v>
      </c>
      <c r="X89" s="1">
        <v>132.18100000000001</v>
      </c>
      <c r="Y89" s="1">
        <v>4.9400000000000004</v>
      </c>
      <c r="Z89" s="1">
        <v>8.0150000000000006</v>
      </c>
      <c r="AA89" s="1">
        <v>21.7</v>
      </c>
      <c r="AB89" s="1">
        <v>290.5</v>
      </c>
      <c r="AC89" s="1">
        <v>12641</v>
      </c>
      <c r="AD89" s="1">
        <v>3211</v>
      </c>
      <c r="AE89" s="1">
        <v>268</v>
      </c>
      <c r="AF89" s="1">
        <v>15</v>
      </c>
      <c r="AG89" s="1">
        <v>15</v>
      </c>
      <c r="AH89" s="1">
        <v>33</v>
      </c>
      <c r="AI89" s="1">
        <v>53.8</v>
      </c>
      <c r="AJ89" s="1">
        <v>13.1</v>
      </c>
      <c r="AK89" s="1">
        <v>82.2</v>
      </c>
      <c r="AL89" s="1">
        <v>31.9</v>
      </c>
      <c r="AM89" s="1">
        <v>8</v>
      </c>
      <c r="AN89" s="1">
        <v>0</v>
      </c>
      <c r="AO89" s="1">
        <v>0</v>
      </c>
      <c r="AP89" s="1" t="s">
        <v>266</v>
      </c>
      <c r="AQ89" s="1" t="s">
        <v>267</v>
      </c>
      <c r="AR89" s="1" t="s">
        <v>268</v>
      </c>
    </row>
    <row r="90" spans="1:44" x14ac:dyDescent="0.2">
      <c r="A90" s="1" t="s">
        <v>116</v>
      </c>
      <c r="B90" s="1" t="s">
        <v>265</v>
      </c>
      <c r="C90" s="1">
        <v>-35.6</v>
      </c>
      <c r="D90" s="1">
        <v>456105</v>
      </c>
      <c r="E90" s="1">
        <v>5969154</v>
      </c>
      <c r="F90" s="1">
        <v>0</v>
      </c>
      <c r="G90" s="1">
        <v>-0.6</v>
      </c>
      <c r="H90" s="1">
        <v>0</v>
      </c>
      <c r="I90" s="1">
        <v>2</v>
      </c>
      <c r="J90" s="1">
        <v>0</v>
      </c>
      <c r="K90" s="1">
        <v>-61.5</v>
      </c>
      <c r="L90" s="1">
        <v>25.9</v>
      </c>
      <c r="M90" s="1">
        <v>1561.069</v>
      </c>
      <c r="N90" s="1">
        <v>86.9</v>
      </c>
      <c r="O90" s="1">
        <v>8</v>
      </c>
      <c r="P90" s="1">
        <v>10</v>
      </c>
      <c r="Q90" s="1">
        <v>2.5299999999999998</v>
      </c>
      <c r="R90" s="1">
        <v>68</v>
      </c>
      <c r="S90" s="1">
        <v>110</v>
      </c>
      <c r="T90" s="1">
        <v>147</v>
      </c>
      <c r="U90" s="1">
        <v>1295.643</v>
      </c>
      <c r="V90" s="1">
        <v>521.10199999999998</v>
      </c>
      <c r="W90" s="1">
        <v>752.85199999999998</v>
      </c>
      <c r="X90" s="1">
        <v>132.18100000000001</v>
      </c>
      <c r="Y90" s="1">
        <v>4.9400000000000004</v>
      </c>
      <c r="Z90" s="1">
        <v>8.0150000000000006</v>
      </c>
      <c r="AA90" s="1">
        <v>21.7</v>
      </c>
      <c r="AB90" s="1">
        <v>290.5</v>
      </c>
      <c r="AC90" s="1">
        <v>12392</v>
      </c>
      <c r="AD90" s="1">
        <v>3224</v>
      </c>
      <c r="AE90" s="1">
        <v>268</v>
      </c>
      <c r="AF90" s="1">
        <v>15</v>
      </c>
      <c r="AG90" s="1">
        <v>15</v>
      </c>
      <c r="AH90" s="1">
        <v>35</v>
      </c>
      <c r="AI90" s="1">
        <v>51.7</v>
      </c>
      <c r="AJ90" s="1">
        <v>13.3</v>
      </c>
      <c r="AK90" s="1">
        <v>81.099999999999994</v>
      </c>
      <c r="AL90" s="1">
        <v>31.9</v>
      </c>
      <c r="AM90" s="1">
        <v>8</v>
      </c>
      <c r="AN90" s="1">
        <v>0</v>
      </c>
      <c r="AO90" s="1">
        <v>0</v>
      </c>
      <c r="AP90" s="1" t="s">
        <v>266</v>
      </c>
      <c r="AQ90" s="1" t="s">
        <v>267</v>
      </c>
      <c r="AR90" s="1" t="s">
        <v>268</v>
      </c>
    </row>
    <row r="91" spans="1:44" x14ac:dyDescent="0.2">
      <c r="A91" s="1" t="s">
        <v>185</v>
      </c>
      <c r="B91" s="1" t="s">
        <v>265</v>
      </c>
      <c r="C91" s="1">
        <v>-38.9</v>
      </c>
      <c r="D91" s="1">
        <v>458040</v>
      </c>
      <c r="E91" s="1">
        <v>5969202</v>
      </c>
      <c r="F91" s="1">
        <v>0</v>
      </c>
      <c r="G91" s="1">
        <v>-0.6</v>
      </c>
      <c r="H91" s="1">
        <v>0</v>
      </c>
      <c r="I91" s="1">
        <v>2</v>
      </c>
      <c r="J91" s="1">
        <v>0</v>
      </c>
      <c r="K91" s="1">
        <v>-66.5</v>
      </c>
      <c r="L91" s="1">
        <v>27.6</v>
      </c>
      <c r="M91" s="1">
        <v>1717.8989999999999</v>
      </c>
      <c r="N91" s="1">
        <v>91.9</v>
      </c>
      <c r="O91" s="1">
        <v>8</v>
      </c>
      <c r="P91" s="1">
        <v>10.5</v>
      </c>
      <c r="Q91" s="1">
        <v>2.5714000000000001</v>
      </c>
      <c r="R91" s="1">
        <v>72</v>
      </c>
      <c r="S91" s="1">
        <v>112</v>
      </c>
      <c r="T91" s="1">
        <v>146</v>
      </c>
      <c r="U91" s="1">
        <v>1406.1959999999999</v>
      </c>
      <c r="V91" s="1">
        <v>356.08100000000002</v>
      </c>
      <c r="W91" s="1">
        <v>752.85199999999998</v>
      </c>
      <c r="X91" s="1">
        <v>132.18100000000001</v>
      </c>
      <c r="Y91" s="1">
        <v>4.9400000000000004</v>
      </c>
      <c r="Z91" s="1">
        <v>8.0150000000000006</v>
      </c>
      <c r="AA91" s="1">
        <v>21.7</v>
      </c>
      <c r="AB91" s="1">
        <v>290.5</v>
      </c>
      <c r="AC91" s="1">
        <v>12852</v>
      </c>
      <c r="AD91" s="1">
        <v>3499</v>
      </c>
      <c r="AE91" s="1">
        <v>268</v>
      </c>
      <c r="AF91" s="1">
        <v>15</v>
      </c>
      <c r="AG91" s="1">
        <v>15</v>
      </c>
      <c r="AH91" s="1">
        <v>33.4</v>
      </c>
      <c r="AI91" s="1">
        <v>51.5</v>
      </c>
      <c r="AJ91" s="1">
        <v>15.2</v>
      </c>
      <c r="AK91" s="1">
        <v>82</v>
      </c>
      <c r="AL91" s="1">
        <v>31.9</v>
      </c>
      <c r="AM91" s="1">
        <v>8</v>
      </c>
      <c r="AN91" s="1">
        <v>0</v>
      </c>
      <c r="AO91" s="1">
        <v>0</v>
      </c>
      <c r="AP91" s="1" t="s">
        <v>270</v>
      </c>
      <c r="AQ91" s="1" t="s">
        <v>267</v>
      </c>
      <c r="AR91" s="1" t="s">
        <v>268</v>
      </c>
    </row>
    <row r="92" spans="1:44" x14ac:dyDescent="0.2">
      <c r="A92" s="1" t="s">
        <v>175</v>
      </c>
      <c r="B92" s="1" t="s">
        <v>265</v>
      </c>
      <c r="C92" s="1">
        <v>-39.4</v>
      </c>
      <c r="D92" s="1">
        <v>461186</v>
      </c>
      <c r="E92" s="1">
        <v>5967340.0999999996</v>
      </c>
      <c r="F92" s="1">
        <v>0</v>
      </c>
      <c r="G92" s="1">
        <v>-0.6</v>
      </c>
      <c r="H92" s="1">
        <v>0</v>
      </c>
      <c r="I92" s="1">
        <v>2</v>
      </c>
      <c r="J92" s="1">
        <v>0</v>
      </c>
      <c r="K92" s="1">
        <v>-69.400000000000006</v>
      </c>
      <c r="L92" s="1">
        <v>30</v>
      </c>
      <c r="M92" s="1">
        <v>1775.9870000000001</v>
      </c>
      <c r="N92" s="1">
        <v>94.8</v>
      </c>
      <c r="O92" s="1">
        <v>8</v>
      </c>
      <c r="P92" s="1">
        <v>10.5</v>
      </c>
      <c r="Q92" s="1">
        <v>2.8</v>
      </c>
      <c r="R92" s="1">
        <v>72</v>
      </c>
      <c r="S92" s="1">
        <v>112</v>
      </c>
      <c r="T92" s="1">
        <v>146</v>
      </c>
      <c r="U92" s="1">
        <v>1406.1959999999999</v>
      </c>
      <c r="V92" s="1">
        <v>421.17399999999998</v>
      </c>
      <c r="W92" s="1">
        <v>752.85199999999998</v>
      </c>
      <c r="X92" s="1">
        <v>132.18100000000001</v>
      </c>
      <c r="Y92" s="1">
        <v>4.9400000000000004</v>
      </c>
      <c r="Z92" s="1">
        <v>8.0150000000000006</v>
      </c>
      <c r="AA92" s="1">
        <v>21.7</v>
      </c>
      <c r="AB92" s="1">
        <v>290.5</v>
      </c>
      <c r="AC92" s="1">
        <v>13042</v>
      </c>
      <c r="AD92" s="1">
        <v>3532</v>
      </c>
      <c r="AE92" s="1">
        <v>268</v>
      </c>
      <c r="AF92" s="1">
        <v>15</v>
      </c>
      <c r="AG92" s="1">
        <v>15</v>
      </c>
      <c r="AH92" s="1">
        <v>32.299999999999997</v>
      </c>
      <c r="AI92" s="1">
        <v>53.2</v>
      </c>
      <c r="AJ92" s="1">
        <v>14.5</v>
      </c>
      <c r="AK92" s="1">
        <v>81.900000000000006</v>
      </c>
      <c r="AL92" s="1">
        <v>31.9</v>
      </c>
      <c r="AM92" s="1">
        <v>8</v>
      </c>
      <c r="AN92" s="1">
        <v>0</v>
      </c>
      <c r="AO92" s="1">
        <v>0</v>
      </c>
      <c r="AP92" s="1" t="s">
        <v>270</v>
      </c>
      <c r="AQ92" s="1" t="s">
        <v>267</v>
      </c>
      <c r="AR92" s="1" t="s">
        <v>268</v>
      </c>
    </row>
    <row r="93" spans="1:44" x14ac:dyDescent="0.2">
      <c r="A93" s="1" t="s">
        <v>18</v>
      </c>
      <c r="B93" s="1" t="s">
        <v>265</v>
      </c>
      <c r="C93" s="1">
        <v>-38</v>
      </c>
      <c r="D93" s="1">
        <v>464409.8</v>
      </c>
      <c r="E93" s="1">
        <v>5965428.0999999996</v>
      </c>
      <c r="F93" s="1">
        <v>0</v>
      </c>
      <c r="G93" s="1">
        <v>-0.6</v>
      </c>
      <c r="H93" s="1">
        <v>0</v>
      </c>
      <c r="I93" s="1">
        <v>2</v>
      </c>
      <c r="J93" s="1">
        <v>0</v>
      </c>
      <c r="K93" s="1">
        <v>-69.3</v>
      </c>
      <c r="L93" s="1">
        <v>31.3</v>
      </c>
      <c r="M93" s="1">
        <v>1799.0540000000001</v>
      </c>
      <c r="N93" s="1">
        <v>94.7</v>
      </c>
      <c r="O93" s="1">
        <v>8</v>
      </c>
      <c r="P93" s="1">
        <v>10</v>
      </c>
      <c r="Q93" s="1">
        <v>3.07</v>
      </c>
      <c r="R93" s="1">
        <v>68</v>
      </c>
      <c r="S93" s="1">
        <v>110</v>
      </c>
      <c r="T93" s="1">
        <v>147</v>
      </c>
      <c r="U93" s="1">
        <v>1419.761</v>
      </c>
      <c r="V93" s="1">
        <v>458.66</v>
      </c>
      <c r="W93" s="1">
        <v>752.85199999999998</v>
      </c>
      <c r="X93" s="1">
        <v>132.18100000000001</v>
      </c>
      <c r="Y93" s="1">
        <v>4.9400000000000004</v>
      </c>
      <c r="Z93" s="1">
        <v>8.0150000000000006</v>
      </c>
      <c r="AA93" s="1">
        <v>21.7</v>
      </c>
      <c r="AB93" s="1">
        <v>290.5</v>
      </c>
      <c r="AC93" s="1">
        <v>12876</v>
      </c>
      <c r="AD93" s="1">
        <v>3372</v>
      </c>
      <c r="AE93" s="1">
        <v>268</v>
      </c>
      <c r="AF93" s="1">
        <v>17</v>
      </c>
      <c r="AG93" s="1">
        <v>17</v>
      </c>
      <c r="AH93" s="1">
        <v>30.3</v>
      </c>
      <c r="AI93" s="1">
        <v>58.1</v>
      </c>
      <c r="AJ93" s="1">
        <v>11.6</v>
      </c>
      <c r="AK93" s="1">
        <v>84.7</v>
      </c>
      <c r="AL93" s="1">
        <v>31.9</v>
      </c>
      <c r="AM93" s="1">
        <v>8</v>
      </c>
      <c r="AN93" s="1">
        <v>0</v>
      </c>
      <c r="AO93" s="1">
        <v>0</v>
      </c>
      <c r="AP93" s="1" t="s">
        <v>266</v>
      </c>
      <c r="AQ93" s="1" t="s">
        <v>267</v>
      </c>
      <c r="AR93" s="1" t="s">
        <v>268</v>
      </c>
    </row>
    <row r="94" spans="1:44" x14ac:dyDescent="0.2">
      <c r="A94" s="1" t="s">
        <v>127</v>
      </c>
      <c r="B94" s="1" t="s">
        <v>269</v>
      </c>
      <c r="C94" s="1">
        <v>-32.299999999999997</v>
      </c>
      <c r="D94" s="1">
        <v>468148.5</v>
      </c>
      <c r="E94" s="1">
        <v>5962754.0999999996</v>
      </c>
      <c r="F94" s="1">
        <v>0</v>
      </c>
      <c r="G94" s="1">
        <v>-0.7</v>
      </c>
      <c r="H94" s="1">
        <v>0</v>
      </c>
      <c r="I94" s="1">
        <v>2</v>
      </c>
      <c r="J94" s="1">
        <v>0</v>
      </c>
      <c r="K94" s="1">
        <v>-60.9</v>
      </c>
      <c r="L94" s="1">
        <v>28.6</v>
      </c>
      <c r="M94" s="1">
        <v>1508.021</v>
      </c>
      <c r="N94" s="1">
        <v>86.3</v>
      </c>
      <c r="O94" s="1">
        <v>8</v>
      </c>
      <c r="P94" s="1">
        <v>10</v>
      </c>
      <c r="Q94" s="1">
        <v>2.79</v>
      </c>
      <c r="R94" s="1">
        <v>68</v>
      </c>
      <c r="S94" s="1">
        <v>110</v>
      </c>
      <c r="T94" s="1">
        <v>147</v>
      </c>
      <c r="U94" s="1">
        <v>1295.9069999999999</v>
      </c>
      <c r="V94" s="1">
        <v>522.82399999999996</v>
      </c>
      <c r="W94" s="1">
        <v>752.85199999999998</v>
      </c>
      <c r="X94" s="1">
        <v>132.18100000000001</v>
      </c>
      <c r="Y94" s="1">
        <v>4.9400000000000004</v>
      </c>
      <c r="Z94" s="1">
        <v>8.0150000000000006</v>
      </c>
      <c r="AA94" s="1">
        <v>21.7</v>
      </c>
      <c r="AB94" s="1">
        <v>290.5</v>
      </c>
      <c r="AC94" s="1">
        <v>12356</v>
      </c>
      <c r="AD94" s="1">
        <v>3019</v>
      </c>
      <c r="AE94" s="1">
        <v>268</v>
      </c>
      <c r="AF94" s="1">
        <v>15</v>
      </c>
      <c r="AG94" s="1">
        <v>15</v>
      </c>
      <c r="AH94" s="1">
        <v>35.9</v>
      </c>
      <c r="AI94" s="1">
        <v>50.8</v>
      </c>
      <c r="AJ94" s="1">
        <v>13.3</v>
      </c>
      <c r="AK94" s="1">
        <v>79</v>
      </c>
      <c r="AL94" s="1">
        <v>31.9</v>
      </c>
      <c r="AM94" s="1">
        <v>8</v>
      </c>
      <c r="AN94" s="1">
        <v>0</v>
      </c>
      <c r="AO94" s="1">
        <v>0</v>
      </c>
      <c r="AP94" s="1" t="s">
        <v>266</v>
      </c>
      <c r="AQ94" s="1" t="s">
        <v>267</v>
      </c>
      <c r="AR94" s="1" t="s">
        <v>268</v>
      </c>
    </row>
    <row r="95" spans="1:44" x14ac:dyDescent="0.2">
      <c r="A95" s="1" t="s">
        <v>151</v>
      </c>
      <c r="B95" s="1" t="s">
        <v>265</v>
      </c>
      <c r="C95" s="1">
        <v>-30.7</v>
      </c>
      <c r="D95" s="1">
        <v>471283.7</v>
      </c>
      <c r="E95" s="1">
        <v>5961073.2999999998</v>
      </c>
      <c r="F95" s="1">
        <v>0</v>
      </c>
      <c r="G95" s="1">
        <v>-0.6</v>
      </c>
      <c r="H95" s="1">
        <v>0</v>
      </c>
      <c r="I95" s="1">
        <v>2</v>
      </c>
      <c r="J95" s="1">
        <v>0</v>
      </c>
      <c r="K95" s="1">
        <v>-59.7</v>
      </c>
      <c r="L95" s="1">
        <v>29</v>
      </c>
      <c r="M95" s="1">
        <v>1448.5920000000001</v>
      </c>
      <c r="N95" s="1">
        <v>85.1</v>
      </c>
      <c r="O95" s="1">
        <v>8</v>
      </c>
      <c r="P95" s="1">
        <v>10</v>
      </c>
      <c r="Q95" s="1">
        <v>2.84</v>
      </c>
      <c r="R95" s="1">
        <v>64</v>
      </c>
      <c r="S95" s="1">
        <v>110</v>
      </c>
      <c r="T95" s="1">
        <v>147</v>
      </c>
      <c r="U95" s="1">
        <v>1296.1959999999999</v>
      </c>
      <c r="V95" s="1">
        <v>524.26900000000001</v>
      </c>
      <c r="W95" s="1">
        <v>752.85199999999998</v>
      </c>
      <c r="X95" s="1">
        <v>132.18100000000001</v>
      </c>
      <c r="Y95" s="1">
        <v>4.9400000000000004</v>
      </c>
      <c r="Z95" s="1">
        <v>8.0150000000000006</v>
      </c>
      <c r="AA95" s="1">
        <v>21.7</v>
      </c>
      <c r="AB95" s="1">
        <v>290.5</v>
      </c>
      <c r="AC95" s="1">
        <v>12282</v>
      </c>
      <c r="AD95" s="1">
        <v>2920</v>
      </c>
      <c r="AE95" s="1">
        <v>268</v>
      </c>
      <c r="AF95" s="1">
        <v>15</v>
      </c>
      <c r="AG95" s="1">
        <v>15</v>
      </c>
      <c r="AH95" s="1">
        <v>36.799999999999997</v>
      </c>
      <c r="AI95" s="1">
        <v>50.8</v>
      </c>
      <c r="AJ95" s="1">
        <v>12.4</v>
      </c>
      <c r="AK95" s="1">
        <v>77</v>
      </c>
      <c r="AL95" s="1">
        <v>31.9</v>
      </c>
      <c r="AM95" s="1">
        <v>8</v>
      </c>
      <c r="AN95" s="1">
        <v>0</v>
      </c>
      <c r="AO95" s="1">
        <v>0</v>
      </c>
      <c r="AP95" s="1" t="s">
        <v>266</v>
      </c>
      <c r="AQ95" s="1" t="s">
        <v>267</v>
      </c>
      <c r="AR95" s="1" t="s">
        <v>268</v>
      </c>
    </row>
    <row r="96" spans="1:44" x14ac:dyDescent="0.2">
      <c r="A96" s="1" t="s">
        <v>98</v>
      </c>
      <c r="B96" s="1" t="s">
        <v>265</v>
      </c>
      <c r="C96" s="1">
        <v>-30.8</v>
      </c>
      <c r="D96" s="1">
        <v>474045.4</v>
      </c>
      <c r="E96" s="1">
        <v>5960023.2999999998</v>
      </c>
      <c r="F96" s="1">
        <v>0</v>
      </c>
      <c r="G96" s="1">
        <v>-0.6</v>
      </c>
      <c r="H96" s="1">
        <v>0</v>
      </c>
      <c r="I96" s="1">
        <v>2</v>
      </c>
      <c r="J96" s="1">
        <v>0</v>
      </c>
      <c r="K96" s="1">
        <v>-62.6</v>
      </c>
      <c r="L96" s="1">
        <v>31.8</v>
      </c>
      <c r="M96" s="1">
        <v>1516.0550000000001</v>
      </c>
      <c r="N96" s="1">
        <v>88</v>
      </c>
      <c r="O96" s="1">
        <v>8</v>
      </c>
      <c r="P96" s="1">
        <v>10</v>
      </c>
      <c r="Q96" s="1">
        <v>3.12</v>
      </c>
      <c r="R96" s="1">
        <v>66</v>
      </c>
      <c r="S96" s="1">
        <v>110</v>
      </c>
      <c r="T96" s="1">
        <v>147</v>
      </c>
      <c r="U96" s="1">
        <v>1296.1579999999999</v>
      </c>
      <c r="V96" s="1">
        <v>586.64800000000002</v>
      </c>
      <c r="W96" s="1">
        <v>752.85199999999998</v>
      </c>
      <c r="X96" s="1">
        <v>132.18100000000001</v>
      </c>
      <c r="Y96" s="1">
        <v>4.9400000000000004</v>
      </c>
      <c r="Z96" s="1">
        <v>8.0150000000000006</v>
      </c>
      <c r="AA96" s="1">
        <v>21.7</v>
      </c>
      <c r="AB96" s="1">
        <v>290.5</v>
      </c>
      <c r="AC96" s="1">
        <v>12463</v>
      </c>
      <c r="AD96" s="1">
        <v>2926</v>
      </c>
      <c r="AE96" s="1">
        <v>268</v>
      </c>
      <c r="AF96" s="1">
        <v>17</v>
      </c>
      <c r="AG96" s="1">
        <v>17</v>
      </c>
      <c r="AH96" s="1">
        <v>35.299999999999997</v>
      </c>
      <c r="AI96" s="1">
        <v>52.6</v>
      </c>
      <c r="AJ96" s="1">
        <v>12.1</v>
      </c>
      <c r="AK96" s="1">
        <v>77.7</v>
      </c>
      <c r="AL96" s="1">
        <v>31.9</v>
      </c>
      <c r="AM96" s="1">
        <v>8</v>
      </c>
      <c r="AN96" s="1">
        <v>0</v>
      </c>
      <c r="AO96" s="1">
        <v>0</v>
      </c>
      <c r="AP96" s="1" t="s">
        <v>266</v>
      </c>
      <c r="AQ96" s="1" t="s">
        <v>267</v>
      </c>
      <c r="AR96" s="1" t="s">
        <v>268</v>
      </c>
    </row>
    <row r="97" spans="1:44" x14ac:dyDescent="0.2">
      <c r="A97" s="1" t="s">
        <v>132</v>
      </c>
      <c r="B97" s="1" t="s">
        <v>265</v>
      </c>
      <c r="C97" s="1">
        <v>-30.3</v>
      </c>
      <c r="D97" s="1">
        <v>477385.7</v>
      </c>
      <c r="E97" s="1">
        <v>5958021.7999999998</v>
      </c>
      <c r="F97" s="1">
        <v>0</v>
      </c>
      <c r="G97" s="1">
        <v>-0.7</v>
      </c>
      <c r="H97" s="1">
        <v>0</v>
      </c>
      <c r="I97" s="1">
        <v>2</v>
      </c>
      <c r="J97" s="1">
        <v>0</v>
      </c>
      <c r="K97" s="1">
        <v>-60.2</v>
      </c>
      <c r="L97" s="1">
        <v>29.9</v>
      </c>
      <c r="M97" s="1">
        <v>1464.59</v>
      </c>
      <c r="N97" s="1">
        <v>85.6</v>
      </c>
      <c r="O97" s="1">
        <v>8</v>
      </c>
      <c r="P97" s="1">
        <v>10</v>
      </c>
      <c r="Q97" s="1">
        <v>2.92</v>
      </c>
      <c r="R97" s="1">
        <v>66</v>
      </c>
      <c r="S97" s="1">
        <v>110</v>
      </c>
      <c r="T97" s="1">
        <v>147</v>
      </c>
      <c r="U97" s="1">
        <v>1296.171</v>
      </c>
      <c r="V97" s="1">
        <v>555.66</v>
      </c>
      <c r="W97" s="1">
        <v>752.85199999999998</v>
      </c>
      <c r="X97" s="1">
        <v>132.18100000000001</v>
      </c>
      <c r="Y97" s="1">
        <v>4.9400000000000004</v>
      </c>
      <c r="Z97" s="1">
        <v>8.0150000000000006</v>
      </c>
      <c r="AA97" s="1">
        <v>21.7</v>
      </c>
      <c r="AB97" s="1">
        <v>290.5</v>
      </c>
      <c r="AC97" s="1">
        <v>12313</v>
      </c>
      <c r="AD97" s="1">
        <v>2895</v>
      </c>
      <c r="AE97" s="1">
        <v>268</v>
      </c>
      <c r="AF97" s="1">
        <v>15</v>
      </c>
      <c r="AG97" s="1">
        <v>15</v>
      </c>
      <c r="AH97" s="1">
        <v>36.5</v>
      </c>
      <c r="AI97" s="1">
        <v>50.9</v>
      </c>
      <c r="AJ97" s="1">
        <v>12.5</v>
      </c>
      <c r="AK97" s="1">
        <v>77.400000000000006</v>
      </c>
      <c r="AL97" s="1">
        <v>31.9</v>
      </c>
      <c r="AM97" s="1">
        <v>8</v>
      </c>
      <c r="AN97" s="1">
        <v>0</v>
      </c>
      <c r="AO97" s="1">
        <v>0</v>
      </c>
      <c r="AP97" s="1" t="s">
        <v>266</v>
      </c>
      <c r="AQ97" s="1" t="s">
        <v>267</v>
      </c>
      <c r="AR97" s="1" t="s">
        <v>268</v>
      </c>
    </row>
    <row r="98" spans="1:44" x14ac:dyDescent="0.2">
      <c r="A98" s="1" t="s">
        <v>126</v>
      </c>
      <c r="B98" s="1" t="s">
        <v>269</v>
      </c>
      <c r="C98" s="1">
        <v>-32.5</v>
      </c>
      <c r="D98" s="1">
        <v>479762.7</v>
      </c>
      <c r="E98" s="1">
        <v>5957543.5</v>
      </c>
      <c r="F98" s="1">
        <v>0</v>
      </c>
      <c r="G98" s="1">
        <v>-0.7</v>
      </c>
      <c r="H98" s="1">
        <v>0</v>
      </c>
      <c r="I98" s="1">
        <v>2</v>
      </c>
      <c r="J98" s="1">
        <v>0</v>
      </c>
      <c r="K98" s="1">
        <v>-61</v>
      </c>
      <c r="L98" s="1">
        <v>28.5</v>
      </c>
      <c r="M98" s="1">
        <v>1507.2</v>
      </c>
      <c r="N98" s="1">
        <v>86.4</v>
      </c>
      <c r="O98" s="1">
        <v>8</v>
      </c>
      <c r="P98" s="1">
        <v>10</v>
      </c>
      <c r="Q98" s="1">
        <v>2.78</v>
      </c>
      <c r="R98" s="1">
        <v>68</v>
      </c>
      <c r="S98" s="1">
        <v>110</v>
      </c>
      <c r="T98" s="1">
        <v>147</v>
      </c>
      <c r="U98" s="1">
        <v>1295.92</v>
      </c>
      <c r="V98" s="1">
        <v>580.654</v>
      </c>
      <c r="W98" s="1">
        <v>752.85199999999998</v>
      </c>
      <c r="X98" s="1">
        <v>132.18100000000001</v>
      </c>
      <c r="Y98" s="1">
        <v>4.9400000000000004</v>
      </c>
      <c r="Z98" s="1">
        <v>8.0150000000000006</v>
      </c>
      <c r="AA98" s="1">
        <v>21.7</v>
      </c>
      <c r="AB98" s="1">
        <v>290.5</v>
      </c>
      <c r="AC98" s="1">
        <v>12362</v>
      </c>
      <c r="AD98" s="1">
        <v>3031</v>
      </c>
      <c r="AE98" s="1">
        <v>268</v>
      </c>
      <c r="AF98" s="1">
        <v>15</v>
      </c>
      <c r="AG98" s="1">
        <v>15</v>
      </c>
      <c r="AH98" s="1">
        <v>36</v>
      </c>
      <c r="AI98" s="1">
        <v>50.8</v>
      </c>
      <c r="AJ98" s="1">
        <v>13.2</v>
      </c>
      <c r="AK98" s="1">
        <v>78.900000000000006</v>
      </c>
      <c r="AL98" s="1">
        <v>31.9</v>
      </c>
      <c r="AM98" s="1">
        <v>8</v>
      </c>
      <c r="AN98" s="1">
        <v>0</v>
      </c>
      <c r="AO98" s="1">
        <v>0</v>
      </c>
      <c r="AP98" s="1" t="s">
        <v>266</v>
      </c>
      <c r="AQ98" s="1" t="s">
        <v>267</v>
      </c>
      <c r="AR98" s="1" t="s">
        <v>268</v>
      </c>
    </row>
    <row r="99" spans="1:44" x14ac:dyDescent="0.2">
      <c r="A99" s="1" t="s">
        <v>43</v>
      </c>
      <c r="B99" s="1" t="s">
        <v>265</v>
      </c>
      <c r="C99" s="1">
        <v>-36.1</v>
      </c>
      <c r="D99" s="1">
        <v>480034.7</v>
      </c>
      <c r="E99" s="1">
        <v>5960381.7000000002</v>
      </c>
      <c r="F99" s="1">
        <v>0</v>
      </c>
      <c r="G99" s="1">
        <v>-0.7</v>
      </c>
      <c r="H99" s="1">
        <v>0</v>
      </c>
      <c r="I99" s="1">
        <v>2</v>
      </c>
      <c r="J99" s="1">
        <v>0</v>
      </c>
      <c r="K99" s="1">
        <v>-64.7</v>
      </c>
      <c r="L99" s="1">
        <v>28.6</v>
      </c>
      <c r="M99" s="1">
        <v>1654.4780000000001</v>
      </c>
      <c r="N99" s="1">
        <v>90.1</v>
      </c>
      <c r="O99" s="1">
        <v>8</v>
      </c>
      <c r="P99" s="1">
        <v>10</v>
      </c>
      <c r="Q99" s="1">
        <v>2.79</v>
      </c>
      <c r="R99" s="1">
        <v>68</v>
      </c>
      <c r="S99" s="1">
        <v>110</v>
      </c>
      <c r="T99" s="1">
        <v>147</v>
      </c>
      <c r="U99" s="1">
        <v>1357.7460000000001</v>
      </c>
      <c r="V99" s="1">
        <v>427.81</v>
      </c>
      <c r="W99" s="1">
        <v>752.85199999999998</v>
      </c>
      <c r="X99" s="1">
        <v>132.18100000000001</v>
      </c>
      <c r="Y99" s="1">
        <v>4.9400000000000004</v>
      </c>
      <c r="Z99" s="1">
        <v>8.0150000000000006</v>
      </c>
      <c r="AA99" s="1">
        <v>21.7</v>
      </c>
      <c r="AB99" s="1">
        <v>290.5</v>
      </c>
      <c r="AC99" s="1">
        <v>12591</v>
      </c>
      <c r="AD99" s="1">
        <v>3254</v>
      </c>
      <c r="AE99" s="1">
        <v>268</v>
      </c>
      <c r="AF99" s="1">
        <v>15</v>
      </c>
      <c r="AG99" s="1">
        <v>15</v>
      </c>
      <c r="AH99" s="1">
        <v>33.200000000000003</v>
      </c>
      <c r="AI99" s="1">
        <v>53.6</v>
      </c>
      <c r="AJ99" s="1">
        <v>13.2</v>
      </c>
      <c r="AK99" s="1">
        <v>82.6</v>
      </c>
      <c r="AL99" s="1">
        <v>31.9</v>
      </c>
      <c r="AM99" s="1">
        <v>8</v>
      </c>
      <c r="AN99" s="1">
        <v>0</v>
      </c>
      <c r="AO99" s="1">
        <v>0</v>
      </c>
      <c r="AP99" s="1" t="s">
        <v>266</v>
      </c>
      <c r="AQ99" s="1" t="s">
        <v>267</v>
      </c>
      <c r="AR99" s="1" t="s">
        <v>268</v>
      </c>
    </row>
    <row r="100" spans="1:44" x14ac:dyDescent="0.2">
      <c r="A100" s="1" t="s">
        <v>39</v>
      </c>
      <c r="B100" s="1" t="s">
        <v>269</v>
      </c>
      <c r="C100" s="1">
        <v>-36.299999999999997</v>
      </c>
      <c r="D100" s="1">
        <v>479021</v>
      </c>
      <c r="E100" s="1">
        <v>5965200</v>
      </c>
      <c r="F100" s="1">
        <v>0</v>
      </c>
      <c r="G100" s="1">
        <v>-0.6</v>
      </c>
      <c r="H100" s="1">
        <v>0</v>
      </c>
      <c r="I100" s="1">
        <v>2</v>
      </c>
      <c r="J100" s="1">
        <v>0</v>
      </c>
      <c r="K100" s="1">
        <v>-65.900000000000006</v>
      </c>
      <c r="L100" s="1">
        <v>29.6</v>
      </c>
      <c r="M100" s="1">
        <v>1692.1030000000001</v>
      </c>
      <c r="N100" s="1">
        <v>91.3</v>
      </c>
      <c r="O100" s="1">
        <v>8</v>
      </c>
      <c r="P100" s="1">
        <v>10</v>
      </c>
      <c r="Q100" s="1">
        <v>2.9</v>
      </c>
      <c r="R100" s="1">
        <v>68</v>
      </c>
      <c r="S100" s="1">
        <v>110</v>
      </c>
      <c r="T100" s="1">
        <v>147</v>
      </c>
      <c r="U100" s="1">
        <v>1357.671</v>
      </c>
      <c r="V100" s="1">
        <v>421.99099999999999</v>
      </c>
      <c r="W100" s="1">
        <v>752.85199999999998</v>
      </c>
      <c r="X100" s="1">
        <v>132.18100000000001</v>
      </c>
      <c r="Y100" s="1">
        <v>4.9400000000000004</v>
      </c>
      <c r="Z100" s="1">
        <v>8.0150000000000006</v>
      </c>
      <c r="AA100" s="1">
        <v>21.7</v>
      </c>
      <c r="AB100" s="1">
        <v>290.5</v>
      </c>
      <c r="AC100" s="1">
        <v>12665</v>
      </c>
      <c r="AD100" s="1">
        <v>3267</v>
      </c>
      <c r="AE100" s="1">
        <v>268</v>
      </c>
      <c r="AF100" s="1">
        <v>15</v>
      </c>
      <c r="AG100" s="1">
        <v>15</v>
      </c>
      <c r="AH100" s="1">
        <v>32.4</v>
      </c>
      <c r="AI100" s="1">
        <v>54.9</v>
      </c>
      <c r="AJ100" s="1">
        <v>12.7</v>
      </c>
      <c r="AK100" s="1">
        <v>83.1</v>
      </c>
      <c r="AL100" s="1">
        <v>31.9</v>
      </c>
      <c r="AM100" s="1">
        <v>8</v>
      </c>
      <c r="AN100" s="1">
        <v>0</v>
      </c>
      <c r="AO100" s="1">
        <v>0</v>
      </c>
      <c r="AP100" s="1" t="s">
        <v>266</v>
      </c>
      <c r="AQ100" s="1" t="s">
        <v>267</v>
      </c>
      <c r="AR100" s="1" t="s">
        <v>268</v>
      </c>
    </row>
    <row r="101" spans="1:44" x14ac:dyDescent="0.2">
      <c r="A101" s="1" t="s">
        <v>149</v>
      </c>
      <c r="B101" s="1" t="s">
        <v>265</v>
      </c>
      <c r="C101" s="1">
        <v>-28</v>
      </c>
      <c r="D101" s="1">
        <v>478501.4</v>
      </c>
      <c r="E101" s="1">
        <v>5969120</v>
      </c>
      <c r="F101" s="1">
        <v>0</v>
      </c>
      <c r="G101" s="1">
        <v>-0.6</v>
      </c>
      <c r="H101" s="1">
        <v>0</v>
      </c>
      <c r="I101" s="1">
        <v>2</v>
      </c>
      <c r="J101" s="1">
        <v>0</v>
      </c>
      <c r="K101" s="1">
        <v>-59.9</v>
      </c>
      <c r="L101" s="1">
        <v>31.9</v>
      </c>
      <c r="M101" s="1">
        <v>1453.9970000000001</v>
      </c>
      <c r="N101" s="1">
        <v>85.3</v>
      </c>
      <c r="O101" s="1">
        <v>8</v>
      </c>
      <c r="P101" s="1">
        <v>10</v>
      </c>
      <c r="Q101" s="1">
        <v>3.13</v>
      </c>
      <c r="R101" s="1">
        <v>68</v>
      </c>
      <c r="S101" s="1">
        <v>110</v>
      </c>
      <c r="T101" s="1">
        <v>147</v>
      </c>
      <c r="U101" s="1">
        <v>1296.171</v>
      </c>
      <c r="V101" s="1">
        <v>455.983</v>
      </c>
      <c r="W101" s="1">
        <v>752.85199999999998</v>
      </c>
      <c r="X101" s="1">
        <v>132.18100000000001</v>
      </c>
      <c r="Y101" s="1">
        <v>4.9400000000000004</v>
      </c>
      <c r="Z101" s="1">
        <v>8.0150000000000006</v>
      </c>
      <c r="AA101" s="1">
        <v>21.7</v>
      </c>
      <c r="AB101" s="1">
        <v>290.5</v>
      </c>
      <c r="AC101" s="1">
        <v>12295</v>
      </c>
      <c r="AD101" s="1">
        <v>2751</v>
      </c>
      <c r="AE101" s="1">
        <v>268</v>
      </c>
      <c r="AF101" s="1">
        <v>17</v>
      </c>
      <c r="AG101" s="1">
        <v>17</v>
      </c>
      <c r="AH101" s="1">
        <v>36.700000000000003</v>
      </c>
      <c r="AI101" s="1">
        <v>50.7</v>
      </c>
      <c r="AJ101" s="1">
        <v>12.6</v>
      </c>
      <c r="AK101" s="1">
        <v>77.099999999999994</v>
      </c>
      <c r="AL101" s="1">
        <v>31.9</v>
      </c>
      <c r="AM101" s="1">
        <v>8</v>
      </c>
      <c r="AN101" s="1">
        <v>0</v>
      </c>
      <c r="AO101" s="1">
        <v>0</v>
      </c>
      <c r="AP101" s="1" t="s">
        <v>266</v>
      </c>
      <c r="AQ101" s="1" t="s">
        <v>267</v>
      </c>
      <c r="AR101" s="1" t="s">
        <v>268</v>
      </c>
    </row>
    <row r="102" spans="1:44" x14ac:dyDescent="0.2">
      <c r="A102" s="1" t="s">
        <v>55</v>
      </c>
      <c r="B102" s="1" t="s">
        <v>265</v>
      </c>
      <c r="C102" s="1">
        <v>-37.799999999999997</v>
      </c>
      <c r="D102" s="1">
        <v>478233</v>
      </c>
      <c r="E102" s="1">
        <v>5972520</v>
      </c>
      <c r="F102" s="1">
        <v>0</v>
      </c>
      <c r="G102" s="1">
        <v>-0.7</v>
      </c>
      <c r="H102" s="1">
        <v>0</v>
      </c>
      <c r="I102" s="1">
        <v>2</v>
      </c>
      <c r="J102" s="1">
        <v>0</v>
      </c>
      <c r="K102" s="1">
        <v>-64.3</v>
      </c>
      <c r="L102" s="1">
        <v>26.5</v>
      </c>
      <c r="M102" s="1">
        <v>1671.463</v>
      </c>
      <c r="N102" s="1">
        <v>89.7</v>
      </c>
      <c r="O102" s="1">
        <v>8</v>
      </c>
      <c r="P102" s="1">
        <v>10</v>
      </c>
      <c r="Q102" s="1">
        <v>2.58</v>
      </c>
      <c r="R102" s="1">
        <v>68</v>
      </c>
      <c r="S102" s="1">
        <v>110</v>
      </c>
      <c r="T102" s="1">
        <v>147</v>
      </c>
      <c r="U102" s="1">
        <v>1357.6079999999999</v>
      </c>
      <c r="V102" s="1">
        <v>483.73</v>
      </c>
      <c r="W102" s="1">
        <v>752.85199999999998</v>
      </c>
      <c r="X102" s="1">
        <v>132.18100000000001</v>
      </c>
      <c r="Y102" s="1">
        <v>4.9400000000000004</v>
      </c>
      <c r="Z102" s="1">
        <v>8.0150000000000006</v>
      </c>
      <c r="AA102" s="1">
        <v>21.7</v>
      </c>
      <c r="AB102" s="1">
        <v>290.5</v>
      </c>
      <c r="AC102" s="1">
        <v>12565</v>
      </c>
      <c r="AD102" s="1">
        <v>3360</v>
      </c>
      <c r="AE102" s="1">
        <v>268</v>
      </c>
      <c r="AF102" s="1">
        <v>15</v>
      </c>
      <c r="AG102" s="1">
        <v>15</v>
      </c>
      <c r="AH102" s="1">
        <v>32.9</v>
      </c>
      <c r="AI102" s="1">
        <v>54.1</v>
      </c>
      <c r="AJ102" s="1">
        <v>13.1</v>
      </c>
      <c r="AK102" s="1">
        <v>83.7</v>
      </c>
      <c r="AL102" s="1">
        <v>31.9</v>
      </c>
      <c r="AM102" s="1">
        <v>8</v>
      </c>
      <c r="AN102" s="1">
        <v>0</v>
      </c>
      <c r="AO102" s="1">
        <v>0</v>
      </c>
      <c r="AP102" s="1" t="s">
        <v>266</v>
      </c>
      <c r="AQ102" s="1" t="s">
        <v>267</v>
      </c>
      <c r="AR102" s="1" t="s">
        <v>268</v>
      </c>
    </row>
    <row r="103" spans="1:44" x14ac:dyDescent="0.2">
      <c r="A103" s="1" t="s">
        <v>107</v>
      </c>
      <c r="B103" s="1" t="s">
        <v>265</v>
      </c>
      <c r="C103" s="1">
        <v>-36.4</v>
      </c>
      <c r="D103" s="1">
        <v>455369.7</v>
      </c>
      <c r="E103" s="1">
        <v>5970324.9000000004</v>
      </c>
      <c r="F103" s="1">
        <v>0</v>
      </c>
      <c r="G103" s="1">
        <v>-0.6</v>
      </c>
      <c r="H103" s="1">
        <v>0</v>
      </c>
      <c r="I103" s="1">
        <v>2</v>
      </c>
      <c r="J103" s="1">
        <v>0</v>
      </c>
      <c r="K103" s="1">
        <v>-62</v>
      </c>
      <c r="L103" s="1">
        <v>25.6</v>
      </c>
      <c r="M103" s="1">
        <v>1579.0930000000001</v>
      </c>
      <c r="N103" s="1">
        <v>87.4</v>
      </c>
      <c r="O103" s="1">
        <v>8</v>
      </c>
      <c r="P103" s="1">
        <v>10</v>
      </c>
      <c r="Q103" s="1">
        <v>2.5</v>
      </c>
      <c r="R103" s="1">
        <v>68</v>
      </c>
      <c r="S103" s="1">
        <v>110</v>
      </c>
      <c r="T103" s="1">
        <v>147</v>
      </c>
      <c r="U103" s="1">
        <v>1295.568</v>
      </c>
      <c r="V103" s="1">
        <v>552.04100000000005</v>
      </c>
      <c r="W103" s="1">
        <v>752.85199999999998</v>
      </c>
      <c r="X103" s="1">
        <v>132.18100000000001</v>
      </c>
      <c r="Y103" s="1">
        <v>4.9400000000000004</v>
      </c>
      <c r="Z103" s="1">
        <v>8.0150000000000006</v>
      </c>
      <c r="AA103" s="1">
        <v>21.7</v>
      </c>
      <c r="AB103" s="1">
        <v>290.5</v>
      </c>
      <c r="AC103" s="1">
        <v>12423</v>
      </c>
      <c r="AD103" s="1">
        <v>3273</v>
      </c>
      <c r="AE103" s="1">
        <v>268</v>
      </c>
      <c r="AF103" s="1">
        <v>15</v>
      </c>
      <c r="AG103" s="1">
        <v>15</v>
      </c>
      <c r="AH103" s="1">
        <v>34.6</v>
      </c>
      <c r="AI103" s="1">
        <v>52.1</v>
      </c>
      <c r="AJ103" s="1">
        <v>13.3</v>
      </c>
      <c r="AK103" s="1">
        <v>81.5</v>
      </c>
      <c r="AL103" s="1">
        <v>31.9</v>
      </c>
      <c r="AM103" s="1">
        <v>8</v>
      </c>
      <c r="AN103" s="1">
        <v>0</v>
      </c>
      <c r="AO103" s="1">
        <v>0</v>
      </c>
      <c r="AP103" s="1" t="s">
        <v>266</v>
      </c>
      <c r="AQ103" s="1" t="s">
        <v>267</v>
      </c>
      <c r="AR103" s="1" t="s">
        <v>268</v>
      </c>
    </row>
    <row r="104" spans="1:44" x14ac:dyDescent="0.2">
      <c r="A104" s="1" t="s">
        <v>44</v>
      </c>
      <c r="B104" s="1" t="s">
        <v>265</v>
      </c>
      <c r="C104" s="1">
        <v>-37.4</v>
      </c>
      <c r="D104" s="1">
        <v>457232.9</v>
      </c>
      <c r="E104" s="1">
        <v>5970498.7000000002</v>
      </c>
      <c r="F104" s="1">
        <v>0</v>
      </c>
      <c r="G104" s="1">
        <v>-0.6</v>
      </c>
      <c r="H104" s="1">
        <v>0</v>
      </c>
      <c r="I104" s="1">
        <v>2</v>
      </c>
      <c r="J104" s="1">
        <v>0</v>
      </c>
      <c r="K104" s="1">
        <v>-65.3</v>
      </c>
      <c r="L104" s="1">
        <v>27.9</v>
      </c>
      <c r="M104" s="1">
        <v>1659.8589999999999</v>
      </c>
      <c r="N104" s="1">
        <v>90.7</v>
      </c>
      <c r="O104" s="1">
        <v>8</v>
      </c>
      <c r="P104" s="1">
        <v>10</v>
      </c>
      <c r="Q104" s="1">
        <v>2.73</v>
      </c>
      <c r="R104" s="1">
        <v>68</v>
      </c>
      <c r="S104" s="1">
        <v>110</v>
      </c>
      <c r="T104" s="1">
        <v>147</v>
      </c>
      <c r="U104" s="1">
        <v>1357.7840000000001</v>
      </c>
      <c r="V104" s="1">
        <v>427.822</v>
      </c>
      <c r="W104" s="1">
        <v>752.85199999999998</v>
      </c>
      <c r="X104" s="1">
        <v>132.18100000000001</v>
      </c>
      <c r="Y104" s="1">
        <v>4.9400000000000004</v>
      </c>
      <c r="Z104" s="1">
        <v>8.0150000000000006</v>
      </c>
      <c r="AA104" s="1">
        <v>21.7</v>
      </c>
      <c r="AB104" s="1">
        <v>290.5</v>
      </c>
      <c r="AC104" s="1">
        <v>12628</v>
      </c>
      <c r="AD104" s="1">
        <v>3335</v>
      </c>
      <c r="AE104" s="1">
        <v>268</v>
      </c>
      <c r="AF104" s="1">
        <v>15</v>
      </c>
      <c r="AG104" s="1">
        <v>15</v>
      </c>
      <c r="AH104" s="1">
        <v>33.1</v>
      </c>
      <c r="AI104" s="1">
        <v>53.9</v>
      </c>
      <c r="AJ104" s="1">
        <v>13.1</v>
      </c>
      <c r="AK104" s="1">
        <v>82.2</v>
      </c>
      <c r="AL104" s="1">
        <v>31.9</v>
      </c>
      <c r="AM104" s="1">
        <v>8</v>
      </c>
      <c r="AN104" s="1">
        <v>0</v>
      </c>
      <c r="AO104" s="1">
        <v>0</v>
      </c>
      <c r="AP104" s="1" t="s">
        <v>266</v>
      </c>
      <c r="AQ104" s="1" t="s">
        <v>267</v>
      </c>
      <c r="AR104" s="1" t="s">
        <v>268</v>
      </c>
    </row>
    <row r="105" spans="1:44" x14ac:dyDescent="0.2">
      <c r="A105" s="1" t="s">
        <v>137</v>
      </c>
      <c r="B105" s="1" t="s">
        <v>265</v>
      </c>
      <c r="C105" s="1">
        <v>-36.200000000000003</v>
      </c>
      <c r="D105" s="1">
        <v>460452</v>
      </c>
      <c r="E105" s="1">
        <v>5968518</v>
      </c>
      <c r="F105" s="1">
        <v>0</v>
      </c>
      <c r="G105" s="1">
        <v>-0.7</v>
      </c>
      <c r="H105" s="1">
        <v>0</v>
      </c>
      <c r="I105" s="1">
        <v>2</v>
      </c>
      <c r="J105" s="1">
        <v>0</v>
      </c>
      <c r="K105" s="1">
        <v>-59.728999999999999</v>
      </c>
      <c r="L105" s="1">
        <v>23.529</v>
      </c>
      <c r="M105" s="1">
        <v>1561.0119999999999</v>
      </c>
      <c r="N105" s="1">
        <v>85.129000000000005</v>
      </c>
      <c r="O105" s="1">
        <v>8</v>
      </c>
      <c r="P105" s="1">
        <v>10</v>
      </c>
      <c r="Q105" s="1">
        <v>2.2829000000000002</v>
      </c>
      <c r="R105" s="1">
        <v>68</v>
      </c>
      <c r="S105" s="1">
        <v>110</v>
      </c>
      <c r="T105" s="1">
        <v>147</v>
      </c>
      <c r="U105" s="1">
        <v>1233.125</v>
      </c>
      <c r="V105" s="1">
        <v>521.03899999999999</v>
      </c>
      <c r="W105" s="1">
        <v>752.85199999999998</v>
      </c>
      <c r="X105" s="1">
        <v>132.18100000000001</v>
      </c>
      <c r="Y105" s="1">
        <v>4.9400000000000004</v>
      </c>
      <c r="Z105" s="1">
        <v>8.0150000000000006</v>
      </c>
      <c r="AA105" s="1">
        <v>21.7</v>
      </c>
      <c r="AB105" s="1">
        <v>290.5</v>
      </c>
      <c r="AC105" s="1">
        <v>12281</v>
      </c>
      <c r="AD105" s="1">
        <v>3261</v>
      </c>
      <c r="AE105" s="1">
        <v>268</v>
      </c>
      <c r="AF105" s="1">
        <v>15</v>
      </c>
      <c r="AG105" s="1">
        <v>15</v>
      </c>
      <c r="AH105" s="1">
        <v>35.1</v>
      </c>
      <c r="AI105" s="1">
        <v>51.2</v>
      </c>
      <c r="AJ105" s="1">
        <v>13.7</v>
      </c>
      <c r="AK105" s="1">
        <v>82.8</v>
      </c>
      <c r="AL105" s="1">
        <v>31.9</v>
      </c>
      <c r="AM105" s="1">
        <v>8</v>
      </c>
      <c r="AN105" s="1">
        <v>0</v>
      </c>
      <c r="AO105" s="1">
        <v>0</v>
      </c>
      <c r="AP105" s="1" t="s">
        <v>266</v>
      </c>
      <c r="AQ105" s="1" t="s">
        <v>267</v>
      </c>
      <c r="AR105" s="1" t="s">
        <v>268</v>
      </c>
    </row>
    <row r="106" spans="1:44" x14ac:dyDescent="0.2">
      <c r="A106" s="1" t="s">
        <v>210</v>
      </c>
      <c r="B106" s="1" t="s">
        <v>265</v>
      </c>
      <c r="C106" s="1">
        <v>-41.1</v>
      </c>
      <c r="D106" s="1">
        <v>463631.6</v>
      </c>
      <c r="E106" s="1">
        <v>5966681.5999999996</v>
      </c>
      <c r="F106" s="1">
        <v>0</v>
      </c>
      <c r="G106" s="1">
        <v>-0.6</v>
      </c>
      <c r="H106" s="1">
        <v>0</v>
      </c>
      <c r="I106" s="1">
        <v>2</v>
      </c>
      <c r="J106" s="1">
        <v>0</v>
      </c>
      <c r="K106" s="1">
        <v>-72.900000000000006</v>
      </c>
      <c r="L106" s="1">
        <v>31.8</v>
      </c>
      <c r="M106" s="1">
        <v>1938.019</v>
      </c>
      <c r="N106" s="1">
        <v>98.3</v>
      </c>
      <c r="O106" s="1">
        <v>8</v>
      </c>
      <c r="P106" s="1">
        <v>11</v>
      </c>
      <c r="Q106" s="1">
        <v>2.8363999999999998</v>
      </c>
      <c r="R106" s="1">
        <v>70</v>
      </c>
      <c r="S106" s="1">
        <v>117</v>
      </c>
      <c r="T106" s="1">
        <v>149</v>
      </c>
      <c r="U106" s="1">
        <v>1575.5840000000001</v>
      </c>
      <c r="V106" s="1">
        <v>438.428</v>
      </c>
      <c r="W106" s="1">
        <v>752.85199999999998</v>
      </c>
      <c r="X106" s="1">
        <v>132.18100000000001</v>
      </c>
      <c r="Y106" s="1">
        <v>4.9400000000000004</v>
      </c>
      <c r="Z106" s="1">
        <v>8.0150000000000006</v>
      </c>
      <c r="AA106" s="1">
        <v>21.7</v>
      </c>
      <c r="AB106" s="1">
        <v>290.5</v>
      </c>
      <c r="AC106" s="1">
        <v>13430</v>
      </c>
      <c r="AD106" s="1">
        <v>3710</v>
      </c>
      <c r="AE106" s="1">
        <v>268</v>
      </c>
      <c r="AF106" s="1">
        <v>17</v>
      </c>
      <c r="AG106" s="1">
        <v>17</v>
      </c>
      <c r="AH106" s="1">
        <v>30.5</v>
      </c>
      <c r="AI106" s="1">
        <v>52.9</v>
      </c>
      <c r="AJ106" s="1">
        <v>16.600000000000001</v>
      </c>
      <c r="AK106" s="1">
        <v>83.8</v>
      </c>
      <c r="AL106" s="1">
        <v>31.9</v>
      </c>
      <c r="AM106" s="1">
        <v>8</v>
      </c>
      <c r="AN106" s="1">
        <v>0</v>
      </c>
      <c r="AO106" s="1">
        <v>0</v>
      </c>
      <c r="AP106" s="1" t="s">
        <v>270</v>
      </c>
      <c r="AQ106" s="1" t="s">
        <v>267</v>
      </c>
      <c r="AR106" s="1" t="s">
        <v>268</v>
      </c>
    </row>
    <row r="107" spans="1:44" x14ac:dyDescent="0.2">
      <c r="A107" s="1" t="s">
        <v>96</v>
      </c>
      <c r="B107" s="1" t="s">
        <v>265</v>
      </c>
      <c r="C107" s="1">
        <v>-34.700000000000003</v>
      </c>
      <c r="D107" s="1">
        <v>467332</v>
      </c>
      <c r="E107" s="1">
        <v>5964066.0999999996</v>
      </c>
      <c r="F107" s="1">
        <v>0</v>
      </c>
      <c r="G107" s="1">
        <v>-0.6</v>
      </c>
      <c r="H107" s="1">
        <v>0</v>
      </c>
      <c r="I107" s="1">
        <v>2</v>
      </c>
      <c r="J107" s="1">
        <v>0</v>
      </c>
      <c r="K107" s="1">
        <v>-63.1</v>
      </c>
      <c r="L107" s="1">
        <v>28.4</v>
      </c>
      <c r="M107" s="1">
        <v>1589.6179999999999</v>
      </c>
      <c r="N107" s="1">
        <v>88.5</v>
      </c>
      <c r="O107" s="1">
        <v>8</v>
      </c>
      <c r="P107" s="1">
        <v>10</v>
      </c>
      <c r="Q107" s="1">
        <v>2.78</v>
      </c>
      <c r="R107" s="1">
        <v>68</v>
      </c>
      <c r="S107" s="1">
        <v>110</v>
      </c>
      <c r="T107" s="1">
        <v>147</v>
      </c>
      <c r="U107" s="1">
        <v>1357.9849999999999</v>
      </c>
      <c r="V107" s="1">
        <v>515.34699999999998</v>
      </c>
      <c r="W107" s="1">
        <v>752.85199999999998</v>
      </c>
      <c r="X107" s="1">
        <v>132.18100000000001</v>
      </c>
      <c r="Y107" s="1">
        <v>4.9400000000000004</v>
      </c>
      <c r="Z107" s="1">
        <v>8.0150000000000006</v>
      </c>
      <c r="AA107" s="1">
        <v>21.7</v>
      </c>
      <c r="AB107" s="1">
        <v>290.5</v>
      </c>
      <c r="AC107" s="1">
        <v>12492</v>
      </c>
      <c r="AD107" s="1">
        <v>3167</v>
      </c>
      <c r="AE107" s="1">
        <v>268</v>
      </c>
      <c r="AF107" s="1">
        <v>15</v>
      </c>
      <c r="AG107" s="1">
        <v>15</v>
      </c>
      <c r="AH107" s="1">
        <v>34.5</v>
      </c>
      <c r="AI107" s="1">
        <v>52.2</v>
      </c>
      <c r="AJ107" s="1">
        <v>13.3</v>
      </c>
      <c r="AK107" s="1">
        <v>81</v>
      </c>
      <c r="AL107" s="1">
        <v>31.9</v>
      </c>
      <c r="AM107" s="1">
        <v>8</v>
      </c>
      <c r="AN107" s="1">
        <v>0</v>
      </c>
      <c r="AO107" s="1">
        <v>0</v>
      </c>
      <c r="AP107" s="1" t="s">
        <v>266</v>
      </c>
      <c r="AQ107" s="1" t="s">
        <v>267</v>
      </c>
      <c r="AR107" s="1" t="s">
        <v>268</v>
      </c>
    </row>
    <row r="108" spans="1:44" x14ac:dyDescent="0.2">
      <c r="A108" s="1" t="s">
        <v>142</v>
      </c>
      <c r="B108" s="1" t="s">
        <v>265</v>
      </c>
      <c r="C108" s="1">
        <v>-31.2</v>
      </c>
      <c r="D108" s="1">
        <v>470403.1</v>
      </c>
      <c r="E108" s="1">
        <v>5962485.2999999998</v>
      </c>
      <c r="F108" s="1">
        <v>0</v>
      </c>
      <c r="G108" s="1">
        <v>-0.6</v>
      </c>
      <c r="H108" s="1">
        <v>0</v>
      </c>
      <c r="I108" s="1">
        <v>2</v>
      </c>
      <c r="J108" s="1">
        <v>0</v>
      </c>
      <c r="K108" s="1">
        <v>-60.2</v>
      </c>
      <c r="L108" s="1">
        <v>29</v>
      </c>
      <c r="M108" s="1">
        <v>1468.6020000000001</v>
      </c>
      <c r="N108" s="1">
        <v>85.6</v>
      </c>
      <c r="O108" s="1">
        <v>8</v>
      </c>
      <c r="P108" s="1">
        <v>10</v>
      </c>
      <c r="Q108" s="1">
        <v>2.84</v>
      </c>
      <c r="R108" s="1">
        <v>68</v>
      </c>
      <c r="S108" s="1">
        <v>110</v>
      </c>
      <c r="T108" s="1">
        <v>147</v>
      </c>
      <c r="U108" s="1">
        <v>1296.1079999999999</v>
      </c>
      <c r="V108" s="1">
        <v>524.20600000000002</v>
      </c>
      <c r="W108" s="1">
        <v>752.85199999999998</v>
      </c>
      <c r="X108" s="1">
        <v>132.18100000000001</v>
      </c>
      <c r="Y108" s="1">
        <v>4.9400000000000004</v>
      </c>
      <c r="Z108" s="1">
        <v>8.0150000000000006</v>
      </c>
      <c r="AA108" s="1">
        <v>21.7</v>
      </c>
      <c r="AB108" s="1">
        <v>290.5</v>
      </c>
      <c r="AC108" s="1">
        <v>12313</v>
      </c>
      <c r="AD108" s="1">
        <v>2951</v>
      </c>
      <c r="AE108" s="1">
        <v>268</v>
      </c>
      <c r="AF108" s="1">
        <v>15</v>
      </c>
      <c r="AG108" s="1">
        <v>15</v>
      </c>
      <c r="AH108" s="1">
        <v>36.6</v>
      </c>
      <c r="AI108" s="1">
        <v>50.6</v>
      </c>
      <c r="AJ108" s="1">
        <v>12.8</v>
      </c>
      <c r="AK108" s="1">
        <v>77.599999999999994</v>
      </c>
      <c r="AL108" s="1">
        <v>31.9</v>
      </c>
      <c r="AM108" s="1">
        <v>8</v>
      </c>
      <c r="AN108" s="1">
        <v>0</v>
      </c>
      <c r="AO108" s="1">
        <v>0</v>
      </c>
      <c r="AP108" s="1" t="s">
        <v>266</v>
      </c>
      <c r="AQ108" s="1" t="s">
        <v>267</v>
      </c>
      <c r="AR108" s="1" t="s">
        <v>268</v>
      </c>
    </row>
    <row r="109" spans="1:44" x14ac:dyDescent="0.2">
      <c r="A109" s="1" t="s">
        <v>147</v>
      </c>
      <c r="B109" s="1" t="s">
        <v>265</v>
      </c>
      <c r="C109" s="1">
        <v>-30.2</v>
      </c>
      <c r="D109" s="1">
        <v>473116.5</v>
      </c>
      <c r="E109" s="1">
        <v>5961515</v>
      </c>
      <c r="F109" s="1">
        <v>0</v>
      </c>
      <c r="G109" s="1">
        <v>-0.7</v>
      </c>
      <c r="H109" s="1">
        <v>0</v>
      </c>
      <c r="I109" s="1">
        <v>2</v>
      </c>
      <c r="J109" s="1">
        <v>0</v>
      </c>
      <c r="K109" s="1">
        <v>-59.7</v>
      </c>
      <c r="L109" s="1">
        <v>29.5</v>
      </c>
      <c r="M109" s="1">
        <v>1444.606</v>
      </c>
      <c r="N109" s="1">
        <v>85.1</v>
      </c>
      <c r="O109" s="1">
        <v>8</v>
      </c>
      <c r="P109" s="1">
        <v>10</v>
      </c>
      <c r="Q109" s="1">
        <v>2.88</v>
      </c>
      <c r="R109" s="1">
        <v>64</v>
      </c>
      <c r="S109" s="1">
        <v>110</v>
      </c>
      <c r="T109" s="1">
        <v>147</v>
      </c>
      <c r="U109" s="1">
        <v>1296.2090000000001</v>
      </c>
      <c r="V109" s="1">
        <v>524.69600000000003</v>
      </c>
      <c r="W109" s="1">
        <v>752.85199999999998</v>
      </c>
      <c r="X109" s="1">
        <v>132.18100000000001</v>
      </c>
      <c r="Y109" s="1">
        <v>4.9400000000000004</v>
      </c>
      <c r="Z109" s="1">
        <v>8.0150000000000006</v>
      </c>
      <c r="AA109" s="1">
        <v>21.7</v>
      </c>
      <c r="AB109" s="1">
        <v>290.5</v>
      </c>
      <c r="AC109" s="1">
        <v>12282</v>
      </c>
      <c r="AD109" s="1">
        <v>2889</v>
      </c>
      <c r="AE109" s="1">
        <v>268</v>
      </c>
      <c r="AF109" s="1">
        <v>15</v>
      </c>
      <c r="AG109" s="1">
        <v>15</v>
      </c>
      <c r="AH109" s="1">
        <v>36.9</v>
      </c>
      <c r="AI109" s="1">
        <v>50.6</v>
      </c>
      <c r="AJ109" s="1">
        <v>12.4</v>
      </c>
      <c r="AK109" s="1">
        <v>76.8</v>
      </c>
      <c r="AL109" s="1">
        <v>31.9</v>
      </c>
      <c r="AM109" s="1">
        <v>8</v>
      </c>
      <c r="AN109" s="1">
        <v>0</v>
      </c>
      <c r="AO109" s="1">
        <v>0</v>
      </c>
      <c r="AP109" s="1" t="s">
        <v>266</v>
      </c>
      <c r="AQ109" s="1" t="s">
        <v>267</v>
      </c>
      <c r="AR109" s="1" t="s">
        <v>268</v>
      </c>
    </row>
    <row r="110" spans="1:44" x14ac:dyDescent="0.2">
      <c r="A110" s="1" t="s">
        <v>143</v>
      </c>
      <c r="B110" s="1" t="s">
        <v>265</v>
      </c>
      <c r="C110" s="1">
        <v>-30</v>
      </c>
      <c r="D110" s="1">
        <v>476536.9</v>
      </c>
      <c r="E110" s="1">
        <v>5959385.4000000004</v>
      </c>
      <c r="F110" s="1">
        <v>0</v>
      </c>
      <c r="G110" s="1">
        <v>-0.7</v>
      </c>
      <c r="H110" s="1">
        <v>0</v>
      </c>
      <c r="I110" s="1">
        <v>2</v>
      </c>
      <c r="J110" s="1">
        <v>0</v>
      </c>
      <c r="K110" s="1">
        <v>-59.8</v>
      </c>
      <c r="L110" s="1">
        <v>29.8</v>
      </c>
      <c r="M110" s="1">
        <v>1449.8040000000001</v>
      </c>
      <c r="N110" s="1">
        <v>85.2</v>
      </c>
      <c r="O110" s="1">
        <v>8</v>
      </c>
      <c r="P110" s="1">
        <v>10</v>
      </c>
      <c r="Q110" s="1">
        <v>2.91</v>
      </c>
      <c r="R110" s="1">
        <v>68</v>
      </c>
      <c r="S110" s="1">
        <v>110</v>
      </c>
      <c r="T110" s="1">
        <v>147</v>
      </c>
      <c r="U110" s="1">
        <v>1296.183</v>
      </c>
      <c r="V110" s="1">
        <v>549.80399999999997</v>
      </c>
      <c r="W110" s="1">
        <v>752.85199999999998</v>
      </c>
      <c r="X110" s="1">
        <v>132.18100000000001</v>
      </c>
      <c r="Y110" s="1">
        <v>4.9400000000000004</v>
      </c>
      <c r="Z110" s="1">
        <v>8.0150000000000006</v>
      </c>
      <c r="AA110" s="1">
        <v>21.7</v>
      </c>
      <c r="AB110" s="1">
        <v>290.5</v>
      </c>
      <c r="AC110" s="1">
        <v>12289</v>
      </c>
      <c r="AD110" s="1">
        <v>2876</v>
      </c>
      <c r="AE110" s="1">
        <v>268</v>
      </c>
      <c r="AF110" s="1">
        <v>15</v>
      </c>
      <c r="AG110" s="1">
        <v>15</v>
      </c>
      <c r="AH110" s="1">
        <v>36.799999999999997</v>
      </c>
      <c r="AI110" s="1">
        <v>50.5</v>
      </c>
      <c r="AJ110" s="1">
        <v>12.6</v>
      </c>
      <c r="AK110" s="1">
        <v>77</v>
      </c>
      <c r="AL110" s="1">
        <v>31.9</v>
      </c>
      <c r="AM110" s="1">
        <v>8</v>
      </c>
      <c r="AN110" s="1">
        <v>0</v>
      </c>
      <c r="AO110" s="1">
        <v>0</v>
      </c>
      <c r="AP110" s="1" t="s">
        <v>266</v>
      </c>
      <c r="AQ110" s="1" t="s">
        <v>267</v>
      </c>
      <c r="AR110" s="1" t="s">
        <v>268</v>
      </c>
    </row>
    <row r="111" spans="1:44" x14ac:dyDescent="0.2">
      <c r="A111" s="1" t="s">
        <v>146</v>
      </c>
      <c r="B111" s="1" t="s">
        <v>269</v>
      </c>
      <c r="C111" s="1">
        <v>-31.3</v>
      </c>
      <c r="D111" s="1">
        <v>478945.5</v>
      </c>
      <c r="E111" s="1">
        <v>5958856.7999999998</v>
      </c>
      <c r="F111" s="1">
        <v>0</v>
      </c>
      <c r="G111" s="1">
        <v>-0.7</v>
      </c>
      <c r="H111" s="1">
        <v>0</v>
      </c>
      <c r="I111" s="1">
        <v>2</v>
      </c>
      <c r="J111" s="1">
        <v>0</v>
      </c>
      <c r="K111" s="1">
        <v>-59.8</v>
      </c>
      <c r="L111" s="1">
        <v>28.5</v>
      </c>
      <c r="M111" s="1">
        <v>1458.9590000000001</v>
      </c>
      <c r="N111" s="1">
        <v>85.2</v>
      </c>
      <c r="O111" s="1">
        <v>8</v>
      </c>
      <c r="P111" s="1">
        <v>10</v>
      </c>
      <c r="Q111" s="1">
        <v>2.78</v>
      </c>
      <c r="R111" s="1">
        <v>68</v>
      </c>
      <c r="S111" s="1">
        <v>110</v>
      </c>
      <c r="T111" s="1">
        <v>147</v>
      </c>
      <c r="U111" s="1">
        <v>1296.1210000000001</v>
      </c>
      <c r="V111" s="1">
        <v>611.75599999999997</v>
      </c>
      <c r="W111" s="1">
        <v>752.85199999999998</v>
      </c>
      <c r="X111" s="1">
        <v>132.18100000000001</v>
      </c>
      <c r="Y111" s="1">
        <v>4.9400000000000004</v>
      </c>
      <c r="Z111" s="1">
        <v>8.0150000000000006</v>
      </c>
      <c r="AA111" s="1">
        <v>21.7</v>
      </c>
      <c r="AB111" s="1">
        <v>290.5</v>
      </c>
      <c r="AC111" s="1">
        <v>12288</v>
      </c>
      <c r="AD111" s="1">
        <v>2957</v>
      </c>
      <c r="AE111" s="1">
        <v>268</v>
      </c>
      <c r="AF111" s="1">
        <v>15</v>
      </c>
      <c r="AG111" s="1">
        <v>15</v>
      </c>
      <c r="AH111" s="1">
        <v>36.799999999999997</v>
      </c>
      <c r="AI111" s="1">
        <v>50.4</v>
      </c>
      <c r="AJ111" s="1">
        <v>12.8</v>
      </c>
      <c r="AK111" s="1">
        <v>77.5</v>
      </c>
      <c r="AL111" s="1">
        <v>31.9</v>
      </c>
      <c r="AM111" s="1">
        <v>8</v>
      </c>
      <c r="AN111" s="1">
        <v>0</v>
      </c>
      <c r="AO111" s="1">
        <v>0</v>
      </c>
      <c r="AP111" s="1" t="s">
        <v>266</v>
      </c>
      <c r="AQ111" s="1" t="s">
        <v>267</v>
      </c>
      <c r="AR111" s="1" t="s">
        <v>268</v>
      </c>
    </row>
    <row r="112" spans="1:44" x14ac:dyDescent="0.2">
      <c r="A112" s="1" t="s">
        <v>166</v>
      </c>
      <c r="B112" s="1" t="s">
        <v>265</v>
      </c>
      <c r="C112" s="1">
        <v>-41.9</v>
      </c>
      <c r="D112" s="1">
        <v>479046</v>
      </c>
      <c r="E112" s="1">
        <v>5961970</v>
      </c>
      <c r="F112" s="1">
        <v>0</v>
      </c>
      <c r="G112" s="1">
        <v>-0.6</v>
      </c>
      <c r="H112" s="1">
        <v>0</v>
      </c>
      <c r="I112" s="1">
        <v>2</v>
      </c>
      <c r="J112" s="1">
        <v>0</v>
      </c>
      <c r="K112" s="1">
        <v>-75.7</v>
      </c>
      <c r="L112" s="1">
        <v>33.799999999999997</v>
      </c>
      <c r="M112" s="1">
        <v>1968.748</v>
      </c>
      <c r="N112" s="1">
        <v>101.1</v>
      </c>
      <c r="O112" s="1">
        <v>8</v>
      </c>
      <c r="P112" s="1">
        <v>10.5</v>
      </c>
      <c r="Q112" s="1">
        <v>3.1619000000000002</v>
      </c>
      <c r="R112" s="1">
        <v>72</v>
      </c>
      <c r="S112" s="1">
        <v>112</v>
      </c>
      <c r="T112" s="1">
        <v>146</v>
      </c>
      <c r="U112" s="1">
        <v>1536.672</v>
      </c>
      <c r="V112" s="1">
        <v>394.46499999999997</v>
      </c>
      <c r="W112" s="1">
        <v>752.85199999999998</v>
      </c>
      <c r="X112" s="1">
        <v>132.18100000000001</v>
      </c>
      <c r="Y112" s="1">
        <v>4.9400000000000004</v>
      </c>
      <c r="Z112" s="1">
        <v>8.0150000000000006</v>
      </c>
      <c r="AA112" s="1">
        <v>21.7</v>
      </c>
      <c r="AB112" s="1">
        <v>290.5</v>
      </c>
      <c r="AC112" s="1">
        <v>13453</v>
      </c>
      <c r="AD112" s="1">
        <v>3694</v>
      </c>
      <c r="AE112" s="1">
        <v>268</v>
      </c>
      <c r="AF112" s="1">
        <v>19</v>
      </c>
      <c r="AG112" s="1">
        <v>19</v>
      </c>
      <c r="AH112" s="1">
        <v>30.9</v>
      </c>
      <c r="AI112" s="1">
        <v>55</v>
      </c>
      <c r="AJ112" s="1">
        <v>14.1</v>
      </c>
      <c r="AK112" s="1">
        <v>84.8</v>
      </c>
      <c r="AL112" s="1">
        <v>31.9</v>
      </c>
      <c r="AM112" s="1">
        <v>8</v>
      </c>
      <c r="AN112" s="1">
        <v>0</v>
      </c>
      <c r="AO112" s="1">
        <v>0</v>
      </c>
      <c r="AP112" s="1" t="s">
        <v>270</v>
      </c>
      <c r="AQ112" s="1" t="s">
        <v>267</v>
      </c>
      <c r="AR112" s="1" t="s">
        <v>268</v>
      </c>
    </row>
    <row r="113" spans="1:44" x14ac:dyDescent="0.2">
      <c r="A113" s="1" t="s">
        <v>115</v>
      </c>
      <c r="B113" s="1" t="s">
        <v>269</v>
      </c>
      <c r="C113" s="1">
        <v>-32.5</v>
      </c>
      <c r="D113" s="1">
        <v>478022.8</v>
      </c>
      <c r="E113" s="1">
        <v>5966804</v>
      </c>
      <c r="F113" s="1">
        <v>0</v>
      </c>
      <c r="G113" s="1">
        <v>-0.7</v>
      </c>
      <c r="H113" s="1">
        <v>0</v>
      </c>
      <c r="I113" s="1">
        <v>2</v>
      </c>
      <c r="J113" s="1">
        <v>0</v>
      </c>
      <c r="K113" s="1">
        <v>-61.9</v>
      </c>
      <c r="L113" s="1">
        <v>29.4</v>
      </c>
      <c r="M113" s="1">
        <v>1533.354</v>
      </c>
      <c r="N113" s="1">
        <v>87.3</v>
      </c>
      <c r="O113" s="1">
        <v>8</v>
      </c>
      <c r="P113" s="1">
        <v>10</v>
      </c>
      <c r="Q113" s="1">
        <v>2.87</v>
      </c>
      <c r="R113" s="1">
        <v>68</v>
      </c>
      <c r="S113" s="1">
        <v>110</v>
      </c>
      <c r="T113" s="1">
        <v>147</v>
      </c>
      <c r="U113" s="1">
        <v>1295.857</v>
      </c>
      <c r="V113" s="1">
        <v>522.81100000000004</v>
      </c>
      <c r="W113" s="1">
        <v>752.85199999999998</v>
      </c>
      <c r="X113" s="1">
        <v>132.18100000000001</v>
      </c>
      <c r="Y113" s="1">
        <v>4.9400000000000004</v>
      </c>
      <c r="Z113" s="1">
        <v>8.0150000000000006</v>
      </c>
      <c r="AA113" s="1">
        <v>21.7</v>
      </c>
      <c r="AB113" s="1">
        <v>290.5</v>
      </c>
      <c r="AC113" s="1">
        <v>12418</v>
      </c>
      <c r="AD113" s="1">
        <v>3031</v>
      </c>
      <c r="AE113" s="1">
        <v>268</v>
      </c>
      <c r="AF113" s="1">
        <v>15</v>
      </c>
      <c r="AG113" s="1">
        <v>15</v>
      </c>
      <c r="AH113" s="1">
        <v>35.4</v>
      </c>
      <c r="AI113" s="1">
        <v>51.3</v>
      </c>
      <c r="AJ113" s="1">
        <v>13.3</v>
      </c>
      <c r="AK113" s="1">
        <v>79.3</v>
      </c>
      <c r="AL113" s="1">
        <v>31.9</v>
      </c>
      <c r="AM113" s="1">
        <v>8</v>
      </c>
      <c r="AN113" s="1">
        <v>0</v>
      </c>
      <c r="AO113" s="1">
        <v>0</v>
      </c>
      <c r="AP113" s="1" t="s">
        <v>266</v>
      </c>
      <c r="AQ113" s="1" t="s">
        <v>267</v>
      </c>
      <c r="AR113" s="1" t="s">
        <v>268</v>
      </c>
    </row>
    <row r="114" spans="1:44" x14ac:dyDescent="0.2">
      <c r="A114" s="1" t="s">
        <v>89</v>
      </c>
      <c r="B114" s="1" t="s">
        <v>265</v>
      </c>
      <c r="C114" s="1">
        <v>-31</v>
      </c>
      <c r="D114" s="1">
        <v>477596.6</v>
      </c>
      <c r="E114" s="1">
        <v>5970570</v>
      </c>
      <c r="F114" s="1">
        <v>0</v>
      </c>
      <c r="G114" s="1">
        <v>-0.6</v>
      </c>
      <c r="H114" s="1">
        <v>0</v>
      </c>
      <c r="I114" s="1">
        <v>2</v>
      </c>
      <c r="J114" s="1">
        <v>0</v>
      </c>
      <c r="K114" s="1">
        <v>-63.7</v>
      </c>
      <c r="L114" s="1">
        <v>32.700000000000003</v>
      </c>
      <c r="M114" s="1">
        <v>1516.56</v>
      </c>
      <c r="N114" s="1">
        <v>89.1</v>
      </c>
      <c r="O114" s="1">
        <v>8</v>
      </c>
      <c r="P114" s="1">
        <v>10</v>
      </c>
      <c r="Q114" s="1">
        <v>3.21</v>
      </c>
      <c r="R114" s="1">
        <v>68</v>
      </c>
      <c r="S114" s="1">
        <v>110</v>
      </c>
      <c r="T114" s="1">
        <v>147</v>
      </c>
      <c r="U114" s="1">
        <v>1358.575</v>
      </c>
      <c r="V114" s="1">
        <v>611.78099999999995</v>
      </c>
      <c r="W114" s="1">
        <v>752.85199999999998</v>
      </c>
      <c r="X114" s="1">
        <v>132.18100000000001</v>
      </c>
      <c r="Y114" s="1">
        <v>4.9400000000000004</v>
      </c>
      <c r="Z114" s="1">
        <v>8.0150000000000006</v>
      </c>
      <c r="AA114" s="1">
        <v>21.7</v>
      </c>
      <c r="AB114" s="1">
        <v>290.5</v>
      </c>
      <c r="AC114" s="1">
        <v>12532</v>
      </c>
      <c r="AD114" s="1">
        <v>2939</v>
      </c>
      <c r="AE114" s="1">
        <v>268</v>
      </c>
      <c r="AF114" s="1">
        <v>19</v>
      </c>
      <c r="AG114" s="1">
        <v>19</v>
      </c>
      <c r="AH114" s="1">
        <v>35.200000000000003</v>
      </c>
      <c r="AI114" s="1">
        <v>52.7</v>
      </c>
      <c r="AJ114" s="1">
        <v>12.1</v>
      </c>
      <c r="AK114" s="1">
        <v>76.7</v>
      </c>
      <c r="AL114" s="1">
        <v>31.9</v>
      </c>
      <c r="AM114" s="1">
        <v>8</v>
      </c>
      <c r="AN114" s="1">
        <v>0</v>
      </c>
      <c r="AO114" s="1">
        <v>0</v>
      </c>
      <c r="AP114" s="1" t="s">
        <v>266</v>
      </c>
      <c r="AQ114" s="1" t="s">
        <v>267</v>
      </c>
      <c r="AR114" s="1" t="s">
        <v>268</v>
      </c>
    </row>
    <row r="115" spans="1:44" x14ac:dyDescent="0.2">
      <c r="A115" s="1" t="s">
        <v>76</v>
      </c>
      <c r="B115" s="1" t="s">
        <v>265</v>
      </c>
      <c r="C115" s="1">
        <v>-36.700000000000003</v>
      </c>
      <c r="D115" s="1">
        <v>454650.5</v>
      </c>
      <c r="E115" s="1">
        <v>5971468.7999999998</v>
      </c>
      <c r="F115" s="1">
        <v>0</v>
      </c>
      <c r="G115" s="1">
        <v>-0.7</v>
      </c>
      <c r="H115" s="1">
        <v>0</v>
      </c>
      <c r="I115" s="1">
        <v>2</v>
      </c>
      <c r="J115" s="1">
        <v>0</v>
      </c>
      <c r="K115" s="1">
        <v>-63.4</v>
      </c>
      <c r="L115" s="1">
        <v>26.7</v>
      </c>
      <c r="M115" s="1">
        <v>1630.3330000000001</v>
      </c>
      <c r="N115" s="1">
        <v>88.8</v>
      </c>
      <c r="O115" s="1">
        <v>8</v>
      </c>
      <c r="P115" s="1">
        <v>10</v>
      </c>
      <c r="Q115" s="1">
        <v>2.6</v>
      </c>
      <c r="R115" s="1">
        <v>68</v>
      </c>
      <c r="S115" s="1">
        <v>110</v>
      </c>
      <c r="T115" s="1">
        <v>147</v>
      </c>
      <c r="U115" s="1">
        <v>1295.442</v>
      </c>
      <c r="V115" s="1">
        <v>490.16399999999999</v>
      </c>
      <c r="W115" s="1">
        <v>752.85199999999998</v>
      </c>
      <c r="X115" s="1">
        <v>132.18100000000001</v>
      </c>
      <c r="Y115" s="1">
        <v>4.9400000000000004</v>
      </c>
      <c r="Z115" s="1">
        <v>8.0150000000000006</v>
      </c>
      <c r="AA115" s="1">
        <v>21.7</v>
      </c>
      <c r="AB115" s="1">
        <v>290.5</v>
      </c>
      <c r="AC115" s="1">
        <v>12510</v>
      </c>
      <c r="AD115" s="1">
        <v>3292</v>
      </c>
      <c r="AE115" s="1">
        <v>268</v>
      </c>
      <c r="AF115" s="1">
        <v>15</v>
      </c>
      <c r="AG115" s="1">
        <v>15</v>
      </c>
      <c r="AH115" s="1">
        <v>33.700000000000003</v>
      </c>
      <c r="AI115" s="1">
        <v>53</v>
      </c>
      <c r="AJ115" s="1">
        <v>13.3</v>
      </c>
      <c r="AK115" s="1">
        <v>82.7</v>
      </c>
      <c r="AL115" s="1">
        <v>31.9</v>
      </c>
      <c r="AM115" s="1">
        <v>8</v>
      </c>
      <c r="AN115" s="1">
        <v>0</v>
      </c>
      <c r="AO115" s="1">
        <v>0</v>
      </c>
      <c r="AP115" s="1" t="s">
        <v>266</v>
      </c>
      <c r="AQ115" s="1" t="s">
        <v>267</v>
      </c>
      <c r="AR115" s="1" t="s">
        <v>268</v>
      </c>
    </row>
    <row r="116" spans="1:44" x14ac:dyDescent="0.2">
      <c r="A116" s="1" t="s">
        <v>46</v>
      </c>
      <c r="B116" s="1" t="s">
        <v>265</v>
      </c>
      <c r="C116" s="1">
        <v>-36.799999999999997</v>
      </c>
      <c r="D116" s="1">
        <v>456375</v>
      </c>
      <c r="E116" s="1">
        <v>5971877.2000000002</v>
      </c>
      <c r="F116" s="1">
        <v>0</v>
      </c>
      <c r="G116" s="1">
        <v>-0.6</v>
      </c>
      <c r="H116" s="1">
        <v>0</v>
      </c>
      <c r="I116" s="1">
        <v>2</v>
      </c>
      <c r="J116" s="1">
        <v>0</v>
      </c>
      <c r="K116" s="1">
        <v>-65.3</v>
      </c>
      <c r="L116" s="1">
        <v>28.5</v>
      </c>
      <c r="M116" s="1">
        <v>1648.7059999999999</v>
      </c>
      <c r="N116" s="1">
        <v>90.7</v>
      </c>
      <c r="O116" s="1">
        <v>8</v>
      </c>
      <c r="P116" s="1">
        <v>10</v>
      </c>
      <c r="Q116" s="1">
        <v>2.79</v>
      </c>
      <c r="R116" s="1">
        <v>68</v>
      </c>
      <c r="S116" s="1">
        <v>110</v>
      </c>
      <c r="T116" s="1">
        <v>147</v>
      </c>
      <c r="U116" s="1">
        <v>1357.8589999999999</v>
      </c>
      <c r="V116" s="1">
        <v>521.58000000000004</v>
      </c>
      <c r="W116" s="1">
        <v>752.85199999999998</v>
      </c>
      <c r="X116" s="1">
        <v>132.18100000000001</v>
      </c>
      <c r="Y116" s="1">
        <v>4.9400000000000004</v>
      </c>
      <c r="Z116" s="1">
        <v>8.0150000000000006</v>
      </c>
      <c r="AA116" s="1">
        <v>21.7</v>
      </c>
      <c r="AB116" s="1">
        <v>290.5</v>
      </c>
      <c r="AC116" s="1">
        <v>12629</v>
      </c>
      <c r="AD116" s="1">
        <v>3298</v>
      </c>
      <c r="AE116" s="1">
        <v>268</v>
      </c>
      <c r="AF116" s="1">
        <v>15</v>
      </c>
      <c r="AG116" s="1">
        <v>15</v>
      </c>
      <c r="AH116" s="1">
        <v>33.200000000000003</v>
      </c>
      <c r="AI116" s="1">
        <v>53.8</v>
      </c>
      <c r="AJ116" s="1">
        <v>12.9</v>
      </c>
      <c r="AK116" s="1">
        <v>81.7</v>
      </c>
      <c r="AL116" s="1">
        <v>31.9</v>
      </c>
      <c r="AM116" s="1">
        <v>8</v>
      </c>
      <c r="AN116" s="1">
        <v>0</v>
      </c>
      <c r="AO116" s="1">
        <v>0</v>
      </c>
      <c r="AP116" s="1" t="s">
        <v>266</v>
      </c>
      <c r="AQ116" s="1" t="s">
        <v>267</v>
      </c>
      <c r="AR116" s="1" t="s">
        <v>268</v>
      </c>
    </row>
    <row r="117" spans="1:44" x14ac:dyDescent="0.2">
      <c r="A117" s="1" t="s">
        <v>63</v>
      </c>
      <c r="B117" s="1" t="s">
        <v>265</v>
      </c>
      <c r="C117" s="1">
        <v>-36.9</v>
      </c>
      <c r="D117" s="1">
        <v>459722</v>
      </c>
      <c r="E117" s="1">
        <v>5969686.7000000002</v>
      </c>
      <c r="F117" s="1">
        <v>0</v>
      </c>
      <c r="G117" s="1">
        <v>-0.7</v>
      </c>
      <c r="H117" s="1">
        <v>0</v>
      </c>
      <c r="I117" s="1">
        <v>2</v>
      </c>
      <c r="J117" s="1">
        <v>0</v>
      </c>
      <c r="K117" s="1">
        <v>-64.3</v>
      </c>
      <c r="L117" s="1">
        <v>27.4</v>
      </c>
      <c r="M117" s="1">
        <v>1647.576</v>
      </c>
      <c r="N117" s="1">
        <v>89.7</v>
      </c>
      <c r="O117" s="1">
        <v>8</v>
      </c>
      <c r="P117" s="1">
        <v>10</v>
      </c>
      <c r="Q117" s="1">
        <v>2.67</v>
      </c>
      <c r="R117" s="1">
        <v>68</v>
      </c>
      <c r="S117" s="1">
        <v>110</v>
      </c>
      <c r="T117" s="1">
        <v>147</v>
      </c>
      <c r="U117" s="1">
        <v>1357.759</v>
      </c>
      <c r="V117" s="1">
        <v>427.81</v>
      </c>
      <c r="W117" s="1">
        <v>752.85199999999998</v>
      </c>
      <c r="X117" s="1">
        <v>132.18100000000001</v>
      </c>
      <c r="Y117" s="1">
        <v>4.9400000000000004</v>
      </c>
      <c r="Z117" s="1">
        <v>8.0150000000000006</v>
      </c>
      <c r="AA117" s="1">
        <v>21.7</v>
      </c>
      <c r="AB117" s="1">
        <v>290.5</v>
      </c>
      <c r="AC117" s="1">
        <v>12566</v>
      </c>
      <c r="AD117" s="1">
        <v>3304</v>
      </c>
      <c r="AE117" s="1">
        <v>268</v>
      </c>
      <c r="AF117" s="1">
        <v>15</v>
      </c>
      <c r="AG117" s="1">
        <v>15</v>
      </c>
      <c r="AH117" s="1">
        <v>33.200000000000003</v>
      </c>
      <c r="AI117" s="1">
        <v>53.8</v>
      </c>
      <c r="AJ117" s="1">
        <v>12.9</v>
      </c>
      <c r="AK117" s="1">
        <v>82.6</v>
      </c>
      <c r="AL117" s="1">
        <v>31.9</v>
      </c>
      <c r="AM117" s="1">
        <v>8</v>
      </c>
      <c r="AN117" s="1">
        <v>0</v>
      </c>
      <c r="AO117" s="1">
        <v>0</v>
      </c>
      <c r="AP117" s="1" t="s">
        <v>266</v>
      </c>
      <c r="AQ117" s="1" t="s">
        <v>267</v>
      </c>
      <c r="AR117" s="1" t="s">
        <v>268</v>
      </c>
    </row>
    <row r="118" spans="1:44" x14ac:dyDescent="0.2">
      <c r="A118" s="1" t="s">
        <v>59</v>
      </c>
      <c r="B118" s="1" t="s">
        <v>265</v>
      </c>
      <c r="C118" s="1">
        <v>-37.9</v>
      </c>
      <c r="D118" s="1">
        <v>462427.36</v>
      </c>
      <c r="E118" s="1">
        <v>5968596.3700000001</v>
      </c>
      <c r="F118" s="1">
        <v>0</v>
      </c>
      <c r="G118" s="1">
        <v>-0.7</v>
      </c>
      <c r="H118" s="1">
        <v>0</v>
      </c>
      <c r="I118" s="1">
        <v>2</v>
      </c>
      <c r="J118" s="1">
        <v>0</v>
      </c>
      <c r="K118" s="1">
        <v>-66.8</v>
      </c>
      <c r="L118" s="1">
        <v>28.9</v>
      </c>
      <c r="M118" s="1">
        <v>1713.3889999999999</v>
      </c>
      <c r="N118" s="1">
        <v>92.2</v>
      </c>
      <c r="O118" s="1">
        <v>8</v>
      </c>
      <c r="P118" s="1">
        <v>10</v>
      </c>
      <c r="Q118" s="1">
        <v>2.82</v>
      </c>
      <c r="R118" s="1">
        <v>68</v>
      </c>
      <c r="S118" s="1">
        <v>110</v>
      </c>
      <c r="T118" s="1">
        <v>147</v>
      </c>
      <c r="U118" s="1">
        <v>1420.0119999999999</v>
      </c>
      <c r="V118" s="1">
        <v>421.96600000000001</v>
      </c>
      <c r="W118" s="1">
        <v>752.85199999999998</v>
      </c>
      <c r="X118" s="1">
        <v>132.18100000000001</v>
      </c>
      <c r="Y118" s="1">
        <v>4.9400000000000004</v>
      </c>
      <c r="Z118" s="1">
        <v>8.0150000000000006</v>
      </c>
      <c r="AA118" s="1">
        <v>21.7</v>
      </c>
      <c r="AB118" s="1">
        <v>290.5</v>
      </c>
      <c r="AC118" s="1">
        <v>12721</v>
      </c>
      <c r="AD118" s="1">
        <v>3366</v>
      </c>
      <c r="AE118" s="1">
        <v>268</v>
      </c>
      <c r="AF118" s="1">
        <v>15</v>
      </c>
      <c r="AG118" s="1">
        <v>15</v>
      </c>
      <c r="AH118" s="1">
        <v>32.1</v>
      </c>
      <c r="AI118" s="1">
        <v>55.3</v>
      </c>
      <c r="AJ118" s="1">
        <v>12.6</v>
      </c>
      <c r="AK118" s="1">
        <v>83.3</v>
      </c>
      <c r="AL118" s="1">
        <v>31.9</v>
      </c>
      <c r="AM118" s="1">
        <v>8</v>
      </c>
      <c r="AN118" s="1">
        <v>0</v>
      </c>
      <c r="AO118" s="1">
        <v>0</v>
      </c>
      <c r="AP118" s="1" t="s">
        <v>266</v>
      </c>
      <c r="AQ118" s="1" t="s">
        <v>267</v>
      </c>
      <c r="AR118" s="1" t="s">
        <v>268</v>
      </c>
    </row>
    <row r="119" spans="1:44" x14ac:dyDescent="0.2">
      <c r="A119" s="1" t="s">
        <v>164</v>
      </c>
      <c r="B119" s="1" t="s">
        <v>265</v>
      </c>
      <c r="C119" s="1">
        <v>-37.299999999999997</v>
      </c>
      <c r="D119" s="1">
        <v>466515.5</v>
      </c>
      <c r="E119" s="1">
        <v>5965378.0999999996</v>
      </c>
      <c r="F119" s="1">
        <v>0</v>
      </c>
      <c r="G119" s="1">
        <v>-0.6</v>
      </c>
      <c r="H119" s="1">
        <v>0</v>
      </c>
      <c r="I119" s="1">
        <v>2</v>
      </c>
      <c r="J119" s="1">
        <v>0</v>
      </c>
      <c r="K119" s="1">
        <v>-66.599999999999994</v>
      </c>
      <c r="L119" s="1">
        <v>29.3</v>
      </c>
      <c r="M119" s="1">
        <v>1738.27</v>
      </c>
      <c r="N119" s="1">
        <v>92</v>
      </c>
      <c r="O119" s="1">
        <v>8</v>
      </c>
      <c r="P119" s="1">
        <v>10</v>
      </c>
      <c r="Q119" s="1">
        <v>2.87</v>
      </c>
      <c r="R119" s="1">
        <v>68</v>
      </c>
      <c r="S119" s="1">
        <v>110</v>
      </c>
      <c r="T119" s="1">
        <v>147</v>
      </c>
      <c r="U119" s="1">
        <v>1357.4570000000001</v>
      </c>
      <c r="V119" s="1">
        <v>458.53399999999999</v>
      </c>
      <c r="W119" s="1">
        <v>752.85199999999998</v>
      </c>
      <c r="X119" s="1">
        <v>132.18100000000001</v>
      </c>
      <c r="Y119" s="1">
        <v>4.9400000000000004</v>
      </c>
      <c r="Z119" s="1">
        <v>8.0150000000000006</v>
      </c>
      <c r="AA119" s="1">
        <v>21.7</v>
      </c>
      <c r="AB119" s="1">
        <v>290.5</v>
      </c>
      <c r="AC119" s="1">
        <v>12708</v>
      </c>
      <c r="AD119" s="1">
        <v>3328</v>
      </c>
      <c r="AE119" s="1">
        <v>268</v>
      </c>
      <c r="AF119" s="1">
        <v>15</v>
      </c>
      <c r="AG119" s="1">
        <v>15</v>
      </c>
      <c r="AH119" s="1">
        <v>31.5</v>
      </c>
      <c r="AI119" s="1">
        <v>56.1</v>
      </c>
      <c r="AJ119" s="1">
        <v>12.4</v>
      </c>
      <c r="AK119" s="1">
        <v>84.6</v>
      </c>
      <c r="AL119" s="1">
        <v>31.9</v>
      </c>
      <c r="AM119" s="1">
        <v>8</v>
      </c>
      <c r="AN119" s="1">
        <v>0</v>
      </c>
      <c r="AO119" s="1">
        <v>0</v>
      </c>
      <c r="AP119" s="1" t="s">
        <v>266</v>
      </c>
      <c r="AQ119" s="1" t="s">
        <v>267</v>
      </c>
      <c r="AR119" s="1" t="s">
        <v>268</v>
      </c>
    </row>
    <row r="120" spans="1:44" x14ac:dyDescent="0.2">
      <c r="A120" s="1" t="s">
        <v>125</v>
      </c>
      <c r="B120" s="1" t="s">
        <v>265</v>
      </c>
      <c r="C120" s="1">
        <v>-33.9</v>
      </c>
      <c r="D120" s="1">
        <v>469527.2</v>
      </c>
      <c r="E120" s="1">
        <v>5963890.2999999998</v>
      </c>
      <c r="F120" s="1">
        <v>0</v>
      </c>
      <c r="G120" s="1">
        <v>-0.7</v>
      </c>
      <c r="H120" s="1">
        <v>0</v>
      </c>
      <c r="I120" s="1">
        <v>2</v>
      </c>
      <c r="J120" s="1">
        <v>0</v>
      </c>
      <c r="K120" s="1">
        <v>-61</v>
      </c>
      <c r="L120" s="1">
        <v>27.1</v>
      </c>
      <c r="M120" s="1">
        <v>1537.432</v>
      </c>
      <c r="N120" s="1">
        <v>86.4</v>
      </c>
      <c r="O120" s="1">
        <v>8</v>
      </c>
      <c r="P120" s="1">
        <v>10</v>
      </c>
      <c r="Q120" s="1">
        <v>2.64</v>
      </c>
      <c r="R120" s="1">
        <v>68</v>
      </c>
      <c r="S120" s="1">
        <v>110</v>
      </c>
      <c r="T120" s="1">
        <v>147</v>
      </c>
      <c r="U120" s="1">
        <v>1295.7059999999999</v>
      </c>
      <c r="V120" s="1">
        <v>553.096</v>
      </c>
      <c r="W120" s="1">
        <v>752.85199999999998</v>
      </c>
      <c r="X120" s="1">
        <v>132.18100000000001</v>
      </c>
      <c r="Y120" s="1">
        <v>4.9400000000000004</v>
      </c>
      <c r="Z120" s="1">
        <v>8.0150000000000006</v>
      </c>
      <c r="AA120" s="1">
        <v>21.7</v>
      </c>
      <c r="AB120" s="1">
        <v>290.5</v>
      </c>
      <c r="AC120" s="1">
        <v>12362</v>
      </c>
      <c r="AD120" s="1">
        <v>3118</v>
      </c>
      <c r="AE120" s="1">
        <v>268</v>
      </c>
      <c r="AF120" s="1">
        <v>15</v>
      </c>
      <c r="AG120" s="1">
        <v>15</v>
      </c>
      <c r="AH120" s="1">
        <v>35.5</v>
      </c>
      <c r="AI120" s="1">
        <v>50.8</v>
      </c>
      <c r="AJ120" s="1">
        <v>13.7</v>
      </c>
      <c r="AK120" s="1">
        <v>80.5</v>
      </c>
      <c r="AL120" s="1">
        <v>31.9</v>
      </c>
      <c r="AM120" s="1">
        <v>8</v>
      </c>
      <c r="AN120" s="1">
        <v>0</v>
      </c>
      <c r="AO120" s="1">
        <v>0</v>
      </c>
      <c r="AP120" s="1" t="s">
        <v>266</v>
      </c>
      <c r="AQ120" s="1" t="s">
        <v>267</v>
      </c>
      <c r="AR120" s="1" t="s">
        <v>268</v>
      </c>
    </row>
    <row r="121" spans="1:44" x14ac:dyDescent="0.2">
      <c r="A121" s="1" t="s">
        <v>128</v>
      </c>
      <c r="B121" s="1" t="s">
        <v>269</v>
      </c>
      <c r="C121" s="1">
        <v>-31.7</v>
      </c>
      <c r="D121" s="1">
        <v>472187.6</v>
      </c>
      <c r="E121" s="1">
        <v>5963006.7000000002</v>
      </c>
      <c r="F121" s="1">
        <v>0</v>
      </c>
      <c r="G121" s="1">
        <v>-0.7</v>
      </c>
      <c r="H121" s="1">
        <v>0</v>
      </c>
      <c r="I121" s="1">
        <v>2</v>
      </c>
      <c r="J121" s="1">
        <v>0</v>
      </c>
      <c r="K121" s="1">
        <v>-60.7</v>
      </c>
      <c r="L121" s="1">
        <v>29</v>
      </c>
      <c r="M121" s="1">
        <v>1486.835</v>
      </c>
      <c r="N121" s="1">
        <v>86.1</v>
      </c>
      <c r="O121" s="1">
        <v>8</v>
      </c>
      <c r="P121" s="1">
        <v>10</v>
      </c>
      <c r="Q121" s="1">
        <v>2.83</v>
      </c>
      <c r="R121" s="1">
        <v>68</v>
      </c>
      <c r="S121" s="1">
        <v>110</v>
      </c>
      <c r="T121" s="1">
        <v>147</v>
      </c>
      <c r="U121" s="1">
        <v>1296.0329999999999</v>
      </c>
      <c r="V121" s="1">
        <v>549.28899999999999</v>
      </c>
      <c r="W121" s="1">
        <v>752.85199999999998</v>
      </c>
      <c r="X121" s="1">
        <v>132.18100000000001</v>
      </c>
      <c r="Y121" s="1">
        <v>4.9400000000000004</v>
      </c>
      <c r="Z121" s="1">
        <v>8.0150000000000006</v>
      </c>
      <c r="AA121" s="1">
        <v>21.7</v>
      </c>
      <c r="AB121" s="1">
        <v>290.5</v>
      </c>
      <c r="AC121" s="1">
        <v>12344</v>
      </c>
      <c r="AD121" s="1">
        <v>2982</v>
      </c>
      <c r="AE121" s="1">
        <v>268</v>
      </c>
      <c r="AF121" s="1">
        <v>15</v>
      </c>
      <c r="AG121" s="1">
        <v>15</v>
      </c>
      <c r="AH121" s="1">
        <v>36.299999999999997</v>
      </c>
      <c r="AI121" s="1">
        <v>50.6</v>
      </c>
      <c r="AJ121" s="1">
        <v>13.1</v>
      </c>
      <c r="AK121" s="1">
        <v>78.099999999999994</v>
      </c>
      <c r="AL121" s="1">
        <v>31.9</v>
      </c>
      <c r="AM121" s="1">
        <v>8</v>
      </c>
      <c r="AN121" s="1">
        <v>0</v>
      </c>
      <c r="AO121" s="1">
        <v>0</v>
      </c>
      <c r="AP121" s="1" t="s">
        <v>266</v>
      </c>
      <c r="AQ121" s="1" t="s">
        <v>267</v>
      </c>
      <c r="AR121" s="1" t="s">
        <v>268</v>
      </c>
    </row>
    <row r="122" spans="1:44" x14ac:dyDescent="0.2">
      <c r="A122" s="1" t="s">
        <v>152</v>
      </c>
      <c r="B122" s="1" t="s">
        <v>265</v>
      </c>
      <c r="C122" s="1">
        <v>-30.5</v>
      </c>
      <c r="D122" s="1">
        <v>475684.7</v>
      </c>
      <c r="E122" s="1">
        <v>5960754</v>
      </c>
      <c r="F122" s="1">
        <v>0</v>
      </c>
      <c r="G122" s="1">
        <v>-0.7</v>
      </c>
      <c r="H122" s="1">
        <v>0</v>
      </c>
      <c r="I122" s="1">
        <v>2</v>
      </c>
      <c r="J122" s="1">
        <v>0</v>
      </c>
      <c r="K122" s="1">
        <v>-59.6</v>
      </c>
      <c r="L122" s="1">
        <v>29.1</v>
      </c>
      <c r="M122" s="1">
        <v>1447.1690000000001</v>
      </c>
      <c r="N122" s="1">
        <v>85</v>
      </c>
      <c r="O122" s="1">
        <v>8</v>
      </c>
      <c r="P122" s="1">
        <v>10</v>
      </c>
      <c r="Q122" s="1">
        <v>2.84</v>
      </c>
      <c r="R122" s="1">
        <v>64</v>
      </c>
      <c r="S122" s="1">
        <v>110</v>
      </c>
      <c r="T122" s="1">
        <v>147</v>
      </c>
      <c r="U122" s="1">
        <v>1296.1959999999999</v>
      </c>
      <c r="V122" s="1">
        <v>493.28</v>
      </c>
      <c r="W122" s="1">
        <v>752.85199999999998</v>
      </c>
      <c r="X122" s="1">
        <v>132.18100000000001</v>
      </c>
      <c r="Y122" s="1">
        <v>4.9400000000000004</v>
      </c>
      <c r="Z122" s="1">
        <v>8.0150000000000006</v>
      </c>
      <c r="AA122" s="1">
        <v>21.7</v>
      </c>
      <c r="AB122" s="1">
        <v>290.5</v>
      </c>
      <c r="AC122" s="1">
        <v>12276</v>
      </c>
      <c r="AD122" s="1">
        <v>2907</v>
      </c>
      <c r="AE122" s="1">
        <v>268</v>
      </c>
      <c r="AF122" s="1">
        <v>15</v>
      </c>
      <c r="AG122" s="1">
        <v>15</v>
      </c>
      <c r="AH122" s="1">
        <v>36.9</v>
      </c>
      <c r="AI122" s="1">
        <v>50.7</v>
      </c>
      <c r="AJ122" s="1">
        <v>12.4</v>
      </c>
      <c r="AK122" s="1">
        <v>77.099999999999994</v>
      </c>
      <c r="AL122" s="1">
        <v>31.9</v>
      </c>
      <c r="AM122" s="1">
        <v>8</v>
      </c>
      <c r="AN122" s="1">
        <v>0</v>
      </c>
      <c r="AO122" s="1">
        <v>0</v>
      </c>
      <c r="AP122" s="1" t="s">
        <v>266</v>
      </c>
      <c r="AQ122" s="1" t="s">
        <v>267</v>
      </c>
      <c r="AR122" s="1" t="s">
        <v>268</v>
      </c>
    </row>
    <row r="123" spans="1:44" x14ac:dyDescent="0.2">
      <c r="A123" s="1" t="s">
        <v>131</v>
      </c>
      <c r="B123" s="1" t="s">
        <v>269</v>
      </c>
      <c r="C123" s="1">
        <v>-31.1</v>
      </c>
      <c r="D123" s="1">
        <v>478130.7</v>
      </c>
      <c r="E123" s="1">
        <v>5960166.2999999998</v>
      </c>
      <c r="F123" s="1">
        <v>0</v>
      </c>
      <c r="G123" s="1">
        <v>-0.7</v>
      </c>
      <c r="H123" s="1">
        <v>0</v>
      </c>
      <c r="I123" s="1">
        <v>2</v>
      </c>
      <c r="J123" s="1">
        <v>0</v>
      </c>
      <c r="K123" s="1">
        <v>-60.6</v>
      </c>
      <c r="L123" s="1">
        <v>29.5</v>
      </c>
      <c r="M123" s="1">
        <v>1473.0129999999999</v>
      </c>
      <c r="N123" s="1">
        <v>86</v>
      </c>
      <c r="O123" s="1">
        <v>8</v>
      </c>
      <c r="P123" s="1">
        <v>10</v>
      </c>
      <c r="Q123" s="1">
        <v>2.88</v>
      </c>
      <c r="R123" s="1">
        <v>68</v>
      </c>
      <c r="S123" s="1">
        <v>110</v>
      </c>
      <c r="T123" s="1">
        <v>147</v>
      </c>
      <c r="U123" s="1">
        <v>1296.1210000000001</v>
      </c>
      <c r="V123" s="1">
        <v>549.351</v>
      </c>
      <c r="W123" s="1">
        <v>752.85199999999998</v>
      </c>
      <c r="X123" s="1">
        <v>132.18100000000001</v>
      </c>
      <c r="Y123" s="1">
        <v>4.9400000000000004</v>
      </c>
      <c r="Z123" s="1">
        <v>8.0150000000000006</v>
      </c>
      <c r="AA123" s="1">
        <v>21.7</v>
      </c>
      <c r="AB123" s="1">
        <v>290.5</v>
      </c>
      <c r="AC123" s="1">
        <v>12338</v>
      </c>
      <c r="AD123" s="1">
        <v>2945</v>
      </c>
      <c r="AE123" s="1">
        <v>268</v>
      </c>
      <c r="AF123" s="1">
        <v>15</v>
      </c>
      <c r="AG123" s="1">
        <v>15</v>
      </c>
      <c r="AH123" s="1">
        <v>36.4</v>
      </c>
      <c r="AI123" s="1">
        <v>50.9</v>
      </c>
      <c r="AJ123" s="1">
        <v>12.7</v>
      </c>
      <c r="AK123" s="1">
        <v>77.5</v>
      </c>
      <c r="AL123" s="1">
        <v>31.9</v>
      </c>
      <c r="AM123" s="1">
        <v>8</v>
      </c>
      <c r="AN123" s="1">
        <v>0</v>
      </c>
      <c r="AO123" s="1">
        <v>0</v>
      </c>
      <c r="AP123" s="1" t="s">
        <v>266</v>
      </c>
      <c r="AQ123" s="1" t="s">
        <v>267</v>
      </c>
      <c r="AR123" s="1" t="s">
        <v>268</v>
      </c>
    </row>
    <row r="124" spans="1:44" x14ac:dyDescent="0.2">
      <c r="A124" s="1" t="s">
        <v>71</v>
      </c>
      <c r="B124" s="1" t="s">
        <v>269</v>
      </c>
      <c r="C124" s="1">
        <v>-35.1</v>
      </c>
      <c r="D124" s="1">
        <v>476362</v>
      </c>
      <c r="E124" s="1">
        <v>5966280</v>
      </c>
      <c r="F124" s="1">
        <v>0</v>
      </c>
      <c r="G124" s="1">
        <v>-0.6</v>
      </c>
      <c r="H124" s="1">
        <v>0</v>
      </c>
      <c r="I124" s="1">
        <v>2</v>
      </c>
      <c r="J124" s="1">
        <v>0</v>
      </c>
      <c r="K124" s="1">
        <v>-64.599999999999994</v>
      </c>
      <c r="L124" s="1">
        <v>29.5</v>
      </c>
      <c r="M124" s="1">
        <v>1629.4739999999999</v>
      </c>
      <c r="N124" s="1">
        <v>90</v>
      </c>
      <c r="O124" s="1">
        <v>8</v>
      </c>
      <c r="P124" s="1">
        <v>10</v>
      </c>
      <c r="Q124" s="1">
        <v>2.89</v>
      </c>
      <c r="R124" s="1">
        <v>68</v>
      </c>
      <c r="S124" s="1">
        <v>110</v>
      </c>
      <c r="T124" s="1">
        <v>147</v>
      </c>
      <c r="U124" s="1">
        <v>1357.9090000000001</v>
      </c>
      <c r="V124" s="1">
        <v>484.38299999999998</v>
      </c>
      <c r="W124" s="1">
        <v>752.85199999999998</v>
      </c>
      <c r="X124" s="1">
        <v>132.18100000000001</v>
      </c>
      <c r="Y124" s="1">
        <v>4.9400000000000004</v>
      </c>
      <c r="Z124" s="1">
        <v>8.0150000000000006</v>
      </c>
      <c r="AA124" s="1">
        <v>21.7</v>
      </c>
      <c r="AB124" s="1">
        <v>290.5</v>
      </c>
      <c r="AC124" s="1">
        <v>12585</v>
      </c>
      <c r="AD124" s="1">
        <v>3192</v>
      </c>
      <c r="AE124" s="1">
        <v>268</v>
      </c>
      <c r="AF124" s="1">
        <v>15</v>
      </c>
      <c r="AG124" s="1">
        <v>15</v>
      </c>
      <c r="AH124" s="1">
        <v>33.6</v>
      </c>
      <c r="AI124" s="1">
        <v>53.2</v>
      </c>
      <c r="AJ124" s="1">
        <v>13.2</v>
      </c>
      <c r="AK124" s="1">
        <v>81.5</v>
      </c>
      <c r="AL124" s="1">
        <v>31.9</v>
      </c>
      <c r="AM124" s="1">
        <v>8</v>
      </c>
      <c r="AN124" s="1">
        <v>0</v>
      </c>
      <c r="AO124" s="1">
        <v>0</v>
      </c>
      <c r="AP124" s="1" t="s">
        <v>266</v>
      </c>
      <c r="AQ124" s="1" t="s">
        <v>267</v>
      </c>
      <c r="AR124" s="1" t="s">
        <v>268</v>
      </c>
    </row>
    <row r="125" spans="1:44" x14ac:dyDescent="0.2">
      <c r="A125" s="1" t="s">
        <v>121</v>
      </c>
      <c r="B125" s="1" t="s">
        <v>265</v>
      </c>
      <c r="C125" s="1">
        <v>-32.1</v>
      </c>
      <c r="D125" s="1">
        <v>477024.6</v>
      </c>
      <c r="E125" s="1">
        <v>5968408</v>
      </c>
      <c r="F125" s="1">
        <v>0</v>
      </c>
      <c r="G125" s="1">
        <v>-0.7</v>
      </c>
      <c r="H125" s="1">
        <v>0</v>
      </c>
      <c r="I125" s="1">
        <v>2</v>
      </c>
      <c r="J125" s="1">
        <v>0</v>
      </c>
      <c r="K125" s="1">
        <v>-61.5</v>
      </c>
      <c r="L125" s="1">
        <v>29.4</v>
      </c>
      <c r="M125" s="1">
        <v>1514.53</v>
      </c>
      <c r="N125" s="1">
        <v>86.9</v>
      </c>
      <c r="O125" s="1">
        <v>8</v>
      </c>
      <c r="P125" s="1">
        <v>10</v>
      </c>
      <c r="Q125" s="1">
        <v>2.87</v>
      </c>
      <c r="R125" s="1">
        <v>68</v>
      </c>
      <c r="S125" s="1">
        <v>110</v>
      </c>
      <c r="T125" s="1">
        <v>147</v>
      </c>
      <c r="U125" s="1">
        <v>1295.9449999999999</v>
      </c>
      <c r="V125" s="1">
        <v>524.57100000000003</v>
      </c>
      <c r="W125" s="1">
        <v>752.85199999999998</v>
      </c>
      <c r="X125" s="1">
        <v>132.18100000000001</v>
      </c>
      <c r="Y125" s="1">
        <v>4.9400000000000004</v>
      </c>
      <c r="Z125" s="1">
        <v>8.0150000000000006</v>
      </c>
      <c r="AA125" s="1">
        <v>21.7</v>
      </c>
      <c r="AB125" s="1">
        <v>290.5</v>
      </c>
      <c r="AC125" s="1">
        <v>12394</v>
      </c>
      <c r="AD125" s="1">
        <v>3006</v>
      </c>
      <c r="AE125" s="1">
        <v>268</v>
      </c>
      <c r="AF125" s="1">
        <v>15</v>
      </c>
      <c r="AG125" s="1">
        <v>15</v>
      </c>
      <c r="AH125" s="1">
        <v>35.799999999999997</v>
      </c>
      <c r="AI125" s="1">
        <v>51.3</v>
      </c>
      <c r="AJ125" s="1">
        <v>13</v>
      </c>
      <c r="AK125" s="1">
        <v>78.8</v>
      </c>
      <c r="AL125" s="1">
        <v>31.9</v>
      </c>
      <c r="AM125" s="1">
        <v>8</v>
      </c>
      <c r="AN125" s="1">
        <v>0</v>
      </c>
      <c r="AO125" s="1">
        <v>0</v>
      </c>
      <c r="AP125" s="1" t="s">
        <v>266</v>
      </c>
      <c r="AQ125" s="1" t="s">
        <v>267</v>
      </c>
      <c r="AR125" s="1" t="s">
        <v>268</v>
      </c>
    </row>
    <row r="126" spans="1:44" x14ac:dyDescent="0.2">
      <c r="A126" s="1" t="s">
        <v>33</v>
      </c>
      <c r="B126" s="1" t="s">
        <v>271</v>
      </c>
      <c r="C126" s="1">
        <v>-38.200000000000003</v>
      </c>
      <c r="D126" s="1">
        <v>476683.7</v>
      </c>
      <c r="E126" s="1">
        <v>5972033.2999999998</v>
      </c>
      <c r="F126" s="1">
        <v>0</v>
      </c>
      <c r="G126" s="1">
        <v>-0.6</v>
      </c>
      <c r="H126" s="1">
        <v>0</v>
      </c>
      <c r="I126" s="1">
        <v>2</v>
      </c>
      <c r="J126" s="1">
        <v>0</v>
      </c>
      <c r="K126" s="1">
        <v>-66.2</v>
      </c>
      <c r="L126" s="1">
        <v>28</v>
      </c>
      <c r="M126" s="1">
        <v>1711.3689999999999</v>
      </c>
      <c r="N126" s="1">
        <v>91.6</v>
      </c>
      <c r="O126" s="1">
        <v>8</v>
      </c>
      <c r="P126" s="1">
        <v>10</v>
      </c>
      <c r="Q126" s="1">
        <v>2.74</v>
      </c>
      <c r="R126" s="1">
        <v>68</v>
      </c>
      <c r="S126" s="1">
        <v>110</v>
      </c>
      <c r="T126" s="1">
        <v>147</v>
      </c>
      <c r="U126" s="1">
        <v>1357.57</v>
      </c>
      <c r="V126" s="1">
        <v>396.85899999999998</v>
      </c>
      <c r="W126" s="1">
        <v>752.85199999999998</v>
      </c>
      <c r="X126" s="1">
        <v>132.18100000000001</v>
      </c>
      <c r="Y126" s="1">
        <v>4.9400000000000004</v>
      </c>
      <c r="Z126" s="1">
        <v>8.0150000000000006</v>
      </c>
      <c r="AA126" s="1">
        <v>21.7</v>
      </c>
      <c r="AB126" s="1">
        <v>290.5</v>
      </c>
      <c r="AC126" s="1">
        <v>12684</v>
      </c>
      <c r="AD126" s="1">
        <v>3384</v>
      </c>
      <c r="AE126" s="1">
        <v>268</v>
      </c>
      <c r="AF126" s="1">
        <v>15</v>
      </c>
      <c r="AG126" s="1">
        <v>15</v>
      </c>
      <c r="AH126" s="1">
        <v>32.1</v>
      </c>
      <c r="AI126" s="1">
        <v>55.2</v>
      </c>
      <c r="AJ126" s="1">
        <v>12.7</v>
      </c>
      <c r="AK126" s="1">
        <v>83.7</v>
      </c>
      <c r="AL126" s="1">
        <v>31.9</v>
      </c>
      <c r="AM126" s="1">
        <v>8</v>
      </c>
      <c r="AN126" s="1">
        <v>0</v>
      </c>
      <c r="AO126" s="1">
        <v>0</v>
      </c>
      <c r="AP126" s="1" t="s">
        <v>266</v>
      </c>
      <c r="AQ126" s="1" t="s">
        <v>267</v>
      </c>
      <c r="AR126" s="1" t="s">
        <v>268</v>
      </c>
    </row>
    <row r="127" spans="1:44" x14ac:dyDescent="0.2">
      <c r="A127" s="1" t="s">
        <v>102</v>
      </c>
      <c r="B127" s="1" t="s">
        <v>265</v>
      </c>
      <c r="C127" s="1">
        <v>-36.700000000000003</v>
      </c>
      <c r="D127" s="1">
        <v>453928.5</v>
      </c>
      <c r="E127" s="1">
        <v>5972617.7999999998</v>
      </c>
      <c r="F127" s="1">
        <v>0</v>
      </c>
      <c r="G127" s="1">
        <v>-0.7</v>
      </c>
      <c r="H127" s="1">
        <v>0</v>
      </c>
      <c r="I127" s="1">
        <v>2</v>
      </c>
      <c r="J127" s="1">
        <v>0</v>
      </c>
      <c r="K127" s="1">
        <v>-62</v>
      </c>
      <c r="L127" s="1">
        <v>25.3</v>
      </c>
      <c r="M127" s="1">
        <v>1594.3620000000001</v>
      </c>
      <c r="N127" s="1">
        <v>87.4</v>
      </c>
      <c r="O127" s="1">
        <v>8</v>
      </c>
      <c r="P127" s="1">
        <v>10</v>
      </c>
      <c r="Q127" s="1">
        <v>2.46</v>
      </c>
      <c r="R127" s="1">
        <v>68</v>
      </c>
      <c r="S127" s="1">
        <v>110</v>
      </c>
      <c r="T127" s="1">
        <v>147</v>
      </c>
      <c r="U127" s="1">
        <v>1295.4670000000001</v>
      </c>
      <c r="V127" s="1">
        <v>521.10199999999998</v>
      </c>
      <c r="W127" s="1">
        <v>752.85199999999998</v>
      </c>
      <c r="X127" s="1">
        <v>132.18100000000001</v>
      </c>
      <c r="Y127" s="1">
        <v>4.9400000000000004</v>
      </c>
      <c r="Z127" s="1">
        <v>8.0150000000000006</v>
      </c>
      <c r="AA127" s="1">
        <v>21.7</v>
      </c>
      <c r="AB127" s="1">
        <v>290.5</v>
      </c>
      <c r="AC127" s="1">
        <v>12423</v>
      </c>
      <c r="AD127" s="1">
        <v>3292</v>
      </c>
      <c r="AE127" s="1">
        <v>268</v>
      </c>
      <c r="AF127" s="1">
        <v>15</v>
      </c>
      <c r="AG127" s="1">
        <v>15</v>
      </c>
      <c r="AH127" s="1">
        <v>34.4</v>
      </c>
      <c r="AI127" s="1">
        <v>52.2</v>
      </c>
      <c r="AJ127" s="1">
        <v>13.5</v>
      </c>
      <c r="AK127" s="1">
        <v>82.3</v>
      </c>
      <c r="AL127" s="1">
        <v>31.9</v>
      </c>
      <c r="AM127" s="1">
        <v>8</v>
      </c>
      <c r="AN127" s="1">
        <v>0</v>
      </c>
      <c r="AO127" s="1">
        <v>0</v>
      </c>
      <c r="AP127" s="1" t="s">
        <v>266</v>
      </c>
      <c r="AQ127" s="1" t="s">
        <v>267</v>
      </c>
      <c r="AR127" s="1" t="s">
        <v>268</v>
      </c>
    </row>
    <row r="128" spans="1:44" x14ac:dyDescent="0.2">
      <c r="A128" s="1" t="s">
        <v>114</v>
      </c>
      <c r="B128" s="1" t="s">
        <v>265</v>
      </c>
      <c r="C128" s="1">
        <v>-36.799999999999997</v>
      </c>
      <c r="D128" s="1">
        <v>455517.1</v>
      </c>
      <c r="E128" s="1">
        <v>5973255.7000000002</v>
      </c>
      <c r="F128" s="1">
        <v>0</v>
      </c>
      <c r="G128" s="1">
        <v>-0.6</v>
      </c>
      <c r="H128" s="1">
        <v>0</v>
      </c>
      <c r="I128" s="1">
        <v>2</v>
      </c>
      <c r="J128" s="1">
        <v>0</v>
      </c>
      <c r="K128" s="1">
        <v>-61.1</v>
      </c>
      <c r="L128" s="1">
        <v>24.3</v>
      </c>
      <c r="M128" s="1">
        <v>1572.6320000000001</v>
      </c>
      <c r="N128" s="1">
        <v>86.5</v>
      </c>
      <c r="O128" s="1">
        <v>8</v>
      </c>
      <c r="P128" s="1">
        <v>10</v>
      </c>
      <c r="Q128" s="1">
        <v>2.37</v>
      </c>
      <c r="R128" s="1">
        <v>68</v>
      </c>
      <c r="S128" s="1">
        <v>110</v>
      </c>
      <c r="T128" s="1">
        <v>147</v>
      </c>
      <c r="U128" s="1">
        <v>1295.492</v>
      </c>
      <c r="V128" s="1">
        <v>490.12599999999998</v>
      </c>
      <c r="W128" s="1">
        <v>752.85199999999998</v>
      </c>
      <c r="X128" s="1">
        <v>132.18100000000001</v>
      </c>
      <c r="Y128" s="1">
        <v>4.9400000000000004</v>
      </c>
      <c r="Z128" s="1">
        <v>8.0150000000000006</v>
      </c>
      <c r="AA128" s="1">
        <v>21.7</v>
      </c>
      <c r="AB128" s="1">
        <v>290.5</v>
      </c>
      <c r="AC128" s="1">
        <v>12367</v>
      </c>
      <c r="AD128" s="1">
        <v>3298</v>
      </c>
      <c r="AE128" s="1">
        <v>268</v>
      </c>
      <c r="AF128" s="1">
        <v>15</v>
      </c>
      <c r="AG128" s="1">
        <v>15</v>
      </c>
      <c r="AH128" s="1">
        <v>34.799999999999997</v>
      </c>
      <c r="AI128" s="1">
        <v>51.6</v>
      </c>
      <c r="AJ128" s="1">
        <v>13.6</v>
      </c>
      <c r="AK128" s="1">
        <v>82.1</v>
      </c>
      <c r="AL128" s="1">
        <v>31.9</v>
      </c>
      <c r="AM128" s="1">
        <v>8</v>
      </c>
      <c r="AN128" s="1">
        <v>0</v>
      </c>
      <c r="AO128" s="1">
        <v>0</v>
      </c>
      <c r="AP128" s="1" t="s">
        <v>266</v>
      </c>
      <c r="AQ128" s="1" t="s">
        <v>267</v>
      </c>
      <c r="AR128" s="1" t="s">
        <v>268</v>
      </c>
    </row>
    <row r="129" spans="1:44" x14ac:dyDescent="0.2">
      <c r="A129" s="1" t="s">
        <v>200</v>
      </c>
      <c r="B129" s="1" t="s">
        <v>265</v>
      </c>
      <c r="C129" s="1">
        <v>-44.5</v>
      </c>
      <c r="D129" s="1">
        <v>458990</v>
      </c>
      <c r="E129" s="1">
        <v>5970860</v>
      </c>
      <c r="F129" s="1">
        <v>0</v>
      </c>
      <c r="G129" s="1">
        <v>-0.6</v>
      </c>
      <c r="H129" s="1">
        <v>0</v>
      </c>
      <c r="I129" s="1">
        <v>2</v>
      </c>
      <c r="J129" s="1">
        <v>0</v>
      </c>
      <c r="K129" s="1">
        <v>-77.7</v>
      </c>
      <c r="L129" s="1">
        <v>33.200000000000003</v>
      </c>
      <c r="M129" s="1">
        <v>2086.02</v>
      </c>
      <c r="N129" s="1">
        <v>103.1</v>
      </c>
      <c r="O129" s="1">
        <v>8</v>
      </c>
      <c r="P129" s="1">
        <v>11</v>
      </c>
      <c r="Q129" s="1">
        <v>2.9636</v>
      </c>
      <c r="R129" s="1">
        <v>72</v>
      </c>
      <c r="S129" s="1">
        <v>117</v>
      </c>
      <c r="T129" s="1">
        <v>149</v>
      </c>
      <c r="U129" s="1">
        <v>1643.895</v>
      </c>
      <c r="V129" s="1">
        <v>369.72800000000001</v>
      </c>
      <c r="W129" s="1">
        <v>752.85199999999998</v>
      </c>
      <c r="X129" s="1">
        <v>132.18100000000001</v>
      </c>
      <c r="Y129" s="1">
        <v>4.9400000000000004</v>
      </c>
      <c r="Z129" s="1">
        <v>8.0150000000000006</v>
      </c>
      <c r="AA129" s="1">
        <v>21.7</v>
      </c>
      <c r="AB129" s="1">
        <v>290.5</v>
      </c>
      <c r="AC129" s="1">
        <v>13758</v>
      </c>
      <c r="AD129" s="1">
        <v>3943</v>
      </c>
      <c r="AE129" s="1">
        <v>268</v>
      </c>
      <c r="AF129" s="1">
        <v>19</v>
      </c>
      <c r="AG129" s="1">
        <v>19</v>
      </c>
      <c r="AH129" s="1">
        <v>28.9</v>
      </c>
      <c r="AI129" s="1">
        <v>55.3</v>
      </c>
      <c r="AJ129" s="1">
        <v>15.7</v>
      </c>
      <c r="AK129" s="1">
        <v>85.4</v>
      </c>
      <c r="AL129" s="1">
        <v>31.9</v>
      </c>
      <c r="AM129" s="1">
        <v>8</v>
      </c>
      <c r="AN129" s="1">
        <v>0</v>
      </c>
      <c r="AO129" s="1">
        <v>0</v>
      </c>
      <c r="AP129" s="1" t="s">
        <v>270</v>
      </c>
      <c r="AQ129" s="1" t="s">
        <v>267</v>
      </c>
      <c r="AR129" s="1" t="s">
        <v>268</v>
      </c>
    </row>
    <row r="130" spans="1:44" x14ac:dyDescent="0.2">
      <c r="A130" s="1" t="s">
        <v>27</v>
      </c>
      <c r="B130" s="1" t="s">
        <v>265</v>
      </c>
      <c r="C130" s="1">
        <v>-38.299999999999997</v>
      </c>
      <c r="D130" s="1">
        <v>461822.5</v>
      </c>
      <c r="E130" s="1">
        <v>5969590</v>
      </c>
      <c r="F130" s="1">
        <v>0</v>
      </c>
      <c r="G130" s="1">
        <v>-0.8</v>
      </c>
      <c r="H130" s="1">
        <v>0</v>
      </c>
      <c r="I130" s="1">
        <v>2</v>
      </c>
      <c r="J130" s="1">
        <v>0</v>
      </c>
      <c r="K130" s="1">
        <v>-66.400000000000006</v>
      </c>
      <c r="L130" s="1">
        <v>28.1</v>
      </c>
      <c r="M130" s="1">
        <v>1730.9949999999999</v>
      </c>
      <c r="N130" s="1">
        <v>91.8</v>
      </c>
      <c r="O130" s="1">
        <v>8</v>
      </c>
      <c r="P130" s="1">
        <v>10</v>
      </c>
      <c r="Q130" s="1">
        <v>2.73</v>
      </c>
      <c r="R130" s="1">
        <v>68</v>
      </c>
      <c r="S130" s="1">
        <v>110</v>
      </c>
      <c r="T130" s="1">
        <v>147</v>
      </c>
      <c r="U130" s="1">
        <v>1357.482</v>
      </c>
      <c r="V130" s="1">
        <v>458.54700000000003</v>
      </c>
      <c r="W130" s="1">
        <v>752.85199999999998</v>
      </c>
      <c r="X130" s="1">
        <v>132.18100000000001</v>
      </c>
      <c r="Y130" s="1">
        <v>4.9400000000000004</v>
      </c>
      <c r="Z130" s="1">
        <v>8.0150000000000006</v>
      </c>
      <c r="AA130" s="1">
        <v>21.7</v>
      </c>
      <c r="AB130" s="1">
        <v>290.5</v>
      </c>
      <c r="AC130" s="1">
        <v>12696</v>
      </c>
      <c r="AD130" s="1">
        <v>3391</v>
      </c>
      <c r="AE130" s="1">
        <v>268</v>
      </c>
      <c r="AF130" s="1">
        <v>15</v>
      </c>
      <c r="AG130" s="1">
        <v>15</v>
      </c>
      <c r="AH130" s="1">
        <v>31.6</v>
      </c>
      <c r="AI130" s="1">
        <v>56.1</v>
      </c>
      <c r="AJ130" s="1">
        <v>12.2</v>
      </c>
      <c r="AK130" s="1">
        <v>84.4</v>
      </c>
      <c r="AL130" s="1">
        <v>31.9</v>
      </c>
      <c r="AM130" s="1">
        <v>8</v>
      </c>
      <c r="AN130" s="1">
        <v>0</v>
      </c>
      <c r="AO130" s="1">
        <v>0</v>
      </c>
      <c r="AP130" s="1" t="s">
        <v>266</v>
      </c>
      <c r="AQ130" s="1" t="s">
        <v>267</v>
      </c>
      <c r="AR130" s="1" t="s">
        <v>268</v>
      </c>
    </row>
    <row r="131" spans="1:44" x14ac:dyDescent="0.2">
      <c r="A131" s="1" t="s">
        <v>208</v>
      </c>
      <c r="B131" s="1" t="s">
        <v>265</v>
      </c>
      <c r="C131" s="1">
        <v>-42.9</v>
      </c>
      <c r="D131" s="1">
        <v>465692.8</v>
      </c>
      <c r="E131" s="1">
        <v>5966699.0999999996</v>
      </c>
      <c r="F131" s="1">
        <v>0</v>
      </c>
      <c r="G131" s="1">
        <v>-0.6</v>
      </c>
      <c r="H131" s="1">
        <v>0</v>
      </c>
      <c r="I131" s="1">
        <v>2</v>
      </c>
      <c r="J131" s="1">
        <v>0</v>
      </c>
      <c r="K131" s="1">
        <v>-73.7</v>
      </c>
      <c r="L131" s="1">
        <v>30.8</v>
      </c>
      <c r="M131" s="1">
        <v>1939.713</v>
      </c>
      <c r="N131" s="1">
        <v>99.1</v>
      </c>
      <c r="O131" s="1">
        <v>8</v>
      </c>
      <c r="P131" s="1">
        <v>11</v>
      </c>
      <c r="Q131" s="1">
        <v>2.7454999999999998</v>
      </c>
      <c r="R131" s="1">
        <v>70</v>
      </c>
      <c r="S131" s="1">
        <v>117</v>
      </c>
      <c r="T131" s="1">
        <v>149</v>
      </c>
      <c r="U131" s="1">
        <v>1575.71</v>
      </c>
      <c r="V131" s="1">
        <v>404.37299999999999</v>
      </c>
      <c r="W131" s="1">
        <v>752.85199999999998</v>
      </c>
      <c r="X131" s="1">
        <v>132.18100000000001</v>
      </c>
      <c r="Y131" s="1">
        <v>4.9400000000000004</v>
      </c>
      <c r="Z131" s="1">
        <v>8.0150000000000006</v>
      </c>
      <c r="AA131" s="1">
        <v>21.7</v>
      </c>
      <c r="AB131" s="1">
        <v>290.5</v>
      </c>
      <c r="AC131" s="1">
        <v>13485</v>
      </c>
      <c r="AD131" s="1">
        <v>3834</v>
      </c>
      <c r="AE131" s="1">
        <v>268</v>
      </c>
      <c r="AF131" s="1">
        <v>17</v>
      </c>
      <c r="AG131" s="1">
        <v>17</v>
      </c>
      <c r="AH131" s="1">
        <v>29.9</v>
      </c>
      <c r="AI131" s="1">
        <v>53.8</v>
      </c>
      <c r="AJ131" s="1">
        <v>16.3</v>
      </c>
      <c r="AK131" s="1">
        <v>82.9</v>
      </c>
      <c r="AL131" s="1">
        <v>31.9</v>
      </c>
      <c r="AM131" s="1">
        <v>8</v>
      </c>
      <c r="AN131" s="1">
        <v>0</v>
      </c>
      <c r="AO131" s="1">
        <v>0</v>
      </c>
      <c r="AP131" s="1" t="s">
        <v>270</v>
      </c>
      <c r="AQ131" s="1" t="s">
        <v>267</v>
      </c>
      <c r="AR131" s="1" t="s">
        <v>268</v>
      </c>
    </row>
    <row r="132" spans="1:44" x14ac:dyDescent="0.2">
      <c r="A132" s="1" t="s">
        <v>52</v>
      </c>
      <c r="B132" s="1" t="s">
        <v>265</v>
      </c>
      <c r="C132" s="1">
        <v>-36.799999999999997</v>
      </c>
      <c r="D132" s="1">
        <v>468654.9</v>
      </c>
      <c r="E132" s="1">
        <v>5965289.4000000004</v>
      </c>
      <c r="F132" s="1">
        <v>0</v>
      </c>
      <c r="G132" s="1">
        <v>-0.7</v>
      </c>
      <c r="H132" s="1">
        <v>0</v>
      </c>
      <c r="I132" s="1">
        <v>2</v>
      </c>
      <c r="J132" s="1">
        <v>0</v>
      </c>
      <c r="K132" s="1">
        <v>-64.900000000000006</v>
      </c>
      <c r="L132" s="1">
        <v>28.1</v>
      </c>
      <c r="M132" s="1">
        <v>1673.1289999999999</v>
      </c>
      <c r="N132" s="1">
        <v>90.3</v>
      </c>
      <c r="O132" s="1">
        <v>8</v>
      </c>
      <c r="P132" s="1">
        <v>10</v>
      </c>
      <c r="Q132" s="1">
        <v>2.74</v>
      </c>
      <c r="R132" s="1">
        <v>68</v>
      </c>
      <c r="S132" s="1">
        <v>110</v>
      </c>
      <c r="T132" s="1">
        <v>147</v>
      </c>
      <c r="U132" s="1">
        <v>1357.6579999999999</v>
      </c>
      <c r="V132" s="1">
        <v>421.99099999999999</v>
      </c>
      <c r="W132" s="1">
        <v>752.85199999999998</v>
      </c>
      <c r="X132" s="1">
        <v>132.18100000000001</v>
      </c>
      <c r="Y132" s="1">
        <v>4.9400000000000004</v>
      </c>
      <c r="Z132" s="1">
        <v>8.0150000000000006</v>
      </c>
      <c r="AA132" s="1">
        <v>21.7</v>
      </c>
      <c r="AB132" s="1">
        <v>290.5</v>
      </c>
      <c r="AC132" s="1">
        <v>12603</v>
      </c>
      <c r="AD132" s="1">
        <v>3298</v>
      </c>
      <c r="AE132" s="1">
        <v>268</v>
      </c>
      <c r="AF132" s="1">
        <v>15</v>
      </c>
      <c r="AG132" s="1">
        <v>15</v>
      </c>
      <c r="AH132" s="1">
        <v>32.700000000000003</v>
      </c>
      <c r="AI132" s="1">
        <v>54.3</v>
      </c>
      <c r="AJ132" s="1">
        <v>13</v>
      </c>
      <c r="AK132" s="1">
        <v>83.2</v>
      </c>
      <c r="AL132" s="1">
        <v>31.9</v>
      </c>
      <c r="AM132" s="1">
        <v>8</v>
      </c>
      <c r="AN132" s="1">
        <v>0</v>
      </c>
      <c r="AO132" s="1">
        <v>0</v>
      </c>
      <c r="AP132" s="1" t="s">
        <v>266</v>
      </c>
      <c r="AQ132" s="1" t="s">
        <v>267</v>
      </c>
      <c r="AR132" s="1" t="s">
        <v>268</v>
      </c>
    </row>
    <row r="133" spans="1:44" x14ac:dyDescent="0.2">
      <c r="A133" s="1" t="s">
        <v>62</v>
      </c>
      <c r="B133" s="1" t="s">
        <v>265</v>
      </c>
      <c r="C133" s="1">
        <v>-36.1</v>
      </c>
      <c r="D133" s="1">
        <v>471258.7</v>
      </c>
      <c r="E133" s="1">
        <v>5964498.4000000004</v>
      </c>
      <c r="F133" s="1">
        <v>0</v>
      </c>
      <c r="G133" s="1">
        <v>-0.6</v>
      </c>
      <c r="H133" s="1">
        <v>0</v>
      </c>
      <c r="I133" s="1">
        <v>2</v>
      </c>
      <c r="J133" s="1">
        <v>0</v>
      </c>
      <c r="K133" s="1">
        <v>-64.599999999999994</v>
      </c>
      <c r="L133" s="1">
        <v>28.5</v>
      </c>
      <c r="M133" s="1">
        <v>1658.1089999999999</v>
      </c>
      <c r="N133" s="1">
        <v>90</v>
      </c>
      <c r="O133" s="1">
        <v>8</v>
      </c>
      <c r="P133" s="1">
        <v>10</v>
      </c>
      <c r="Q133" s="1">
        <v>2.79</v>
      </c>
      <c r="R133" s="1">
        <v>68</v>
      </c>
      <c r="S133" s="1">
        <v>110</v>
      </c>
      <c r="T133" s="1">
        <v>147</v>
      </c>
      <c r="U133" s="1">
        <v>1357.721</v>
      </c>
      <c r="V133" s="1">
        <v>452.892</v>
      </c>
      <c r="W133" s="1">
        <v>752.85199999999998</v>
      </c>
      <c r="X133" s="1">
        <v>132.18100000000001</v>
      </c>
      <c r="Y133" s="1">
        <v>4.9400000000000004</v>
      </c>
      <c r="Z133" s="1">
        <v>8.0150000000000006</v>
      </c>
      <c r="AA133" s="1">
        <v>21.7</v>
      </c>
      <c r="AB133" s="1">
        <v>290.5</v>
      </c>
      <c r="AC133" s="1">
        <v>12585</v>
      </c>
      <c r="AD133" s="1">
        <v>3254</v>
      </c>
      <c r="AE133" s="1">
        <v>268</v>
      </c>
      <c r="AF133" s="1">
        <v>15</v>
      </c>
      <c r="AG133" s="1">
        <v>15</v>
      </c>
      <c r="AH133" s="1">
        <v>33</v>
      </c>
      <c r="AI133" s="1">
        <v>54.1</v>
      </c>
      <c r="AJ133" s="1">
        <v>12.9</v>
      </c>
      <c r="AK133" s="1">
        <v>82.8</v>
      </c>
      <c r="AL133" s="1">
        <v>31.9</v>
      </c>
      <c r="AM133" s="1">
        <v>8</v>
      </c>
      <c r="AN133" s="1">
        <v>0</v>
      </c>
      <c r="AO133" s="1">
        <v>0</v>
      </c>
      <c r="AP133" s="1" t="s">
        <v>266</v>
      </c>
      <c r="AQ133" s="1" t="s">
        <v>267</v>
      </c>
      <c r="AR133" s="1" t="s">
        <v>268</v>
      </c>
    </row>
    <row r="134" spans="1:44" x14ac:dyDescent="0.2">
      <c r="A134" s="1" t="s">
        <v>153</v>
      </c>
      <c r="B134" s="1" t="s">
        <v>269</v>
      </c>
      <c r="C134" s="1">
        <v>-31</v>
      </c>
      <c r="D134" s="1">
        <v>474820.7</v>
      </c>
      <c r="E134" s="1">
        <v>5962144.0999999996</v>
      </c>
      <c r="F134" s="1">
        <v>0</v>
      </c>
      <c r="G134" s="1">
        <v>-0.7</v>
      </c>
      <c r="H134" s="1">
        <v>0</v>
      </c>
      <c r="I134" s="1">
        <v>2</v>
      </c>
      <c r="J134" s="1">
        <v>0</v>
      </c>
      <c r="K134" s="1">
        <v>-59.5</v>
      </c>
      <c r="L134" s="1">
        <v>28.5</v>
      </c>
      <c r="M134" s="1">
        <v>1453.963</v>
      </c>
      <c r="N134" s="1">
        <v>84.9</v>
      </c>
      <c r="O134" s="1">
        <v>8</v>
      </c>
      <c r="P134" s="1">
        <v>10</v>
      </c>
      <c r="Q134" s="1">
        <v>2.78</v>
      </c>
      <c r="R134" s="1">
        <v>68</v>
      </c>
      <c r="S134" s="1">
        <v>110</v>
      </c>
      <c r="T134" s="1">
        <v>147</v>
      </c>
      <c r="U134" s="1">
        <v>1296.1210000000001</v>
      </c>
      <c r="V134" s="1">
        <v>549.351</v>
      </c>
      <c r="W134" s="1">
        <v>752.85199999999998</v>
      </c>
      <c r="X134" s="1">
        <v>132.18100000000001</v>
      </c>
      <c r="Y134" s="1">
        <v>4.9400000000000004</v>
      </c>
      <c r="Z134" s="1">
        <v>8.0150000000000006</v>
      </c>
      <c r="AA134" s="1">
        <v>21.7</v>
      </c>
      <c r="AB134" s="1">
        <v>290.5</v>
      </c>
      <c r="AC134" s="1">
        <v>12270</v>
      </c>
      <c r="AD134" s="1">
        <v>2938</v>
      </c>
      <c r="AE134" s="1">
        <v>268</v>
      </c>
      <c r="AF134" s="1">
        <v>15</v>
      </c>
      <c r="AG134" s="1">
        <v>15</v>
      </c>
      <c r="AH134" s="1">
        <v>36.9</v>
      </c>
      <c r="AI134" s="1">
        <v>50.2</v>
      </c>
      <c r="AJ134" s="1">
        <v>12.8</v>
      </c>
      <c r="AK134" s="1">
        <v>77.599999999999994</v>
      </c>
      <c r="AL134" s="1">
        <v>31.9</v>
      </c>
      <c r="AM134" s="1">
        <v>8</v>
      </c>
      <c r="AN134" s="1">
        <v>0</v>
      </c>
      <c r="AO134" s="1">
        <v>0</v>
      </c>
      <c r="AP134" s="1" t="s">
        <v>266</v>
      </c>
      <c r="AQ134" s="1" t="s">
        <v>267</v>
      </c>
      <c r="AR134" s="1" t="s">
        <v>268</v>
      </c>
    </row>
    <row r="135" spans="1:44" x14ac:dyDescent="0.2">
      <c r="A135" s="1" t="s">
        <v>68</v>
      </c>
      <c r="B135" s="1" t="s">
        <v>269</v>
      </c>
      <c r="C135" s="1">
        <v>-34.799999999999997</v>
      </c>
      <c r="D135" s="1">
        <v>476744.5</v>
      </c>
      <c r="E135" s="1">
        <v>5962385</v>
      </c>
      <c r="F135" s="1">
        <v>0</v>
      </c>
      <c r="G135" s="1">
        <v>-0.6</v>
      </c>
      <c r="H135" s="1">
        <v>0</v>
      </c>
      <c r="I135" s="1">
        <v>2</v>
      </c>
      <c r="J135" s="1">
        <v>0</v>
      </c>
      <c r="K135" s="1">
        <v>-64</v>
      </c>
      <c r="L135" s="1">
        <v>29.2</v>
      </c>
      <c r="M135" s="1">
        <v>1608.41</v>
      </c>
      <c r="N135" s="1">
        <v>89.4</v>
      </c>
      <c r="O135" s="1">
        <v>8</v>
      </c>
      <c r="P135" s="1">
        <v>10</v>
      </c>
      <c r="Q135" s="1">
        <v>2.86</v>
      </c>
      <c r="R135" s="1">
        <v>68</v>
      </c>
      <c r="S135" s="1">
        <v>110</v>
      </c>
      <c r="T135" s="1">
        <v>147</v>
      </c>
      <c r="U135" s="1">
        <v>1357.972</v>
      </c>
      <c r="V135" s="1">
        <v>515.34699999999998</v>
      </c>
      <c r="W135" s="1">
        <v>752.85199999999998</v>
      </c>
      <c r="X135" s="1">
        <v>132.18100000000001</v>
      </c>
      <c r="Y135" s="1">
        <v>4.9400000000000004</v>
      </c>
      <c r="Z135" s="1">
        <v>8.0150000000000006</v>
      </c>
      <c r="AA135" s="1">
        <v>21.7</v>
      </c>
      <c r="AB135" s="1">
        <v>290.5</v>
      </c>
      <c r="AC135" s="1">
        <v>12548</v>
      </c>
      <c r="AD135" s="1">
        <v>3174</v>
      </c>
      <c r="AE135" s="1">
        <v>268</v>
      </c>
      <c r="AF135" s="1">
        <v>15</v>
      </c>
      <c r="AG135" s="1">
        <v>15</v>
      </c>
      <c r="AH135" s="1">
        <v>34.1</v>
      </c>
      <c r="AI135" s="1">
        <v>52.7</v>
      </c>
      <c r="AJ135" s="1">
        <v>13.3</v>
      </c>
      <c r="AK135" s="1">
        <v>81</v>
      </c>
      <c r="AL135" s="1">
        <v>31.9</v>
      </c>
      <c r="AM135" s="1">
        <v>8</v>
      </c>
      <c r="AN135" s="1">
        <v>0</v>
      </c>
      <c r="AO135" s="1">
        <v>0</v>
      </c>
      <c r="AP135" s="1" t="s">
        <v>266</v>
      </c>
      <c r="AQ135" s="1" t="s">
        <v>267</v>
      </c>
      <c r="AR135" s="1" t="s">
        <v>268</v>
      </c>
    </row>
    <row r="136" spans="1:44" x14ac:dyDescent="0.2">
      <c r="A136" s="1" t="s">
        <v>67</v>
      </c>
      <c r="B136" s="1" t="s">
        <v>272</v>
      </c>
      <c r="C136" s="1">
        <v>-35.799999999999997</v>
      </c>
      <c r="D136" s="1">
        <v>475454.1</v>
      </c>
      <c r="E136" s="1">
        <v>5967738</v>
      </c>
      <c r="F136" s="1">
        <v>0</v>
      </c>
      <c r="G136" s="1">
        <v>-0.7</v>
      </c>
      <c r="H136" s="1">
        <v>0</v>
      </c>
      <c r="I136" s="1">
        <v>2</v>
      </c>
      <c r="J136" s="1">
        <v>0</v>
      </c>
      <c r="K136" s="1">
        <v>-64.2</v>
      </c>
      <c r="L136" s="1">
        <v>28.4</v>
      </c>
      <c r="M136" s="1">
        <v>1632.4860000000001</v>
      </c>
      <c r="N136" s="1">
        <v>89.6</v>
      </c>
      <c r="O136" s="1">
        <v>8</v>
      </c>
      <c r="P136" s="1">
        <v>10</v>
      </c>
      <c r="Q136" s="1">
        <v>2.77</v>
      </c>
      <c r="R136" s="1">
        <v>68</v>
      </c>
      <c r="S136" s="1">
        <v>110</v>
      </c>
      <c r="T136" s="1">
        <v>147</v>
      </c>
      <c r="U136" s="1">
        <v>1357.8340000000001</v>
      </c>
      <c r="V136" s="1">
        <v>452.94200000000001</v>
      </c>
      <c r="W136" s="1">
        <v>752.85199999999998</v>
      </c>
      <c r="X136" s="1">
        <v>132.18100000000001</v>
      </c>
      <c r="Y136" s="1">
        <v>4.9400000000000004</v>
      </c>
      <c r="Z136" s="1">
        <v>8.0150000000000006</v>
      </c>
      <c r="AA136" s="1">
        <v>21.7</v>
      </c>
      <c r="AB136" s="1">
        <v>290.5</v>
      </c>
      <c r="AC136" s="1">
        <v>12560</v>
      </c>
      <c r="AD136" s="1">
        <v>3236</v>
      </c>
      <c r="AE136" s="1">
        <v>268</v>
      </c>
      <c r="AF136" s="1">
        <v>15</v>
      </c>
      <c r="AG136" s="1">
        <v>15</v>
      </c>
      <c r="AH136" s="1">
        <v>33.6</v>
      </c>
      <c r="AI136" s="1">
        <v>53.3</v>
      </c>
      <c r="AJ136" s="1">
        <v>13.2</v>
      </c>
      <c r="AK136" s="1">
        <v>82</v>
      </c>
      <c r="AL136" s="1">
        <v>31.9</v>
      </c>
      <c r="AM136" s="1">
        <v>8</v>
      </c>
      <c r="AN136" s="1">
        <v>0</v>
      </c>
      <c r="AO136" s="1">
        <v>0</v>
      </c>
      <c r="AP136" s="1" t="s">
        <v>266</v>
      </c>
      <c r="AQ136" s="1" t="s">
        <v>267</v>
      </c>
      <c r="AR136" s="1" t="s">
        <v>268</v>
      </c>
    </row>
    <row r="137" spans="1:44" x14ac:dyDescent="0.2">
      <c r="A137" s="1" t="s">
        <v>135</v>
      </c>
      <c r="B137" s="1" t="s">
        <v>265</v>
      </c>
      <c r="C137" s="1">
        <v>-28.6</v>
      </c>
      <c r="D137" s="1">
        <v>476026.4</v>
      </c>
      <c r="E137" s="1">
        <v>5970012</v>
      </c>
      <c r="F137" s="1">
        <v>0</v>
      </c>
      <c r="G137" s="1">
        <v>-0.6</v>
      </c>
      <c r="H137" s="1">
        <v>0</v>
      </c>
      <c r="I137" s="1">
        <v>2</v>
      </c>
      <c r="J137" s="1">
        <v>0</v>
      </c>
      <c r="K137" s="1">
        <v>-60.6</v>
      </c>
      <c r="L137" s="1">
        <v>32</v>
      </c>
      <c r="M137" s="1">
        <v>1461.6379999999999</v>
      </c>
      <c r="N137" s="1">
        <v>86</v>
      </c>
      <c r="O137" s="1">
        <v>8</v>
      </c>
      <c r="P137" s="1">
        <v>10</v>
      </c>
      <c r="Q137" s="1">
        <v>3.14</v>
      </c>
      <c r="R137" s="1">
        <v>64</v>
      </c>
      <c r="S137" s="1">
        <v>110</v>
      </c>
      <c r="T137" s="1">
        <v>147</v>
      </c>
      <c r="U137" s="1">
        <v>1296.1959999999999</v>
      </c>
      <c r="V137" s="1">
        <v>430.87599999999998</v>
      </c>
      <c r="W137" s="1">
        <v>752.85199999999998</v>
      </c>
      <c r="X137" s="1">
        <v>132.18100000000001</v>
      </c>
      <c r="Y137" s="1">
        <v>4.9400000000000004</v>
      </c>
      <c r="Z137" s="1">
        <v>8.0150000000000006</v>
      </c>
      <c r="AA137" s="1">
        <v>21.7</v>
      </c>
      <c r="AB137" s="1">
        <v>290.5</v>
      </c>
      <c r="AC137" s="1">
        <v>12339</v>
      </c>
      <c r="AD137" s="1">
        <v>2789</v>
      </c>
      <c r="AE137" s="1">
        <v>268</v>
      </c>
      <c r="AF137" s="1">
        <v>17</v>
      </c>
      <c r="AG137" s="1">
        <v>17</v>
      </c>
      <c r="AH137" s="1">
        <v>36.5</v>
      </c>
      <c r="AI137" s="1">
        <v>51.2</v>
      </c>
      <c r="AJ137" s="1">
        <v>12.3</v>
      </c>
      <c r="AK137" s="1">
        <v>76.8</v>
      </c>
      <c r="AL137" s="1">
        <v>31.9</v>
      </c>
      <c r="AM137" s="1">
        <v>8</v>
      </c>
      <c r="AN137" s="1">
        <v>0</v>
      </c>
      <c r="AO137" s="1">
        <v>0</v>
      </c>
      <c r="AP137" s="1" t="s">
        <v>266</v>
      </c>
      <c r="AQ137" s="1" t="s">
        <v>267</v>
      </c>
      <c r="AR137" s="1" t="s">
        <v>268</v>
      </c>
    </row>
    <row r="138" spans="1:44" x14ac:dyDescent="0.2">
      <c r="A138" s="1" t="s">
        <v>190</v>
      </c>
      <c r="B138" s="1" t="s">
        <v>271</v>
      </c>
      <c r="C138" s="1">
        <v>-49.9</v>
      </c>
      <c r="D138" s="1">
        <v>475796</v>
      </c>
      <c r="E138" s="1">
        <v>5973477</v>
      </c>
      <c r="F138" s="1">
        <v>0</v>
      </c>
      <c r="G138" s="1">
        <v>-0.6</v>
      </c>
      <c r="H138" s="1">
        <v>0</v>
      </c>
      <c r="I138" s="1">
        <v>2</v>
      </c>
      <c r="J138" s="1">
        <v>0</v>
      </c>
      <c r="K138" s="1">
        <v>-79</v>
      </c>
      <c r="L138" s="1">
        <v>29.1</v>
      </c>
      <c r="M138" s="1">
        <v>2354.1260000000002</v>
      </c>
      <c r="N138" s="1">
        <v>104.4</v>
      </c>
      <c r="O138" s="1">
        <v>8</v>
      </c>
      <c r="P138" s="1">
        <v>11</v>
      </c>
      <c r="Q138" s="1">
        <v>2.5909</v>
      </c>
      <c r="R138" s="1">
        <v>70</v>
      </c>
      <c r="S138" s="1">
        <v>117</v>
      </c>
      <c r="T138" s="1">
        <v>149</v>
      </c>
      <c r="U138" s="1">
        <v>1711.1120000000001</v>
      </c>
      <c r="V138" s="1">
        <v>361.44</v>
      </c>
      <c r="W138" s="1">
        <v>752.85199999999998</v>
      </c>
      <c r="X138" s="1">
        <v>132.18100000000001</v>
      </c>
      <c r="Y138" s="1">
        <v>4.9400000000000004</v>
      </c>
      <c r="Z138" s="1">
        <v>8.0150000000000006</v>
      </c>
      <c r="AA138" s="1">
        <v>21.7</v>
      </c>
      <c r="AB138" s="1">
        <v>290.5</v>
      </c>
      <c r="AC138" s="1">
        <v>13842</v>
      </c>
      <c r="AD138" s="1">
        <v>4311</v>
      </c>
      <c r="AE138" s="1">
        <v>268</v>
      </c>
      <c r="AF138" s="1">
        <v>15</v>
      </c>
      <c r="AG138" s="1">
        <v>15</v>
      </c>
      <c r="AH138" s="1">
        <v>24.7</v>
      </c>
      <c r="AI138" s="1">
        <v>61.8</v>
      </c>
      <c r="AJ138" s="1">
        <v>13.5</v>
      </c>
      <c r="AK138" s="1">
        <v>93.6</v>
      </c>
      <c r="AL138" s="1">
        <v>31.9</v>
      </c>
      <c r="AM138" s="1">
        <v>8</v>
      </c>
      <c r="AN138" s="1">
        <v>0</v>
      </c>
      <c r="AO138" s="1">
        <v>0</v>
      </c>
      <c r="AP138" s="1" t="s">
        <v>270</v>
      </c>
      <c r="AQ138" s="1" t="s">
        <v>267</v>
      </c>
      <c r="AR138" s="1" t="s">
        <v>268</v>
      </c>
    </row>
    <row r="139" spans="1:44" x14ac:dyDescent="0.2">
      <c r="A139" s="1" t="s">
        <v>99</v>
      </c>
      <c r="B139" s="1" t="s">
        <v>265</v>
      </c>
      <c r="C139" s="1">
        <v>-37.1</v>
      </c>
      <c r="D139" s="1">
        <v>453203</v>
      </c>
      <c r="E139" s="1">
        <v>5973772.4000000004</v>
      </c>
      <c r="F139" s="1">
        <v>0</v>
      </c>
      <c r="G139" s="1">
        <v>-0.7</v>
      </c>
      <c r="H139" s="1">
        <v>0</v>
      </c>
      <c r="I139" s="1">
        <v>2</v>
      </c>
      <c r="J139" s="1">
        <v>0</v>
      </c>
      <c r="K139" s="1">
        <v>-62</v>
      </c>
      <c r="L139" s="1">
        <v>24.9</v>
      </c>
      <c r="M139" s="1">
        <v>1600.0519999999999</v>
      </c>
      <c r="N139" s="1">
        <v>87.4</v>
      </c>
      <c r="O139" s="1">
        <v>8</v>
      </c>
      <c r="P139" s="1">
        <v>10</v>
      </c>
      <c r="Q139" s="1">
        <v>2.42</v>
      </c>
      <c r="R139" s="1">
        <v>68</v>
      </c>
      <c r="S139" s="1">
        <v>110</v>
      </c>
      <c r="T139" s="1">
        <v>147</v>
      </c>
      <c r="U139" s="1">
        <v>1295.4290000000001</v>
      </c>
      <c r="V139" s="1">
        <v>458.73500000000001</v>
      </c>
      <c r="W139" s="1">
        <v>752.85199999999998</v>
      </c>
      <c r="X139" s="1">
        <v>132.18100000000001</v>
      </c>
      <c r="Y139" s="1">
        <v>4.9400000000000004</v>
      </c>
      <c r="Z139" s="1">
        <v>8.0150000000000006</v>
      </c>
      <c r="AA139" s="1">
        <v>21.7</v>
      </c>
      <c r="AB139" s="1">
        <v>290.5</v>
      </c>
      <c r="AC139" s="1">
        <v>12423</v>
      </c>
      <c r="AD139" s="1">
        <v>3317</v>
      </c>
      <c r="AE139" s="1">
        <v>268</v>
      </c>
      <c r="AF139" s="1">
        <v>15</v>
      </c>
      <c r="AG139" s="1">
        <v>15</v>
      </c>
      <c r="AH139" s="1">
        <v>34.200000000000003</v>
      </c>
      <c r="AI139" s="1">
        <v>52.4</v>
      </c>
      <c r="AJ139" s="1">
        <v>13.3</v>
      </c>
      <c r="AK139" s="1">
        <v>82.5</v>
      </c>
      <c r="AL139" s="1">
        <v>31.9</v>
      </c>
      <c r="AM139" s="1">
        <v>8</v>
      </c>
      <c r="AN139" s="1">
        <v>0</v>
      </c>
      <c r="AO139" s="1">
        <v>0</v>
      </c>
      <c r="AP139" s="1" t="s">
        <v>266</v>
      </c>
      <c r="AQ139" s="1" t="s">
        <v>267</v>
      </c>
      <c r="AR139" s="1" t="s">
        <v>268</v>
      </c>
    </row>
    <row r="140" spans="1:44" x14ac:dyDescent="0.2">
      <c r="A140" s="1" t="s">
        <v>34</v>
      </c>
      <c r="B140" s="1" t="s">
        <v>265</v>
      </c>
      <c r="C140" s="1">
        <v>-36.700000000000003</v>
      </c>
      <c r="D140" s="1">
        <v>454659.2</v>
      </c>
      <c r="E140" s="1">
        <v>5974634.2000000002</v>
      </c>
      <c r="F140" s="1">
        <v>0</v>
      </c>
      <c r="G140" s="1">
        <v>-0.6</v>
      </c>
      <c r="H140" s="1">
        <v>0</v>
      </c>
      <c r="I140" s="1">
        <v>2</v>
      </c>
      <c r="J140" s="1">
        <v>0</v>
      </c>
      <c r="K140" s="1">
        <v>-66.400000000000006</v>
      </c>
      <c r="L140" s="1">
        <v>29.7</v>
      </c>
      <c r="M140" s="1">
        <v>1684.078</v>
      </c>
      <c r="N140" s="1">
        <v>91.8</v>
      </c>
      <c r="O140" s="1">
        <v>8</v>
      </c>
      <c r="P140" s="1">
        <v>10</v>
      </c>
      <c r="Q140" s="1">
        <v>2.91</v>
      </c>
      <c r="R140" s="1">
        <v>68</v>
      </c>
      <c r="S140" s="1">
        <v>110</v>
      </c>
      <c r="T140" s="1">
        <v>147</v>
      </c>
      <c r="U140" s="1">
        <v>1357.7840000000001</v>
      </c>
      <c r="V140" s="1">
        <v>427.83499999999998</v>
      </c>
      <c r="W140" s="1">
        <v>752.85199999999998</v>
      </c>
      <c r="X140" s="1">
        <v>132.18100000000001</v>
      </c>
      <c r="Y140" s="1">
        <v>4.9400000000000004</v>
      </c>
      <c r="Z140" s="1">
        <v>8.0150000000000006</v>
      </c>
      <c r="AA140" s="1">
        <v>21.7</v>
      </c>
      <c r="AB140" s="1">
        <v>290.5</v>
      </c>
      <c r="AC140" s="1">
        <v>12697</v>
      </c>
      <c r="AD140" s="1">
        <v>3292</v>
      </c>
      <c r="AE140" s="1">
        <v>268</v>
      </c>
      <c r="AF140" s="1">
        <v>15</v>
      </c>
      <c r="AG140" s="1">
        <v>15</v>
      </c>
      <c r="AH140" s="1">
        <v>32.5</v>
      </c>
      <c r="AI140" s="1">
        <v>54.8</v>
      </c>
      <c r="AJ140" s="1">
        <v>12.7</v>
      </c>
      <c r="AK140" s="1">
        <v>82.3</v>
      </c>
      <c r="AL140" s="1">
        <v>31.9</v>
      </c>
      <c r="AM140" s="1">
        <v>8</v>
      </c>
      <c r="AN140" s="1">
        <v>0</v>
      </c>
      <c r="AO140" s="1">
        <v>0</v>
      </c>
      <c r="AP140" s="1" t="s">
        <v>266</v>
      </c>
      <c r="AQ140" s="1" t="s">
        <v>267</v>
      </c>
      <c r="AR140" s="1" t="s">
        <v>268</v>
      </c>
    </row>
    <row r="141" spans="1:44" x14ac:dyDescent="0.2">
      <c r="A141" s="1" t="s">
        <v>179</v>
      </c>
      <c r="B141" s="1" t="s">
        <v>265</v>
      </c>
      <c r="C141" s="1">
        <v>-38.1</v>
      </c>
      <c r="D141" s="1">
        <v>457879</v>
      </c>
      <c r="E141" s="1">
        <v>5972650</v>
      </c>
      <c r="F141" s="1">
        <v>0</v>
      </c>
      <c r="G141" s="1">
        <v>-0.6</v>
      </c>
      <c r="H141" s="1">
        <v>0</v>
      </c>
      <c r="I141" s="1">
        <v>2</v>
      </c>
      <c r="J141" s="1">
        <v>0</v>
      </c>
      <c r="K141" s="1">
        <v>-68.5</v>
      </c>
      <c r="L141" s="1">
        <v>30.4</v>
      </c>
      <c r="M141" s="1">
        <v>1751.258</v>
      </c>
      <c r="N141" s="1">
        <v>93.9</v>
      </c>
      <c r="O141" s="1">
        <v>8</v>
      </c>
      <c r="P141" s="1">
        <v>10.5</v>
      </c>
      <c r="Q141" s="1">
        <v>2.8380999999999998</v>
      </c>
      <c r="R141" s="1">
        <v>72</v>
      </c>
      <c r="S141" s="1">
        <v>112</v>
      </c>
      <c r="T141" s="1">
        <v>146</v>
      </c>
      <c r="U141" s="1">
        <v>1406.259</v>
      </c>
      <c r="V141" s="1">
        <v>486.70800000000003</v>
      </c>
      <c r="W141" s="1">
        <v>752.85199999999998</v>
      </c>
      <c r="X141" s="1">
        <v>132.18100000000001</v>
      </c>
      <c r="Y141" s="1">
        <v>4.9400000000000004</v>
      </c>
      <c r="Z141" s="1">
        <v>8.0150000000000006</v>
      </c>
      <c r="AA141" s="1">
        <v>21.7</v>
      </c>
      <c r="AB141" s="1">
        <v>290.5</v>
      </c>
      <c r="AC141" s="1">
        <v>12983</v>
      </c>
      <c r="AD141" s="1">
        <v>3447</v>
      </c>
      <c r="AE141" s="1">
        <v>268</v>
      </c>
      <c r="AF141" s="1">
        <v>15</v>
      </c>
      <c r="AG141" s="1">
        <v>15</v>
      </c>
      <c r="AH141" s="1">
        <v>32.4</v>
      </c>
      <c r="AI141" s="1">
        <v>52.9</v>
      </c>
      <c r="AJ141" s="1">
        <v>14.7</v>
      </c>
      <c r="AK141" s="1">
        <v>81.599999999999994</v>
      </c>
      <c r="AL141" s="1">
        <v>31.9</v>
      </c>
      <c r="AM141" s="1">
        <v>8</v>
      </c>
      <c r="AN141" s="1">
        <v>0</v>
      </c>
      <c r="AO141" s="1">
        <v>0</v>
      </c>
      <c r="AP141" s="1" t="s">
        <v>270</v>
      </c>
      <c r="AQ141" s="1" t="s">
        <v>267</v>
      </c>
      <c r="AR141" s="1" t="s">
        <v>268</v>
      </c>
    </row>
    <row r="142" spans="1:44" x14ac:dyDescent="0.2">
      <c r="A142" s="1" t="s">
        <v>41</v>
      </c>
      <c r="B142" s="1" t="s">
        <v>265</v>
      </c>
      <c r="C142" s="1">
        <v>-37.6</v>
      </c>
      <c r="D142" s="1">
        <v>461024.6</v>
      </c>
      <c r="E142" s="1">
        <v>5970908</v>
      </c>
      <c r="F142" s="1">
        <v>0</v>
      </c>
      <c r="G142" s="1">
        <v>-0.6</v>
      </c>
      <c r="H142" s="1">
        <v>0</v>
      </c>
      <c r="I142" s="1">
        <v>2</v>
      </c>
      <c r="J142" s="1">
        <v>0</v>
      </c>
      <c r="K142" s="1">
        <v>-68.099999999999994</v>
      </c>
      <c r="L142" s="1">
        <v>30.5</v>
      </c>
      <c r="M142" s="1">
        <v>1729.912</v>
      </c>
      <c r="N142" s="1">
        <v>93.5</v>
      </c>
      <c r="O142" s="1">
        <v>8</v>
      </c>
      <c r="P142" s="1">
        <v>10</v>
      </c>
      <c r="Q142" s="1">
        <v>2.99</v>
      </c>
      <c r="R142" s="1">
        <v>68</v>
      </c>
      <c r="S142" s="1">
        <v>110</v>
      </c>
      <c r="T142" s="1">
        <v>147</v>
      </c>
      <c r="U142" s="1">
        <v>1420.069</v>
      </c>
      <c r="V142" s="1">
        <v>483.84300000000002</v>
      </c>
      <c r="W142" s="1">
        <v>752.85199999999998</v>
      </c>
      <c r="X142" s="1">
        <v>132.18100000000001</v>
      </c>
      <c r="Y142" s="1">
        <v>4.9400000000000004</v>
      </c>
      <c r="Z142" s="1">
        <v>8.0150000000000006</v>
      </c>
      <c r="AA142" s="1">
        <v>21.7</v>
      </c>
      <c r="AB142" s="1">
        <v>290.5</v>
      </c>
      <c r="AC142" s="1">
        <v>12803</v>
      </c>
      <c r="AD142" s="1">
        <v>3347</v>
      </c>
      <c r="AE142" s="1">
        <v>268</v>
      </c>
      <c r="AF142" s="1">
        <v>15</v>
      </c>
      <c r="AG142" s="1">
        <v>15</v>
      </c>
      <c r="AH142" s="1">
        <v>31.7</v>
      </c>
      <c r="AI142" s="1">
        <v>56</v>
      </c>
      <c r="AJ142" s="1">
        <v>12.3</v>
      </c>
      <c r="AK142" s="1">
        <v>82.8</v>
      </c>
      <c r="AL142" s="1">
        <v>31.9</v>
      </c>
      <c r="AM142" s="1">
        <v>8</v>
      </c>
      <c r="AN142" s="1">
        <v>0</v>
      </c>
      <c r="AO142" s="1">
        <v>0</v>
      </c>
      <c r="AP142" s="1" t="s">
        <v>266</v>
      </c>
      <c r="AQ142" s="1" t="s">
        <v>267</v>
      </c>
      <c r="AR142" s="1" t="s">
        <v>268</v>
      </c>
    </row>
    <row r="143" spans="1:44" x14ac:dyDescent="0.2">
      <c r="A143" s="1" t="s">
        <v>201</v>
      </c>
      <c r="B143" s="1" t="s">
        <v>265</v>
      </c>
      <c r="C143" s="1">
        <v>-43.5</v>
      </c>
      <c r="D143" s="1">
        <v>464140.2</v>
      </c>
      <c r="E143" s="1">
        <v>5969190</v>
      </c>
      <c r="F143" s="1">
        <v>0</v>
      </c>
      <c r="G143" s="1">
        <v>-0.7</v>
      </c>
      <c r="H143" s="1">
        <v>0</v>
      </c>
      <c r="I143" s="1">
        <v>2</v>
      </c>
      <c r="J143" s="1">
        <v>0</v>
      </c>
      <c r="K143" s="1">
        <v>-76.5</v>
      </c>
      <c r="L143" s="1">
        <v>33</v>
      </c>
      <c r="M143" s="1">
        <v>2078.5120000000002</v>
      </c>
      <c r="N143" s="1">
        <v>101.9</v>
      </c>
      <c r="O143" s="1">
        <v>8</v>
      </c>
      <c r="P143" s="1">
        <v>11</v>
      </c>
      <c r="Q143" s="1">
        <v>2.9363999999999999</v>
      </c>
      <c r="R143" s="1">
        <v>70</v>
      </c>
      <c r="S143" s="1">
        <v>117</v>
      </c>
      <c r="T143" s="1">
        <v>149</v>
      </c>
      <c r="U143" s="1">
        <v>1575.1569999999999</v>
      </c>
      <c r="V143" s="1">
        <v>369.238</v>
      </c>
      <c r="W143" s="1">
        <v>752.85199999999998</v>
      </c>
      <c r="X143" s="1">
        <v>132.18100000000001</v>
      </c>
      <c r="Y143" s="1">
        <v>4.9400000000000004</v>
      </c>
      <c r="Z143" s="1">
        <v>8.0150000000000006</v>
      </c>
      <c r="AA143" s="1">
        <v>21.7</v>
      </c>
      <c r="AB143" s="1">
        <v>290.5</v>
      </c>
      <c r="AC143" s="1">
        <v>13675</v>
      </c>
      <c r="AD143" s="1">
        <v>3874</v>
      </c>
      <c r="AE143" s="1">
        <v>268</v>
      </c>
      <c r="AF143" s="1">
        <v>19</v>
      </c>
      <c r="AG143" s="1">
        <v>19</v>
      </c>
      <c r="AH143" s="1">
        <v>29.1</v>
      </c>
      <c r="AI143" s="1">
        <v>55</v>
      </c>
      <c r="AJ143" s="1">
        <v>15.9</v>
      </c>
      <c r="AK143" s="1">
        <v>86.2</v>
      </c>
      <c r="AL143" s="1">
        <v>31.9</v>
      </c>
      <c r="AM143" s="1">
        <v>8</v>
      </c>
      <c r="AN143" s="1">
        <v>0</v>
      </c>
      <c r="AO143" s="1">
        <v>0</v>
      </c>
      <c r="AP143" s="1" t="s">
        <v>270</v>
      </c>
      <c r="AQ143" s="1" t="s">
        <v>267</v>
      </c>
      <c r="AR143" s="1" t="s">
        <v>268</v>
      </c>
    </row>
    <row r="144" spans="1:44" x14ac:dyDescent="0.2">
      <c r="A144" s="1" t="s">
        <v>204</v>
      </c>
      <c r="B144" s="1" t="s">
        <v>265</v>
      </c>
      <c r="C144" s="1">
        <v>-44.8</v>
      </c>
      <c r="D144" s="1">
        <v>467775.4</v>
      </c>
      <c r="E144" s="1">
        <v>5966700.2999999998</v>
      </c>
      <c r="F144" s="1">
        <v>0</v>
      </c>
      <c r="G144" s="1">
        <v>-0.6</v>
      </c>
      <c r="H144" s="1">
        <v>0</v>
      </c>
      <c r="I144" s="1">
        <v>2</v>
      </c>
      <c r="J144" s="1">
        <v>0</v>
      </c>
      <c r="K144" s="1">
        <v>-75.5</v>
      </c>
      <c r="L144" s="1">
        <v>30.7</v>
      </c>
      <c r="M144" s="1">
        <v>2016.578</v>
      </c>
      <c r="N144" s="1">
        <v>100.9</v>
      </c>
      <c r="O144" s="1">
        <v>8</v>
      </c>
      <c r="P144" s="1">
        <v>11</v>
      </c>
      <c r="Q144" s="1">
        <v>2.7364000000000002</v>
      </c>
      <c r="R144" s="1">
        <v>70</v>
      </c>
      <c r="S144" s="1">
        <v>117</v>
      </c>
      <c r="T144" s="1">
        <v>149</v>
      </c>
      <c r="U144" s="1">
        <v>1575.433</v>
      </c>
      <c r="V144" s="1">
        <v>507.053</v>
      </c>
      <c r="W144" s="1">
        <v>752.85199999999998</v>
      </c>
      <c r="X144" s="1">
        <v>132.18100000000001</v>
      </c>
      <c r="Y144" s="1">
        <v>4.9400000000000004</v>
      </c>
      <c r="Z144" s="1">
        <v>8.0150000000000006</v>
      </c>
      <c r="AA144" s="1">
        <v>21.7</v>
      </c>
      <c r="AB144" s="1">
        <v>290.5</v>
      </c>
      <c r="AC144" s="1">
        <v>13608</v>
      </c>
      <c r="AD144" s="1">
        <v>3964</v>
      </c>
      <c r="AE144" s="1">
        <v>268</v>
      </c>
      <c r="AF144" s="1">
        <v>17</v>
      </c>
      <c r="AG144" s="1">
        <v>17</v>
      </c>
      <c r="AH144" s="1">
        <v>29.8</v>
      </c>
      <c r="AI144" s="1">
        <v>54</v>
      </c>
      <c r="AJ144" s="1">
        <v>16.2</v>
      </c>
      <c r="AK144" s="1">
        <v>84.7</v>
      </c>
      <c r="AL144" s="1">
        <v>31.9</v>
      </c>
      <c r="AM144" s="1">
        <v>8</v>
      </c>
      <c r="AN144" s="1">
        <v>0</v>
      </c>
      <c r="AO144" s="1">
        <v>0</v>
      </c>
      <c r="AP144" s="1" t="s">
        <v>270</v>
      </c>
      <c r="AQ144" s="1" t="s">
        <v>267</v>
      </c>
      <c r="AR144" s="1" t="s">
        <v>268</v>
      </c>
    </row>
    <row r="145" spans="1:44" x14ac:dyDescent="0.2">
      <c r="A145" s="1" t="s">
        <v>19</v>
      </c>
      <c r="B145" s="1" t="s">
        <v>269</v>
      </c>
      <c r="C145" s="1">
        <v>-37.9</v>
      </c>
      <c r="D145" s="1">
        <v>470333.6</v>
      </c>
      <c r="E145" s="1">
        <v>5965984.5</v>
      </c>
      <c r="F145" s="1">
        <v>0</v>
      </c>
      <c r="G145" s="1">
        <v>-0.7</v>
      </c>
      <c r="H145" s="1">
        <v>0</v>
      </c>
      <c r="I145" s="1">
        <v>2</v>
      </c>
      <c r="J145" s="1">
        <v>0</v>
      </c>
      <c r="K145" s="1">
        <v>-67.8</v>
      </c>
      <c r="L145" s="1">
        <v>29.9</v>
      </c>
      <c r="M145" s="1">
        <v>1767.933</v>
      </c>
      <c r="N145" s="1">
        <v>93.2</v>
      </c>
      <c r="O145" s="1">
        <v>8</v>
      </c>
      <c r="P145" s="1">
        <v>10</v>
      </c>
      <c r="Q145" s="1">
        <v>2.92</v>
      </c>
      <c r="R145" s="1">
        <v>68</v>
      </c>
      <c r="S145" s="1">
        <v>110</v>
      </c>
      <c r="T145" s="1">
        <v>147</v>
      </c>
      <c r="U145" s="1">
        <v>1419.7860000000001</v>
      </c>
      <c r="V145" s="1">
        <v>489.37200000000001</v>
      </c>
      <c r="W145" s="1">
        <v>752.85199999999998</v>
      </c>
      <c r="X145" s="1">
        <v>132.18100000000001</v>
      </c>
      <c r="Y145" s="1">
        <v>4.9400000000000004</v>
      </c>
      <c r="Z145" s="1">
        <v>8.0150000000000006</v>
      </c>
      <c r="AA145" s="1">
        <v>21.7</v>
      </c>
      <c r="AB145" s="1">
        <v>290.5</v>
      </c>
      <c r="AC145" s="1">
        <v>12783</v>
      </c>
      <c r="AD145" s="1">
        <v>3365</v>
      </c>
      <c r="AE145" s="1">
        <v>268</v>
      </c>
      <c r="AF145" s="1">
        <v>15</v>
      </c>
      <c r="AG145" s="1">
        <v>15</v>
      </c>
      <c r="AH145" s="1">
        <v>31</v>
      </c>
      <c r="AI145" s="1">
        <v>56.9</v>
      </c>
      <c r="AJ145" s="1">
        <v>12.1</v>
      </c>
      <c r="AK145" s="1">
        <v>84.8</v>
      </c>
      <c r="AL145" s="1">
        <v>31.9</v>
      </c>
      <c r="AM145" s="1">
        <v>8</v>
      </c>
      <c r="AN145" s="1">
        <v>0</v>
      </c>
      <c r="AO145" s="1">
        <v>0</v>
      </c>
      <c r="AP145" s="1" t="s">
        <v>266</v>
      </c>
      <c r="AQ145" s="1" t="s">
        <v>267</v>
      </c>
      <c r="AR145" s="1" t="s">
        <v>268</v>
      </c>
    </row>
    <row r="146" spans="1:44" x14ac:dyDescent="0.2">
      <c r="A146" s="1" t="s">
        <v>15</v>
      </c>
      <c r="B146" s="1" t="s">
        <v>265</v>
      </c>
      <c r="C146" s="1">
        <v>-33.5</v>
      </c>
      <c r="D146" s="1">
        <v>474004.5</v>
      </c>
      <c r="E146" s="1">
        <v>5963438.7000000002</v>
      </c>
      <c r="F146" s="1">
        <v>0</v>
      </c>
      <c r="G146" s="1">
        <v>-0.7</v>
      </c>
      <c r="H146" s="1">
        <v>0</v>
      </c>
      <c r="I146" s="1">
        <v>2</v>
      </c>
      <c r="J146" s="1">
        <v>0</v>
      </c>
      <c r="K146" s="1">
        <v>-62.2</v>
      </c>
      <c r="L146" s="1">
        <v>28.7</v>
      </c>
      <c r="M146" s="1">
        <v>1572.8789999999999</v>
      </c>
      <c r="N146" s="1">
        <v>87.6</v>
      </c>
      <c r="O146" s="1">
        <v>8</v>
      </c>
      <c r="P146" s="1">
        <v>10</v>
      </c>
      <c r="Q146" s="1">
        <v>2.8</v>
      </c>
      <c r="R146" s="1">
        <v>64</v>
      </c>
      <c r="S146" s="1">
        <v>110</v>
      </c>
      <c r="T146" s="1">
        <v>147</v>
      </c>
      <c r="U146" s="1">
        <v>1358.0350000000001</v>
      </c>
      <c r="V146" s="1">
        <v>461.714</v>
      </c>
      <c r="W146" s="1">
        <v>752.85199999999998</v>
      </c>
      <c r="X146" s="1">
        <v>132.18100000000001</v>
      </c>
      <c r="Y146" s="1">
        <v>4.9400000000000004</v>
      </c>
      <c r="Z146" s="1">
        <v>8.0150000000000006</v>
      </c>
      <c r="AA146" s="1">
        <v>21.7</v>
      </c>
      <c r="AB146" s="1">
        <v>290.5</v>
      </c>
      <c r="AC146" s="1">
        <v>12436</v>
      </c>
      <c r="AD146" s="1">
        <v>3094</v>
      </c>
      <c r="AE146" s="1">
        <v>268</v>
      </c>
      <c r="AF146" s="1">
        <v>15</v>
      </c>
      <c r="AG146" s="1">
        <v>15</v>
      </c>
      <c r="AH146" s="1">
        <v>33.9</v>
      </c>
      <c r="AI146" s="1">
        <v>54.6</v>
      </c>
      <c r="AJ146" s="1">
        <v>11.4</v>
      </c>
      <c r="AK146" s="1">
        <v>80.7</v>
      </c>
      <c r="AL146" s="1">
        <v>31.9</v>
      </c>
      <c r="AM146" s="1">
        <v>8</v>
      </c>
      <c r="AN146" s="1">
        <v>0</v>
      </c>
      <c r="AO146" s="1">
        <v>0</v>
      </c>
      <c r="AP146" s="1" t="s">
        <v>266</v>
      </c>
      <c r="AQ146" s="1" t="s">
        <v>267</v>
      </c>
      <c r="AR146" s="1" t="s">
        <v>268</v>
      </c>
    </row>
    <row r="147" spans="1:44" x14ac:dyDescent="0.2">
      <c r="A147" s="1" t="s">
        <v>193</v>
      </c>
      <c r="B147" s="1" t="s">
        <v>265</v>
      </c>
      <c r="C147" s="1">
        <v>-49.6</v>
      </c>
      <c r="D147" s="1">
        <v>472295</v>
      </c>
      <c r="E147" s="1">
        <v>5969540</v>
      </c>
      <c r="F147" s="1">
        <v>0</v>
      </c>
      <c r="G147" s="1">
        <v>-0.6</v>
      </c>
      <c r="H147" s="1">
        <v>0</v>
      </c>
      <c r="I147" s="1">
        <v>2</v>
      </c>
      <c r="J147" s="1">
        <v>0</v>
      </c>
      <c r="K147" s="1">
        <v>-79.8</v>
      </c>
      <c r="L147" s="1">
        <v>30.2</v>
      </c>
      <c r="M147" s="1">
        <v>2270.7539999999999</v>
      </c>
      <c r="N147" s="1">
        <v>105.2</v>
      </c>
      <c r="O147" s="1">
        <v>8</v>
      </c>
      <c r="P147" s="1">
        <v>11</v>
      </c>
      <c r="Q147" s="1">
        <v>2.6909000000000001</v>
      </c>
      <c r="R147" s="1">
        <v>70</v>
      </c>
      <c r="S147" s="1">
        <v>117</v>
      </c>
      <c r="T147" s="1">
        <v>149</v>
      </c>
      <c r="U147" s="1">
        <v>1643.153</v>
      </c>
      <c r="V147" s="1">
        <v>403.11700000000002</v>
      </c>
      <c r="W147" s="1">
        <v>752.85199999999998</v>
      </c>
      <c r="X147" s="1">
        <v>132.18100000000001</v>
      </c>
      <c r="Y147" s="1">
        <v>4.9400000000000004</v>
      </c>
      <c r="Z147" s="1">
        <v>8.0150000000000006</v>
      </c>
      <c r="AA147" s="1">
        <v>21.7</v>
      </c>
      <c r="AB147" s="1">
        <v>290.5</v>
      </c>
      <c r="AC147" s="1">
        <v>13899</v>
      </c>
      <c r="AD147" s="1">
        <v>4291</v>
      </c>
      <c r="AE147" s="1">
        <v>268</v>
      </c>
      <c r="AF147" s="1">
        <v>15</v>
      </c>
      <c r="AG147" s="1">
        <v>15</v>
      </c>
      <c r="AH147" s="1">
        <v>26</v>
      </c>
      <c r="AI147" s="1">
        <v>59.7</v>
      </c>
      <c r="AJ147" s="1">
        <v>14.3</v>
      </c>
      <c r="AK147" s="1">
        <v>90.1</v>
      </c>
      <c r="AL147" s="1">
        <v>31.9</v>
      </c>
      <c r="AM147" s="1">
        <v>8</v>
      </c>
      <c r="AN147" s="1">
        <v>0</v>
      </c>
      <c r="AO147" s="1">
        <v>0</v>
      </c>
      <c r="AP147" s="1" t="s">
        <v>270</v>
      </c>
      <c r="AQ147" s="1" t="s">
        <v>267</v>
      </c>
      <c r="AR147" s="1" t="s">
        <v>268</v>
      </c>
    </row>
    <row r="148" spans="1:44" x14ac:dyDescent="0.2">
      <c r="A148" s="1" t="s">
        <v>26</v>
      </c>
      <c r="B148" s="1" t="s">
        <v>269</v>
      </c>
      <c r="C148" s="1">
        <v>-37.6</v>
      </c>
      <c r="D148" s="1">
        <v>474485.7</v>
      </c>
      <c r="E148" s="1">
        <v>5969293.2000000002</v>
      </c>
      <c r="F148" s="1">
        <v>0</v>
      </c>
      <c r="G148" s="1">
        <v>-0.8</v>
      </c>
      <c r="H148" s="1">
        <v>0</v>
      </c>
      <c r="I148" s="1">
        <v>2</v>
      </c>
      <c r="J148" s="1">
        <v>0</v>
      </c>
      <c r="K148" s="1">
        <v>-67.7</v>
      </c>
      <c r="L148" s="1">
        <v>30.1</v>
      </c>
      <c r="M148" s="1">
        <v>1754.0920000000001</v>
      </c>
      <c r="N148" s="1">
        <v>93.1</v>
      </c>
      <c r="O148" s="1">
        <v>8</v>
      </c>
      <c r="P148" s="1">
        <v>10</v>
      </c>
      <c r="Q148" s="1">
        <v>2.93</v>
      </c>
      <c r="R148" s="1">
        <v>68</v>
      </c>
      <c r="S148" s="1">
        <v>110</v>
      </c>
      <c r="T148" s="1">
        <v>147</v>
      </c>
      <c r="U148" s="1">
        <v>1419.8620000000001</v>
      </c>
      <c r="V148" s="1">
        <v>483.68</v>
      </c>
      <c r="W148" s="1">
        <v>752.85199999999998</v>
      </c>
      <c r="X148" s="1">
        <v>132.18100000000001</v>
      </c>
      <c r="Y148" s="1">
        <v>4.9400000000000004</v>
      </c>
      <c r="Z148" s="1">
        <v>8.0150000000000006</v>
      </c>
      <c r="AA148" s="1">
        <v>21.7</v>
      </c>
      <c r="AB148" s="1">
        <v>290.5</v>
      </c>
      <c r="AC148" s="1">
        <v>12777</v>
      </c>
      <c r="AD148" s="1">
        <v>3347</v>
      </c>
      <c r="AE148" s="1">
        <v>268</v>
      </c>
      <c r="AF148" s="1">
        <v>15</v>
      </c>
      <c r="AG148" s="1">
        <v>15</v>
      </c>
      <c r="AH148" s="1">
        <v>31.2</v>
      </c>
      <c r="AI148" s="1">
        <v>56.6</v>
      </c>
      <c r="AJ148" s="1">
        <v>12.2</v>
      </c>
      <c r="AK148" s="1">
        <v>84.2</v>
      </c>
      <c r="AL148" s="1">
        <v>31.9</v>
      </c>
      <c r="AM148" s="1">
        <v>8</v>
      </c>
      <c r="AN148" s="1">
        <v>0</v>
      </c>
      <c r="AO148" s="1">
        <v>0</v>
      </c>
      <c r="AP148" s="1" t="s">
        <v>266</v>
      </c>
      <c r="AQ148" s="1" t="s">
        <v>267</v>
      </c>
      <c r="AR148" s="1" t="s">
        <v>268</v>
      </c>
    </row>
    <row r="149" spans="1:44" x14ac:dyDescent="0.2">
      <c r="A149" s="1" t="s">
        <v>158</v>
      </c>
      <c r="B149" s="1" t="s">
        <v>272</v>
      </c>
      <c r="C149" s="1">
        <v>-27.7</v>
      </c>
      <c r="D149" s="1">
        <v>475028.2</v>
      </c>
      <c r="E149" s="1">
        <v>5971616</v>
      </c>
      <c r="F149" s="1">
        <v>0</v>
      </c>
      <c r="G149" s="1">
        <v>-0.6</v>
      </c>
      <c r="H149" s="1">
        <v>0</v>
      </c>
      <c r="I149" s="1">
        <v>2</v>
      </c>
      <c r="J149" s="1">
        <v>0</v>
      </c>
      <c r="K149" s="1">
        <v>-58</v>
      </c>
      <c r="L149" s="1">
        <v>30.3</v>
      </c>
      <c r="M149" s="1">
        <v>1425.029</v>
      </c>
      <c r="N149" s="1">
        <v>83.4</v>
      </c>
      <c r="O149" s="1">
        <v>8</v>
      </c>
      <c r="P149" s="1">
        <v>10</v>
      </c>
      <c r="Q149" s="1">
        <v>2.97</v>
      </c>
      <c r="R149" s="1">
        <v>64</v>
      </c>
      <c r="S149" s="1">
        <v>110</v>
      </c>
      <c r="T149" s="1">
        <v>147</v>
      </c>
      <c r="U149" s="1">
        <v>1233.7909999999999</v>
      </c>
      <c r="V149" s="1">
        <v>456.00799999999998</v>
      </c>
      <c r="W149" s="1">
        <v>752.85199999999998</v>
      </c>
      <c r="X149" s="1">
        <v>132.18100000000001</v>
      </c>
      <c r="Y149" s="1">
        <v>4.9400000000000004</v>
      </c>
      <c r="Z149" s="1">
        <v>8.0150000000000006</v>
      </c>
      <c r="AA149" s="1">
        <v>21.7</v>
      </c>
      <c r="AB149" s="1">
        <v>290.5</v>
      </c>
      <c r="AC149" s="1">
        <v>12176</v>
      </c>
      <c r="AD149" s="1">
        <v>2733</v>
      </c>
      <c r="AE149" s="1">
        <v>268</v>
      </c>
      <c r="AF149" s="1">
        <v>15</v>
      </c>
      <c r="AG149" s="1">
        <v>15</v>
      </c>
      <c r="AH149" s="1">
        <v>37.4</v>
      </c>
      <c r="AI149" s="1">
        <v>49.9</v>
      </c>
      <c r="AJ149" s="1">
        <v>12.6</v>
      </c>
      <c r="AK149" s="1">
        <v>77.5</v>
      </c>
      <c r="AL149" s="1">
        <v>31.9</v>
      </c>
      <c r="AM149" s="1">
        <v>8</v>
      </c>
      <c r="AN149" s="1">
        <v>0</v>
      </c>
      <c r="AO149" s="1">
        <v>0</v>
      </c>
      <c r="AP149" s="1" t="s">
        <v>266</v>
      </c>
      <c r="AQ149" s="1" t="s">
        <v>267</v>
      </c>
      <c r="AR149" s="1" t="s">
        <v>268</v>
      </c>
    </row>
    <row r="150" spans="1:44" x14ac:dyDescent="0.2">
      <c r="A150" s="1" t="s">
        <v>37</v>
      </c>
      <c r="B150" s="1" t="s">
        <v>265</v>
      </c>
      <c r="C150" s="1">
        <v>-38.700000000000003</v>
      </c>
      <c r="D150" s="1">
        <v>452477.5</v>
      </c>
      <c r="E150" s="1">
        <v>5974927</v>
      </c>
      <c r="F150" s="1">
        <v>0</v>
      </c>
      <c r="G150" s="1">
        <v>-0.6</v>
      </c>
      <c r="H150" s="1">
        <v>0</v>
      </c>
      <c r="I150" s="1">
        <v>2</v>
      </c>
      <c r="J150" s="1">
        <v>0</v>
      </c>
      <c r="K150" s="1">
        <v>-65</v>
      </c>
      <c r="L150" s="1">
        <v>26.3</v>
      </c>
      <c r="M150" s="1">
        <v>1715.348</v>
      </c>
      <c r="N150" s="1">
        <v>90.4</v>
      </c>
      <c r="O150" s="1">
        <v>8</v>
      </c>
      <c r="P150" s="1">
        <v>10</v>
      </c>
      <c r="Q150" s="1">
        <v>2.57</v>
      </c>
      <c r="R150" s="1">
        <v>68</v>
      </c>
      <c r="S150" s="1">
        <v>110</v>
      </c>
      <c r="T150" s="1">
        <v>147</v>
      </c>
      <c r="U150" s="1">
        <v>1419.7860000000001</v>
      </c>
      <c r="V150" s="1">
        <v>458.55900000000003</v>
      </c>
      <c r="W150" s="1">
        <v>752.85199999999998</v>
      </c>
      <c r="X150" s="1">
        <v>132.18100000000001</v>
      </c>
      <c r="Y150" s="1">
        <v>4.9400000000000004</v>
      </c>
      <c r="Z150" s="1">
        <v>8.0150000000000006</v>
      </c>
      <c r="AA150" s="1">
        <v>21.7</v>
      </c>
      <c r="AB150" s="1">
        <v>290.5</v>
      </c>
      <c r="AC150" s="1">
        <v>12608</v>
      </c>
      <c r="AD150" s="1">
        <v>3416</v>
      </c>
      <c r="AE150" s="1">
        <v>268</v>
      </c>
      <c r="AF150" s="1">
        <v>15</v>
      </c>
      <c r="AG150" s="1">
        <v>15</v>
      </c>
      <c r="AH150" s="1">
        <v>31.7</v>
      </c>
      <c r="AI150" s="1">
        <v>56.1</v>
      </c>
      <c r="AJ150" s="1">
        <v>12.2</v>
      </c>
      <c r="AK150" s="1">
        <v>84.9</v>
      </c>
      <c r="AL150" s="1">
        <v>31.9</v>
      </c>
      <c r="AM150" s="1">
        <v>8</v>
      </c>
      <c r="AN150" s="1">
        <v>0</v>
      </c>
      <c r="AO150" s="1">
        <v>0</v>
      </c>
      <c r="AP150" s="1" t="s">
        <v>266</v>
      </c>
      <c r="AQ150" s="1" t="s">
        <v>267</v>
      </c>
      <c r="AR150" s="1" t="s">
        <v>268</v>
      </c>
    </row>
    <row r="151" spans="1:44" x14ac:dyDescent="0.2">
      <c r="A151" s="1" t="s">
        <v>81</v>
      </c>
      <c r="B151" s="1" t="s">
        <v>269</v>
      </c>
      <c r="C151" s="1">
        <v>-37.299999999999997</v>
      </c>
      <c r="D151" s="1">
        <v>453759.5</v>
      </c>
      <c r="E151" s="1">
        <v>5976097.0999999996</v>
      </c>
      <c r="F151" s="1">
        <v>0</v>
      </c>
      <c r="G151" s="1">
        <v>-0.7</v>
      </c>
      <c r="H151" s="1">
        <v>0</v>
      </c>
      <c r="I151" s="1">
        <v>2</v>
      </c>
      <c r="J151" s="1">
        <v>0</v>
      </c>
      <c r="K151" s="1">
        <v>-63.2</v>
      </c>
      <c r="L151" s="1">
        <v>25.9</v>
      </c>
      <c r="M151" s="1">
        <v>1670.76</v>
      </c>
      <c r="N151" s="1">
        <v>88.6</v>
      </c>
      <c r="O151" s="1">
        <v>8</v>
      </c>
      <c r="P151" s="1">
        <v>10</v>
      </c>
      <c r="Q151" s="1">
        <v>2.52</v>
      </c>
      <c r="R151" s="1">
        <v>68</v>
      </c>
      <c r="S151" s="1">
        <v>110</v>
      </c>
      <c r="T151" s="1">
        <v>147</v>
      </c>
      <c r="U151" s="1">
        <v>1295.1780000000001</v>
      </c>
      <c r="V151" s="1">
        <v>514.59299999999996</v>
      </c>
      <c r="W151" s="1">
        <v>752.85199999999998</v>
      </c>
      <c r="X151" s="1">
        <v>132.18100000000001</v>
      </c>
      <c r="Y151" s="1">
        <v>4.9400000000000004</v>
      </c>
      <c r="Z151" s="1">
        <v>8.0150000000000006</v>
      </c>
      <c r="AA151" s="1">
        <v>21.7</v>
      </c>
      <c r="AB151" s="1">
        <v>290.5</v>
      </c>
      <c r="AC151" s="1">
        <v>12496</v>
      </c>
      <c r="AD151" s="1">
        <v>3329</v>
      </c>
      <c r="AE151" s="1">
        <v>268</v>
      </c>
      <c r="AF151" s="1">
        <v>15</v>
      </c>
      <c r="AG151" s="1">
        <v>15</v>
      </c>
      <c r="AH151" s="1">
        <v>32.799999999999997</v>
      </c>
      <c r="AI151" s="1">
        <v>54.4</v>
      </c>
      <c r="AJ151" s="1">
        <v>12.8</v>
      </c>
      <c r="AK151" s="1">
        <v>84.7</v>
      </c>
      <c r="AL151" s="1">
        <v>31.9</v>
      </c>
      <c r="AM151" s="1">
        <v>8</v>
      </c>
      <c r="AN151" s="1">
        <v>0</v>
      </c>
      <c r="AO151" s="1">
        <v>0</v>
      </c>
      <c r="AP151" s="1" t="s">
        <v>266</v>
      </c>
      <c r="AQ151" s="1" t="s">
        <v>267</v>
      </c>
      <c r="AR151" s="1" t="s">
        <v>268</v>
      </c>
    </row>
    <row r="152" spans="1:44" x14ac:dyDescent="0.2">
      <c r="A152" s="1" t="s">
        <v>103</v>
      </c>
      <c r="B152" s="1" t="s">
        <v>265</v>
      </c>
      <c r="C152" s="1">
        <v>-36.6</v>
      </c>
      <c r="D152" s="1">
        <v>456981.4</v>
      </c>
      <c r="E152" s="1">
        <v>5974090</v>
      </c>
      <c r="F152" s="1">
        <v>0</v>
      </c>
      <c r="G152" s="1">
        <v>-0.6</v>
      </c>
      <c r="H152" s="1">
        <v>0</v>
      </c>
      <c r="I152" s="1">
        <v>2</v>
      </c>
      <c r="J152" s="1">
        <v>0</v>
      </c>
      <c r="K152" s="1">
        <v>-61.7</v>
      </c>
      <c r="L152" s="1">
        <v>25.1</v>
      </c>
      <c r="M152" s="1">
        <v>1578.502</v>
      </c>
      <c r="N152" s="1">
        <v>87.1</v>
      </c>
      <c r="O152" s="1">
        <v>8</v>
      </c>
      <c r="P152" s="1">
        <v>10</v>
      </c>
      <c r="Q152" s="1">
        <v>2.4500000000000002</v>
      </c>
      <c r="R152" s="1">
        <v>68</v>
      </c>
      <c r="S152" s="1">
        <v>110</v>
      </c>
      <c r="T152" s="1">
        <v>147</v>
      </c>
      <c r="U152" s="1">
        <v>1295.53</v>
      </c>
      <c r="V152" s="1">
        <v>521.02700000000004</v>
      </c>
      <c r="W152" s="1">
        <v>752.85199999999998</v>
      </c>
      <c r="X152" s="1">
        <v>132.18100000000001</v>
      </c>
      <c r="Y152" s="1">
        <v>4.9400000000000004</v>
      </c>
      <c r="Z152" s="1">
        <v>8.0150000000000006</v>
      </c>
      <c r="AA152" s="1">
        <v>21.7</v>
      </c>
      <c r="AB152" s="1">
        <v>290.5</v>
      </c>
      <c r="AC152" s="1">
        <v>12404</v>
      </c>
      <c r="AD152" s="1">
        <v>3286</v>
      </c>
      <c r="AE152" s="1">
        <v>268</v>
      </c>
      <c r="AF152" s="1">
        <v>15</v>
      </c>
      <c r="AG152" s="1">
        <v>15</v>
      </c>
      <c r="AH152" s="1">
        <v>34.700000000000003</v>
      </c>
      <c r="AI152" s="1">
        <v>51.8</v>
      </c>
      <c r="AJ152" s="1">
        <v>13.5</v>
      </c>
      <c r="AK152" s="1">
        <v>81.8</v>
      </c>
      <c r="AL152" s="1">
        <v>31.9</v>
      </c>
      <c r="AM152" s="1">
        <v>8</v>
      </c>
      <c r="AN152" s="1">
        <v>0</v>
      </c>
      <c r="AO152" s="1">
        <v>0</v>
      </c>
      <c r="AP152" s="1" t="s">
        <v>266</v>
      </c>
      <c r="AQ152" s="1" t="s">
        <v>267</v>
      </c>
      <c r="AR152" s="1" t="s">
        <v>268</v>
      </c>
    </row>
    <row r="153" spans="1:44" x14ac:dyDescent="0.2">
      <c r="A153" s="1" t="s">
        <v>72</v>
      </c>
      <c r="B153" s="1" t="s">
        <v>265</v>
      </c>
      <c r="C153" s="1">
        <v>-36.6</v>
      </c>
      <c r="D153" s="1">
        <v>459452</v>
      </c>
      <c r="E153" s="1">
        <v>5973390</v>
      </c>
      <c r="F153" s="1">
        <v>0</v>
      </c>
      <c r="G153" s="1">
        <v>-0.8</v>
      </c>
      <c r="H153" s="1">
        <v>0</v>
      </c>
      <c r="I153" s="1">
        <v>2</v>
      </c>
      <c r="J153" s="1">
        <v>0</v>
      </c>
      <c r="K153" s="1">
        <v>-63.9</v>
      </c>
      <c r="L153" s="1">
        <v>27.3</v>
      </c>
      <c r="M153" s="1">
        <v>1632.479</v>
      </c>
      <c r="N153" s="1">
        <v>89.3</v>
      </c>
      <c r="O153" s="1">
        <v>8</v>
      </c>
      <c r="P153" s="1">
        <v>10</v>
      </c>
      <c r="Q153" s="1">
        <v>2.65</v>
      </c>
      <c r="R153" s="1">
        <v>68</v>
      </c>
      <c r="S153" s="1">
        <v>110</v>
      </c>
      <c r="T153" s="1">
        <v>147</v>
      </c>
      <c r="U153" s="1">
        <v>1295.5170000000001</v>
      </c>
      <c r="V153" s="1">
        <v>577.14800000000002</v>
      </c>
      <c r="W153" s="1">
        <v>752.85199999999998</v>
      </c>
      <c r="X153" s="1">
        <v>132.18100000000001</v>
      </c>
      <c r="Y153" s="1">
        <v>4.9400000000000004</v>
      </c>
      <c r="Z153" s="1">
        <v>8.0150000000000006</v>
      </c>
      <c r="AA153" s="1">
        <v>21.7</v>
      </c>
      <c r="AB153" s="1">
        <v>290.5</v>
      </c>
      <c r="AC153" s="1">
        <v>12541</v>
      </c>
      <c r="AD153" s="1">
        <v>3286</v>
      </c>
      <c r="AE153" s="1">
        <v>268</v>
      </c>
      <c r="AF153" s="1">
        <v>15</v>
      </c>
      <c r="AG153" s="1">
        <v>15</v>
      </c>
      <c r="AH153" s="1">
        <v>33.6</v>
      </c>
      <c r="AI153" s="1">
        <v>53.4</v>
      </c>
      <c r="AJ153" s="1">
        <v>13.1</v>
      </c>
      <c r="AK153" s="1">
        <v>82.2</v>
      </c>
      <c r="AL153" s="1">
        <v>31.9</v>
      </c>
      <c r="AM153" s="1">
        <v>8</v>
      </c>
      <c r="AN153" s="1">
        <v>0</v>
      </c>
      <c r="AO153" s="1">
        <v>0</v>
      </c>
      <c r="AP153" s="1" t="s">
        <v>266</v>
      </c>
      <c r="AQ153" s="1" t="s">
        <v>267</v>
      </c>
      <c r="AR153" s="1" t="s">
        <v>268</v>
      </c>
    </row>
    <row r="154" spans="1:44" x14ac:dyDescent="0.2">
      <c r="A154" s="1" t="s">
        <v>66</v>
      </c>
      <c r="B154" s="1" t="s">
        <v>265</v>
      </c>
      <c r="C154" s="1">
        <v>-37.9</v>
      </c>
      <c r="D154" s="1">
        <v>463237.4</v>
      </c>
      <c r="E154" s="1">
        <v>5970640</v>
      </c>
      <c r="F154" s="1">
        <v>0</v>
      </c>
      <c r="G154" s="1">
        <v>-0.6</v>
      </c>
      <c r="H154" s="1">
        <v>0</v>
      </c>
      <c r="I154" s="1">
        <v>2</v>
      </c>
      <c r="J154" s="1">
        <v>0</v>
      </c>
      <c r="K154" s="1">
        <v>-63.8</v>
      </c>
      <c r="L154" s="1">
        <v>25.9</v>
      </c>
      <c r="M154" s="1">
        <v>1641.8910000000001</v>
      </c>
      <c r="N154" s="1">
        <v>89.2</v>
      </c>
      <c r="O154" s="1">
        <v>8</v>
      </c>
      <c r="P154" s="1">
        <v>10</v>
      </c>
      <c r="Q154" s="1">
        <v>2.5299999999999998</v>
      </c>
      <c r="R154" s="1">
        <v>68</v>
      </c>
      <c r="S154" s="1">
        <v>110</v>
      </c>
      <c r="T154" s="1">
        <v>147</v>
      </c>
      <c r="U154" s="1">
        <v>1357.7460000000001</v>
      </c>
      <c r="V154" s="1">
        <v>452.86700000000002</v>
      </c>
      <c r="W154" s="1">
        <v>752.85199999999998</v>
      </c>
      <c r="X154" s="1">
        <v>132.18100000000001</v>
      </c>
      <c r="Y154" s="1">
        <v>4.9400000000000004</v>
      </c>
      <c r="Z154" s="1">
        <v>8.0150000000000006</v>
      </c>
      <c r="AA154" s="1">
        <v>21.7</v>
      </c>
      <c r="AB154" s="1">
        <v>290.5</v>
      </c>
      <c r="AC154" s="1">
        <v>12535</v>
      </c>
      <c r="AD154" s="1">
        <v>3366</v>
      </c>
      <c r="AE154" s="1">
        <v>268</v>
      </c>
      <c r="AF154" s="1">
        <v>15</v>
      </c>
      <c r="AG154" s="1">
        <v>15</v>
      </c>
      <c r="AH154" s="1">
        <v>33.4</v>
      </c>
      <c r="AI154" s="1">
        <v>53.5</v>
      </c>
      <c r="AJ154" s="1">
        <v>13.1</v>
      </c>
      <c r="AK154" s="1">
        <v>82.8</v>
      </c>
      <c r="AL154" s="1">
        <v>31.9</v>
      </c>
      <c r="AM154" s="1">
        <v>8</v>
      </c>
      <c r="AN154" s="1">
        <v>0</v>
      </c>
      <c r="AO154" s="1">
        <v>0</v>
      </c>
      <c r="AP154" s="1" t="s">
        <v>266</v>
      </c>
      <c r="AQ154" s="1" t="s">
        <v>267</v>
      </c>
      <c r="AR154" s="1" t="s">
        <v>268</v>
      </c>
    </row>
    <row r="155" spans="1:44" x14ac:dyDescent="0.2">
      <c r="A155" s="1" t="s">
        <v>172</v>
      </c>
      <c r="B155" s="1" t="s">
        <v>265</v>
      </c>
      <c r="C155" s="1">
        <v>-39.9</v>
      </c>
      <c r="D155" s="1">
        <v>466616</v>
      </c>
      <c r="E155" s="1">
        <v>5968560</v>
      </c>
      <c r="F155" s="1">
        <v>0</v>
      </c>
      <c r="G155" s="1">
        <v>-0.7</v>
      </c>
      <c r="H155" s="1">
        <v>0</v>
      </c>
      <c r="I155" s="1">
        <v>2</v>
      </c>
      <c r="J155" s="1">
        <v>0</v>
      </c>
      <c r="K155" s="1">
        <v>-68</v>
      </c>
      <c r="L155" s="1">
        <v>28.1</v>
      </c>
      <c r="M155" s="1">
        <v>1771.9159999999999</v>
      </c>
      <c r="N155" s="1">
        <v>93.4</v>
      </c>
      <c r="O155" s="1">
        <v>8</v>
      </c>
      <c r="P155" s="1">
        <v>10.5</v>
      </c>
      <c r="Q155" s="1">
        <v>2.6095000000000002</v>
      </c>
      <c r="R155" s="1">
        <v>72</v>
      </c>
      <c r="S155" s="1">
        <v>112</v>
      </c>
      <c r="T155" s="1">
        <v>146</v>
      </c>
      <c r="U155" s="1">
        <v>1405.9949999999999</v>
      </c>
      <c r="V155" s="1">
        <v>329.00599999999997</v>
      </c>
      <c r="W155" s="1">
        <v>752.85199999999998</v>
      </c>
      <c r="X155" s="1">
        <v>132.18100000000001</v>
      </c>
      <c r="Y155" s="1">
        <v>4.9400000000000004</v>
      </c>
      <c r="Z155" s="1">
        <v>8.0150000000000006</v>
      </c>
      <c r="AA155" s="1">
        <v>21.7</v>
      </c>
      <c r="AB155" s="1">
        <v>290.5</v>
      </c>
      <c r="AC155" s="1">
        <v>12950</v>
      </c>
      <c r="AD155" s="1">
        <v>3564</v>
      </c>
      <c r="AE155" s="1">
        <v>268</v>
      </c>
      <c r="AF155" s="1">
        <v>15</v>
      </c>
      <c r="AG155" s="1">
        <v>15</v>
      </c>
      <c r="AH155" s="1">
        <v>33.200000000000003</v>
      </c>
      <c r="AI155" s="1">
        <v>51.7</v>
      </c>
      <c r="AJ155" s="1">
        <v>15.1</v>
      </c>
      <c r="AK155" s="1">
        <v>83.2</v>
      </c>
      <c r="AL155" s="1">
        <v>31.9</v>
      </c>
      <c r="AM155" s="1">
        <v>8</v>
      </c>
      <c r="AN155" s="1">
        <v>0</v>
      </c>
      <c r="AO155" s="1">
        <v>0</v>
      </c>
      <c r="AP155" s="1" t="s">
        <v>270</v>
      </c>
      <c r="AQ155" s="1" t="s">
        <v>267</v>
      </c>
      <c r="AR155" s="1" t="s">
        <v>268</v>
      </c>
    </row>
    <row r="156" spans="1:44" x14ac:dyDescent="0.2">
      <c r="A156" s="1" t="s">
        <v>199</v>
      </c>
      <c r="B156" s="1" t="s">
        <v>265</v>
      </c>
      <c r="C156" s="1">
        <v>-45.1</v>
      </c>
      <c r="D156" s="1">
        <v>469237</v>
      </c>
      <c r="E156" s="1">
        <v>5967750</v>
      </c>
      <c r="F156" s="1">
        <v>0</v>
      </c>
      <c r="G156" s="1">
        <v>-0.7</v>
      </c>
      <c r="H156" s="1">
        <v>0</v>
      </c>
      <c r="I156" s="1">
        <v>2</v>
      </c>
      <c r="J156" s="1">
        <v>0</v>
      </c>
      <c r="K156" s="1">
        <v>-78.7</v>
      </c>
      <c r="L156" s="1">
        <v>33.6</v>
      </c>
      <c r="M156" s="1">
        <v>2094.7669999999998</v>
      </c>
      <c r="N156" s="1">
        <v>104.1</v>
      </c>
      <c r="O156" s="1">
        <v>8</v>
      </c>
      <c r="P156" s="1">
        <v>11</v>
      </c>
      <c r="Q156" s="1">
        <v>2.9908999999999999</v>
      </c>
      <c r="R156" s="1">
        <v>70</v>
      </c>
      <c r="S156" s="1">
        <v>117</v>
      </c>
      <c r="T156" s="1">
        <v>149</v>
      </c>
      <c r="U156" s="1">
        <v>1643.9580000000001</v>
      </c>
      <c r="V156" s="1">
        <v>472.935</v>
      </c>
      <c r="W156" s="1">
        <v>752.85199999999998</v>
      </c>
      <c r="X156" s="1">
        <v>132.18100000000001</v>
      </c>
      <c r="Y156" s="1">
        <v>4.9400000000000004</v>
      </c>
      <c r="Z156" s="1">
        <v>8.0150000000000006</v>
      </c>
      <c r="AA156" s="1">
        <v>21.7</v>
      </c>
      <c r="AB156" s="1">
        <v>290.5</v>
      </c>
      <c r="AC156" s="1">
        <v>13827</v>
      </c>
      <c r="AD156" s="1">
        <v>3984</v>
      </c>
      <c r="AE156" s="1">
        <v>268</v>
      </c>
      <c r="AF156" s="1">
        <v>19</v>
      </c>
      <c r="AG156" s="1">
        <v>19</v>
      </c>
      <c r="AH156" s="1">
        <v>29.1</v>
      </c>
      <c r="AI156" s="1">
        <v>55.3</v>
      </c>
      <c r="AJ156" s="1">
        <v>15.7</v>
      </c>
      <c r="AK156" s="1">
        <v>85</v>
      </c>
      <c r="AL156" s="1">
        <v>31.9</v>
      </c>
      <c r="AM156" s="1">
        <v>8</v>
      </c>
      <c r="AN156" s="1">
        <v>0</v>
      </c>
      <c r="AO156" s="1">
        <v>0</v>
      </c>
      <c r="AP156" s="1" t="s">
        <v>270</v>
      </c>
      <c r="AQ156" s="1" t="s">
        <v>267</v>
      </c>
      <c r="AR156" s="1" t="s">
        <v>268</v>
      </c>
    </row>
    <row r="157" spans="1:44" x14ac:dyDescent="0.2">
      <c r="A157" s="1" t="s">
        <v>31</v>
      </c>
      <c r="B157" s="1" t="s">
        <v>269</v>
      </c>
      <c r="C157" s="1">
        <v>-36.799999999999997</v>
      </c>
      <c r="D157" s="1">
        <v>473128.1</v>
      </c>
      <c r="E157" s="1">
        <v>5964859.7999999998</v>
      </c>
      <c r="F157" s="1">
        <v>0</v>
      </c>
      <c r="G157" s="1">
        <v>-0.7</v>
      </c>
      <c r="H157" s="1">
        <v>0</v>
      </c>
      <c r="I157" s="1">
        <v>2</v>
      </c>
      <c r="J157" s="1">
        <v>0</v>
      </c>
      <c r="K157" s="1">
        <v>-66.8</v>
      </c>
      <c r="L157" s="1">
        <v>30</v>
      </c>
      <c r="M157" s="1">
        <v>1715.9159999999999</v>
      </c>
      <c r="N157" s="1">
        <v>92.2</v>
      </c>
      <c r="O157" s="1">
        <v>8</v>
      </c>
      <c r="P157" s="1">
        <v>10</v>
      </c>
      <c r="Q157" s="1">
        <v>2.93</v>
      </c>
      <c r="R157" s="1">
        <v>68</v>
      </c>
      <c r="S157" s="1">
        <v>110</v>
      </c>
      <c r="T157" s="1">
        <v>147</v>
      </c>
      <c r="U157" s="1">
        <v>1357.646</v>
      </c>
      <c r="V157" s="1">
        <v>452.86700000000002</v>
      </c>
      <c r="W157" s="1">
        <v>752.85199999999998</v>
      </c>
      <c r="X157" s="1">
        <v>132.18100000000001</v>
      </c>
      <c r="Y157" s="1">
        <v>4.9400000000000004</v>
      </c>
      <c r="Z157" s="1">
        <v>8.0150000000000006</v>
      </c>
      <c r="AA157" s="1">
        <v>21.7</v>
      </c>
      <c r="AB157" s="1">
        <v>290.5</v>
      </c>
      <c r="AC157" s="1">
        <v>12721</v>
      </c>
      <c r="AD157" s="1">
        <v>3298</v>
      </c>
      <c r="AE157" s="1">
        <v>268</v>
      </c>
      <c r="AF157" s="1">
        <v>15</v>
      </c>
      <c r="AG157" s="1">
        <v>15</v>
      </c>
      <c r="AH157" s="1">
        <v>31.9</v>
      </c>
      <c r="AI157" s="1">
        <v>55.5</v>
      </c>
      <c r="AJ157" s="1">
        <v>12.5</v>
      </c>
      <c r="AK157" s="1">
        <v>83.4</v>
      </c>
      <c r="AL157" s="1">
        <v>31.9</v>
      </c>
      <c r="AM157" s="1">
        <v>8</v>
      </c>
      <c r="AN157" s="1">
        <v>0</v>
      </c>
      <c r="AO157" s="1">
        <v>0</v>
      </c>
      <c r="AP157" s="1" t="s">
        <v>266</v>
      </c>
      <c r="AQ157" s="1" t="s">
        <v>267</v>
      </c>
      <c r="AR157" s="1" t="s">
        <v>268</v>
      </c>
    </row>
    <row r="158" spans="1:44" x14ac:dyDescent="0.2">
      <c r="A158" s="1" t="s">
        <v>184</v>
      </c>
      <c r="B158" s="1" t="s">
        <v>265</v>
      </c>
      <c r="C158" s="1">
        <v>-39.9</v>
      </c>
      <c r="D158" s="1">
        <v>471135</v>
      </c>
      <c r="E158" s="1">
        <v>5971400</v>
      </c>
      <c r="F158" s="1">
        <v>0</v>
      </c>
      <c r="G158" s="1">
        <v>-0.6</v>
      </c>
      <c r="H158" s="1">
        <v>0</v>
      </c>
      <c r="I158" s="1">
        <v>2</v>
      </c>
      <c r="J158" s="1">
        <v>0</v>
      </c>
      <c r="K158" s="1">
        <v>-66.8</v>
      </c>
      <c r="L158" s="1">
        <v>26.9</v>
      </c>
      <c r="M158" s="1">
        <v>1722.5239999999999</v>
      </c>
      <c r="N158" s="1">
        <v>92.2</v>
      </c>
      <c r="O158" s="1">
        <v>8</v>
      </c>
      <c r="P158" s="1">
        <v>10.5</v>
      </c>
      <c r="Q158" s="1">
        <v>2.5047999999999999</v>
      </c>
      <c r="R158" s="1">
        <v>70</v>
      </c>
      <c r="S158" s="1">
        <v>112</v>
      </c>
      <c r="T158" s="1">
        <v>146</v>
      </c>
      <c r="U158" s="1">
        <v>1406.2080000000001</v>
      </c>
      <c r="V158" s="1">
        <v>423.21699999999998</v>
      </c>
      <c r="W158" s="1">
        <v>752.85199999999998</v>
      </c>
      <c r="X158" s="1">
        <v>132.18100000000001</v>
      </c>
      <c r="Y158" s="1">
        <v>4.9400000000000004</v>
      </c>
      <c r="Z158" s="1">
        <v>8.0150000000000006</v>
      </c>
      <c r="AA158" s="1">
        <v>21.7</v>
      </c>
      <c r="AB158" s="1">
        <v>290.5</v>
      </c>
      <c r="AC158" s="1">
        <v>12872</v>
      </c>
      <c r="AD158" s="1">
        <v>3565</v>
      </c>
      <c r="AE158" s="1">
        <v>268</v>
      </c>
      <c r="AF158" s="1">
        <v>15</v>
      </c>
      <c r="AG158" s="1">
        <v>15</v>
      </c>
      <c r="AH158" s="1">
        <v>33.299999999999997</v>
      </c>
      <c r="AI158" s="1">
        <v>51.8</v>
      </c>
      <c r="AJ158" s="1">
        <v>14.9</v>
      </c>
      <c r="AK158" s="1">
        <v>81.900000000000006</v>
      </c>
      <c r="AL158" s="1">
        <v>31.9</v>
      </c>
      <c r="AM158" s="1">
        <v>8</v>
      </c>
      <c r="AN158" s="1">
        <v>0</v>
      </c>
      <c r="AO158" s="1">
        <v>0</v>
      </c>
      <c r="AP158" s="1" t="s">
        <v>270</v>
      </c>
      <c r="AQ158" s="1" t="s">
        <v>267</v>
      </c>
      <c r="AR158" s="1" t="s">
        <v>268</v>
      </c>
    </row>
    <row r="159" spans="1:44" x14ac:dyDescent="0.2">
      <c r="A159" s="1" t="s">
        <v>24</v>
      </c>
      <c r="B159" s="1" t="s">
        <v>269</v>
      </c>
      <c r="C159" s="1">
        <v>-35.9</v>
      </c>
      <c r="D159" s="1">
        <v>473540.5</v>
      </c>
      <c r="E159" s="1">
        <v>5970810</v>
      </c>
      <c r="F159" s="1">
        <v>0</v>
      </c>
      <c r="G159" s="1">
        <v>-0.6</v>
      </c>
      <c r="H159" s="1">
        <v>0</v>
      </c>
      <c r="I159" s="1">
        <v>2</v>
      </c>
      <c r="J159" s="1">
        <v>0</v>
      </c>
      <c r="K159" s="1">
        <v>-67.2</v>
      </c>
      <c r="L159" s="1">
        <v>31.3</v>
      </c>
      <c r="M159" s="1">
        <v>1699.1369999999999</v>
      </c>
      <c r="N159" s="1">
        <v>92.6</v>
      </c>
      <c r="O159" s="1">
        <v>8</v>
      </c>
      <c r="P159" s="1">
        <v>10</v>
      </c>
      <c r="Q159" s="1">
        <v>3.07</v>
      </c>
      <c r="R159" s="1">
        <v>68</v>
      </c>
      <c r="S159" s="1">
        <v>110</v>
      </c>
      <c r="T159" s="1">
        <v>147</v>
      </c>
      <c r="U159" s="1">
        <v>1420.1379999999999</v>
      </c>
      <c r="V159" s="1">
        <v>483.86799999999999</v>
      </c>
      <c r="W159" s="1">
        <v>752.85199999999998</v>
      </c>
      <c r="X159" s="1">
        <v>132.18100000000001</v>
      </c>
      <c r="Y159" s="1">
        <v>4.9400000000000004</v>
      </c>
      <c r="Z159" s="1">
        <v>8.0150000000000006</v>
      </c>
      <c r="AA159" s="1">
        <v>21.7</v>
      </c>
      <c r="AB159" s="1">
        <v>290.5</v>
      </c>
      <c r="AC159" s="1">
        <v>12747</v>
      </c>
      <c r="AD159" s="1">
        <v>3242</v>
      </c>
      <c r="AE159" s="1">
        <v>268</v>
      </c>
      <c r="AF159" s="1">
        <v>17</v>
      </c>
      <c r="AG159" s="1">
        <v>17</v>
      </c>
      <c r="AH159" s="1">
        <v>32.200000000000003</v>
      </c>
      <c r="AI159" s="1">
        <v>55.2</v>
      </c>
      <c r="AJ159" s="1">
        <v>12.6</v>
      </c>
      <c r="AK159" s="1">
        <v>82.3</v>
      </c>
      <c r="AL159" s="1">
        <v>31.9</v>
      </c>
      <c r="AM159" s="1">
        <v>8</v>
      </c>
      <c r="AN159" s="1">
        <v>0</v>
      </c>
      <c r="AO159" s="1">
        <v>0</v>
      </c>
      <c r="AP159" s="1" t="s">
        <v>266</v>
      </c>
      <c r="AQ159" s="1" t="s">
        <v>267</v>
      </c>
      <c r="AR159" s="1" t="s">
        <v>268</v>
      </c>
    </row>
    <row r="160" spans="1:44" x14ac:dyDescent="0.2">
      <c r="A160" s="1" t="s">
        <v>129</v>
      </c>
      <c r="B160" s="1" t="s">
        <v>265</v>
      </c>
      <c r="C160" s="1">
        <v>-31.2</v>
      </c>
      <c r="D160" s="1">
        <v>474030</v>
      </c>
      <c r="E160" s="1">
        <v>5973220</v>
      </c>
      <c r="F160" s="1">
        <v>0</v>
      </c>
      <c r="G160" s="1">
        <v>-0.6</v>
      </c>
      <c r="H160" s="1">
        <v>0</v>
      </c>
      <c r="I160" s="1">
        <v>2</v>
      </c>
      <c r="J160" s="1">
        <v>0</v>
      </c>
      <c r="K160" s="1">
        <v>-60.2</v>
      </c>
      <c r="L160" s="1">
        <v>29</v>
      </c>
      <c r="M160" s="1">
        <v>1478.508</v>
      </c>
      <c r="N160" s="1">
        <v>85.6</v>
      </c>
      <c r="O160" s="1">
        <v>8</v>
      </c>
      <c r="P160" s="1">
        <v>10</v>
      </c>
      <c r="Q160" s="1">
        <v>2.84</v>
      </c>
      <c r="R160" s="1">
        <v>68</v>
      </c>
      <c r="S160" s="1">
        <v>110</v>
      </c>
      <c r="T160" s="1">
        <v>147</v>
      </c>
      <c r="U160" s="1">
        <v>1296.0329999999999</v>
      </c>
      <c r="V160" s="1">
        <v>586.55999999999995</v>
      </c>
      <c r="W160" s="1">
        <v>752.85199999999998</v>
      </c>
      <c r="X160" s="1">
        <v>132.18100000000001</v>
      </c>
      <c r="Y160" s="1">
        <v>4.9400000000000004</v>
      </c>
      <c r="Z160" s="1">
        <v>8.0150000000000006</v>
      </c>
      <c r="AA160" s="1">
        <v>21.7</v>
      </c>
      <c r="AB160" s="1">
        <v>290.5</v>
      </c>
      <c r="AC160" s="1">
        <v>12313</v>
      </c>
      <c r="AD160" s="1">
        <v>2950</v>
      </c>
      <c r="AE160" s="1">
        <v>268</v>
      </c>
      <c r="AF160" s="1">
        <v>15</v>
      </c>
      <c r="AG160" s="1">
        <v>15</v>
      </c>
      <c r="AH160" s="1">
        <v>36.5</v>
      </c>
      <c r="AI160" s="1">
        <v>50.3</v>
      </c>
      <c r="AJ160" s="1">
        <v>13.2</v>
      </c>
      <c r="AK160" s="1">
        <v>78.2</v>
      </c>
      <c r="AL160" s="1">
        <v>31.9</v>
      </c>
      <c r="AM160" s="1">
        <v>8</v>
      </c>
      <c r="AN160" s="1">
        <v>0</v>
      </c>
      <c r="AO160" s="1">
        <v>0</v>
      </c>
      <c r="AP160" s="1" t="s">
        <v>266</v>
      </c>
      <c r="AQ160" s="1" t="s">
        <v>267</v>
      </c>
      <c r="AR160" s="1" t="s">
        <v>268</v>
      </c>
    </row>
    <row r="161" spans="1:44" x14ac:dyDescent="0.2">
      <c r="A161" s="1" t="s">
        <v>168</v>
      </c>
      <c r="B161" s="1" t="s">
        <v>265</v>
      </c>
      <c r="C161" s="1">
        <v>-37.4</v>
      </c>
      <c r="D161" s="1">
        <v>451758.6</v>
      </c>
      <c r="E161" s="1">
        <v>5976071.2000000002</v>
      </c>
      <c r="F161" s="1">
        <v>0</v>
      </c>
      <c r="G161" s="1">
        <v>-0.6</v>
      </c>
      <c r="H161" s="1">
        <v>0</v>
      </c>
      <c r="I161" s="1">
        <v>2</v>
      </c>
      <c r="J161" s="1">
        <v>0</v>
      </c>
      <c r="K161" s="1">
        <v>-71.900000000000006</v>
      </c>
      <c r="L161" s="1">
        <v>34.5</v>
      </c>
      <c r="M161" s="1">
        <v>1855.6030000000001</v>
      </c>
      <c r="N161" s="1">
        <v>97.3</v>
      </c>
      <c r="O161" s="1">
        <v>8</v>
      </c>
      <c r="P161" s="1">
        <v>10.5</v>
      </c>
      <c r="Q161" s="1">
        <v>3.2286000000000001</v>
      </c>
      <c r="R161" s="1">
        <v>72</v>
      </c>
      <c r="S161" s="1">
        <v>112</v>
      </c>
      <c r="T161" s="1">
        <v>146</v>
      </c>
      <c r="U161" s="1">
        <v>1471.44</v>
      </c>
      <c r="V161" s="1">
        <v>493.01</v>
      </c>
      <c r="W161" s="1">
        <v>752.85199999999998</v>
      </c>
      <c r="X161" s="1">
        <v>132.18100000000001</v>
      </c>
      <c r="Y161" s="1">
        <v>4.9400000000000004</v>
      </c>
      <c r="Z161" s="1">
        <v>8.0150000000000006</v>
      </c>
      <c r="AA161" s="1">
        <v>21.7</v>
      </c>
      <c r="AB161" s="1">
        <v>290.5</v>
      </c>
      <c r="AC161" s="1">
        <v>13205</v>
      </c>
      <c r="AD161" s="1">
        <v>3400</v>
      </c>
      <c r="AE161" s="1">
        <v>268</v>
      </c>
      <c r="AF161" s="1">
        <v>19</v>
      </c>
      <c r="AG161" s="1">
        <v>19</v>
      </c>
      <c r="AH161" s="1">
        <v>32.1</v>
      </c>
      <c r="AI161" s="1">
        <v>53.4</v>
      </c>
      <c r="AJ161" s="1">
        <v>14.5</v>
      </c>
      <c r="AK161" s="1">
        <v>83.4</v>
      </c>
      <c r="AL161" s="1">
        <v>31.9</v>
      </c>
      <c r="AM161" s="1">
        <v>8</v>
      </c>
      <c r="AN161" s="1">
        <v>0</v>
      </c>
      <c r="AO161" s="1">
        <v>0</v>
      </c>
      <c r="AP161" s="1" t="s">
        <v>270</v>
      </c>
      <c r="AQ161" s="1" t="s">
        <v>267</v>
      </c>
      <c r="AR161" s="1" t="s">
        <v>268</v>
      </c>
    </row>
    <row r="162" spans="1:44" x14ac:dyDescent="0.2">
      <c r="A162" s="1" t="s">
        <v>189</v>
      </c>
      <c r="B162" s="1" t="s">
        <v>265</v>
      </c>
      <c r="C162" s="1">
        <v>-39.5</v>
      </c>
      <c r="D162" s="1">
        <v>452933</v>
      </c>
      <c r="E162" s="1">
        <v>5977408</v>
      </c>
      <c r="F162" s="1">
        <v>0</v>
      </c>
      <c r="G162" s="1">
        <v>-0.6</v>
      </c>
      <c r="H162" s="1">
        <v>0</v>
      </c>
      <c r="I162" s="1">
        <v>2</v>
      </c>
      <c r="J162" s="1">
        <v>0</v>
      </c>
      <c r="K162" s="1">
        <v>-72.5</v>
      </c>
      <c r="L162" s="1">
        <v>33</v>
      </c>
      <c r="M162" s="1">
        <v>1907.65</v>
      </c>
      <c r="N162" s="1">
        <v>97.9</v>
      </c>
      <c r="O162" s="1">
        <v>8</v>
      </c>
      <c r="P162" s="1">
        <v>11</v>
      </c>
      <c r="Q162" s="1">
        <v>2.9455</v>
      </c>
      <c r="R162" s="1">
        <v>70</v>
      </c>
      <c r="S162" s="1">
        <v>117</v>
      </c>
      <c r="T162" s="1">
        <v>149</v>
      </c>
      <c r="U162" s="1">
        <v>1507.16</v>
      </c>
      <c r="V162" s="1">
        <v>438.47800000000001</v>
      </c>
      <c r="W162" s="1">
        <v>752.85199999999998</v>
      </c>
      <c r="X162" s="1">
        <v>132.18100000000001</v>
      </c>
      <c r="Y162" s="1">
        <v>4.9400000000000004</v>
      </c>
      <c r="Z162" s="1">
        <v>8.0150000000000006</v>
      </c>
      <c r="AA162" s="1">
        <v>21.7</v>
      </c>
      <c r="AB162" s="1">
        <v>290.5</v>
      </c>
      <c r="AC162" s="1">
        <v>13403</v>
      </c>
      <c r="AD162" s="1">
        <v>3601</v>
      </c>
      <c r="AE162" s="1">
        <v>268</v>
      </c>
      <c r="AF162" s="1">
        <v>19</v>
      </c>
      <c r="AG162" s="1">
        <v>19</v>
      </c>
      <c r="AH162" s="1">
        <v>30</v>
      </c>
      <c r="AI162" s="1">
        <v>53.5</v>
      </c>
      <c r="AJ162" s="1">
        <v>16.399999999999999</v>
      </c>
      <c r="AK162" s="1">
        <v>82.6</v>
      </c>
      <c r="AL162" s="1">
        <v>31.9</v>
      </c>
      <c r="AM162" s="1">
        <v>8</v>
      </c>
      <c r="AN162" s="1">
        <v>0</v>
      </c>
      <c r="AO162" s="1">
        <v>0</v>
      </c>
      <c r="AP162" s="1" t="s">
        <v>270</v>
      </c>
      <c r="AQ162" s="1" t="s">
        <v>267</v>
      </c>
      <c r="AR162" s="1" t="s">
        <v>268</v>
      </c>
    </row>
    <row r="163" spans="1:44" x14ac:dyDescent="0.2">
      <c r="A163" s="1" t="s">
        <v>57</v>
      </c>
      <c r="B163" s="1" t="s">
        <v>265</v>
      </c>
      <c r="C163" s="1">
        <v>-36.5</v>
      </c>
      <c r="D163" s="1">
        <v>456083.8</v>
      </c>
      <c r="E163" s="1">
        <v>5975530</v>
      </c>
      <c r="F163" s="1">
        <v>0</v>
      </c>
      <c r="G163" s="1">
        <v>-0.6</v>
      </c>
      <c r="H163" s="1">
        <v>0</v>
      </c>
      <c r="I163" s="1">
        <v>2</v>
      </c>
      <c r="J163" s="1">
        <v>0</v>
      </c>
      <c r="K163" s="1">
        <v>-64.900000000000006</v>
      </c>
      <c r="L163" s="1">
        <v>28.4</v>
      </c>
      <c r="M163" s="1">
        <v>1631.509</v>
      </c>
      <c r="N163" s="1">
        <v>90.3</v>
      </c>
      <c r="O163" s="1">
        <v>8</v>
      </c>
      <c r="P163" s="1">
        <v>10</v>
      </c>
      <c r="Q163" s="1">
        <v>2.78</v>
      </c>
      <c r="R163" s="1">
        <v>68</v>
      </c>
      <c r="S163" s="1">
        <v>110</v>
      </c>
      <c r="T163" s="1">
        <v>147</v>
      </c>
      <c r="U163" s="1">
        <v>1357.922</v>
      </c>
      <c r="V163" s="1">
        <v>552.01599999999996</v>
      </c>
      <c r="W163" s="1">
        <v>752.85199999999998</v>
      </c>
      <c r="X163" s="1">
        <v>132.18100000000001</v>
      </c>
      <c r="Y163" s="1">
        <v>4.9400000000000004</v>
      </c>
      <c r="Z163" s="1">
        <v>8.0150000000000006</v>
      </c>
      <c r="AA163" s="1">
        <v>21.7</v>
      </c>
      <c r="AB163" s="1">
        <v>290.5</v>
      </c>
      <c r="AC163" s="1">
        <v>12604</v>
      </c>
      <c r="AD163" s="1">
        <v>3279</v>
      </c>
      <c r="AE163" s="1">
        <v>268</v>
      </c>
      <c r="AF163" s="1">
        <v>15</v>
      </c>
      <c r="AG163" s="1">
        <v>15</v>
      </c>
      <c r="AH163" s="1">
        <v>33.6</v>
      </c>
      <c r="AI163" s="1">
        <v>53.3</v>
      </c>
      <c r="AJ163" s="1">
        <v>13.1</v>
      </c>
      <c r="AK163" s="1">
        <v>81.3</v>
      </c>
      <c r="AL163" s="1">
        <v>31.9</v>
      </c>
      <c r="AM163" s="1">
        <v>8</v>
      </c>
      <c r="AN163" s="1">
        <v>0</v>
      </c>
      <c r="AO163" s="1">
        <v>0</v>
      </c>
      <c r="AP163" s="1" t="s">
        <v>266</v>
      </c>
      <c r="AQ163" s="1" t="s">
        <v>267</v>
      </c>
      <c r="AR163" s="1" t="s">
        <v>268</v>
      </c>
    </row>
    <row r="164" spans="1:44" x14ac:dyDescent="0.2">
      <c r="A164" s="1" t="s">
        <v>70</v>
      </c>
      <c r="B164" s="1" t="s">
        <v>265</v>
      </c>
      <c r="C164" s="1">
        <v>-37.200000000000003</v>
      </c>
      <c r="D164" s="1">
        <v>458772</v>
      </c>
      <c r="E164" s="1">
        <v>5974480</v>
      </c>
      <c r="F164" s="1">
        <v>0</v>
      </c>
      <c r="G164" s="1">
        <v>-0.7</v>
      </c>
      <c r="H164" s="1">
        <v>0</v>
      </c>
      <c r="I164" s="1">
        <v>2</v>
      </c>
      <c r="J164" s="1">
        <v>0</v>
      </c>
      <c r="K164" s="1">
        <v>-63.6</v>
      </c>
      <c r="L164" s="1">
        <v>26.4</v>
      </c>
      <c r="M164" s="1">
        <v>1642.5650000000001</v>
      </c>
      <c r="N164" s="1">
        <v>89</v>
      </c>
      <c r="O164" s="1">
        <v>8</v>
      </c>
      <c r="P164" s="1">
        <v>10</v>
      </c>
      <c r="Q164" s="1">
        <v>2.57</v>
      </c>
      <c r="R164" s="1">
        <v>68</v>
      </c>
      <c r="S164" s="1">
        <v>110</v>
      </c>
      <c r="T164" s="1">
        <v>147</v>
      </c>
      <c r="U164" s="1">
        <v>1295.404</v>
      </c>
      <c r="V164" s="1">
        <v>396.85899999999998</v>
      </c>
      <c r="W164" s="1">
        <v>752.85199999999998</v>
      </c>
      <c r="X164" s="1">
        <v>132.18100000000001</v>
      </c>
      <c r="Y164" s="1">
        <v>4.9400000000000004</v>
      </c>
      <c r="Z164" s="1">
        <v>8.0150000000000006</v>
      </c>
      <c r="AA164" s="1">
        <v>21.7</v>
      </c>
      <c r="AB164" s="1">
        <v>290.5</v>
      </c>
      <c r="AC164" s="1">
        <v>12522</v>
      </c>
      <c r="AD164" s="1">
        <v>3323</v>
      </c>
      <c r="AE164" s="1">
        <v>268</v>
      </c>
      <c r="AF164" s="1">
        <v>15</v>
      </c>
      <c r="AG164" s="1">
        <v>15</v>
      </c>
      <c r="AH164" s="1">
        <v>33.299999999999997</v>
      </c>
      <c r="AI164" s="1">
        <v>53.6</v>
      </c>
      <c r="AJ164" s="1">
        <v>13.1</v>
      </c>
      <c r="AK164" s="1">
        <v>83</v>
      </c>
      <c r="AL164" s="1">
        <v>31.9</v>
      </c>
      <c r="AM164" s="1">
        <v>8</v>
      </c>
      <c r="AN164" s="1">
        <v>0</v>
      </c>
      <c r="AO164" s="1">
        <v>0</v>
      </c>
      <c r="AP164" s="1" t="s">
        <v>266</v>
      </c>
      <c r="AQ164" s="1" t="s">
        <v>267</v>
      </c>
      <c r="AR164" s="1" t="s">
        <v>268</v>
      </c>
    </row>
    <row r="165" spans="1:44" x14ac:dyDescent="0.2">
      <c r="A165" s="1" t="s">
        <v>165</v>
      </c>
      <c r="B165" s="1" t="s">
        <v>265</v>
      </c>
      <c r="C165" s="1">
        <v>-36.700000000000003</v>
      </c>
      <c r="D165" s="1">
        <v>462334.6</v>
      </c>
      <c r="E165" s="1">
        <v>5972090</v>
      </c>
      <c r="F165" s="1">
        <v>0</v>
      </c>
      <c r="G165" s="1">
        <v>-0.7</v>
      </c>
      <c r="H165" s="1">
        <v>0</v>
      </c>
      <c r="I165" s="1">
        <v>2</v>
      </c>
      <c r="J165" s="1">
        <v>0</v>
      </c>
      <c r="K165" s="1">
        <v>-65</v>
      </c>
      <c r="L165" s="1">
        <v>28.3</v>
      </c>
      <c r="M165" s="1">
        <v>1661.7539999999999</v>
      </c>
      <c r="N165" s="1">
        <v>90.4</v>
      </c>
      <c r="O165" s="1">
        <v>8</v>
      </c>
      <c r="P165" s="1">
        <v>10</v>
      </c>
      <c r="Q165" s="1">
        <v>2.76</v>
      </c>
      <c r="R165" s="1">
        <v>68</v>
      </c>
      <c r="S165" s="1">
        <v>110</v>
      </c>
      <c r="T165" s="1">
        <v>147</v>
      </c>
      <c r="U165" s="1">
        <v>1357.7460000000001</v>
      </c>
      <c r="V165" s="1">
        <v>427.78399999999999</v>
      </c>
      <c r="W165" s="1">
        <v>752.85199999999998</v>
      </c>
      <c r="X165" s="1">
        <v>132.18100000000001</v>
      </c>
      <c r="Y165" s="1">
        <v>4.9400000000000004</v>
      </c>
      <c r="Z165" s="1">
        <v>8.0150000000000006</v>
      </c>
      <c r="AA165" s="1">
        <v>21.7</v>
      </c>
      <c r="AB165" s="1">
        <v>290.5</v>
      </c>
      <c r="AC165" s="1">
        <v>12610</v>
      </c>
      <c r="AD165" s="1">
        <v>3292</v>
      </c>
      <c r="AE165" s="1">
        <v>268</v>
      </c>
      <c r="AF165" s="1">
        <v>15</v>
      </c>
      <c r="AG165" s="1">
        <v>15</v>
      </c>
      <c r="AH165" s="1">
        <v>33</v>
      </c>
      <c r="AI165" s="1">
        <v>54.2</v>
      </c>
      <c r="AJ165" s="1">
        <v>12.8</v>
      </c>
      <c r="AK165" s="1">
        <v>82.6</v>
      </c>
      <c r="AL165" s="1">
        <v>31.9</v>
      </c>
      <c r="AM165" s="1">
        <v>8</v>
      </c>
      <c r="AN165" s="1">
        <v>0</v>
      </c>
      <c r="AO165" s="1">
        <v>0</v>
      </c>
      <c r="AP165" s="1" t="s">
        <v>266</v>
      </c>
      <c r="AQ165" s="1" t="s">
        <v>267</v>
      </c>
      <c r="AR165" s="1" t="s">
        <v>268</v>
      </c>
    </row>
    <row r="166" spans="1:44" x14ac:dyDescent="0.2">
      <c r="A166" s="1" t="s">
        <v>94</v>
      </c>
      <c r="B166" s="1" t="s">
        <v>265</v>
      </c>
      <c r="C166" s="1">
        <v>-36.799999999999997</v>
      </c>
      <c r="D166" s="1">
        <v>465636.1</v>
      </c>
      <c r="E166" s="1">
        <v>5970130</v>
      </c>
      <c r="F166" s="1">
        <v>0</v>
      </c>
      <c r="G166" s="1">
        <v>-0.7</v>
      </c>
      <c r="H166" s="1">
        <v>0</v>
      </c>
      <c r="I166" s="1">
        <v>2</v>
      </c>
      <c r="J166" s="1">
        <v>0</v>
      </c>
      <c r="K166" s="1">
        <v>-62.6</v>
      </c>
      <c r="L166" s="1">
        <v>25.8</v>
      </c>
      <c r="M166" s="1">
        <v>1635.769</v>
      </c>
      <c r="N166" s="1">
        <v>88</v>
      </c>
      <c r="O166" s="1">
        <v>8</v>
      </c>
      <c r="P166" s="1">
        <v>10</v>
      </c>
      <c r="Q166" s="1">
        <v>2.5099999999999998</v>
      </c>
      <c r="R166" s="1">
        <v>68</v>
      </c>
      <c r="S166" s="1">
        <v>110</v>
      </c>
      <c r="T166" s="1">
        <v>147</v>
      </c>
      <c r="U166" s="1">
        <v>1295.3040000000001</v>
      </c>
      <c r="V166" s="1">
        <v>396.88400000000001</v>
      </c>
      <c r="W166" s="1">
        <v>752.85199999999998</v>
      </c>
      <c r="X166" s="1">
        <v>132.18100000000001</v>
      </c>
      <c r="Y166" s="1">
        <v>4.9400000000000004</v>
      </c>
      <c r="Z166" s="1">
        <v>8.0150000000000006</v>
      </c>
      <c r="AA166" s="1">
        <v>21.7</v>
      </c>
      <c r="AB166" s="1">
        <v>290.5</v>
      </c>
      <c r="AC166" s="1">
        <v>12459</v>
      </c>
      <c r="AD166" s="1">
        <v>3298</v>
      </c>
      <c r="AE166" s="1">
        <v>268</v>
      </c>
      <c r="AF166" s="1">
        <v>15</v>
      </c>
      <c r="AG166" s="1">
        <v>15</v>
      </c>
      <c r="AH166" s="1">
        <v>33.5</v>
      </c>
      <c r="AI166" s="1">
        <v>53.4</v>
      </c>
      <c r="AJ166" s="1">
        <v>13.1</v>
      </c>
      <c r="AK166" s="1">
        <v>83.6</v>
      </c>
      <c r="AL166" s="1">
        <v>31.9</v>
      </c>
      <c r="AM166" s="1">
        <v>8</v>
      </c>
      <c r="AN166" s="1">
        <v>0</v>
      </c>
      <c r="AO166" s="1">
        <v>0</v>
      </c>
      <c r="AP166" s="1" t="s">
        <v>266</v>
      </c>
      <c r="AQ166" s="1" t="s">
        <v>267</v>
      </c>
      <c r="AR166" s="1" t="s">
        <v>268</v>
      </c>
    </row>
    <row r="167" spans="1:44" x14ac:dyDescent="0.2">
      <c r="A167" s="1" t="s">
        <v>163</v>
      </c>
      <c r="B167" s="1" t="s">
        <v>265</v>
      </c>
      <c r="C167" s="1">
        <v>-38.200000000000003</v>
      </c>
      <c r="D167" s="1">
        <v>468137</v>
      </c>
      <c r="E167" s="1">
        <v>5969520</v>
      </c>
      <c r="F167" s="1">
        <v>0</v>
      </c>
      <c r="G167" s="1">
        <v>-0.6</v>
      </c>
      <c r="H167" s="1">
        <v>0</v>
      </c>
      <c r="I167" s="1">
        <v>2</v>
      </c>
      <c r="J167" s="1">
        <v>0</v>
      </c>
      <c r="K167" s="1">
        <v>-66.599999999999994</v>
      </c>
      <c r="L167" s="1">
        <v>28.4</v>
      </c>
      <c r="M167" s="1">
        <v>1734.807</v>
      </c>
      <c r="N167" s="1">
        <v>92</v>
      </c>
      <c r="O167" s="1">
        <v>8</v>
      </c>
      <c r="P167" s="1">
        <v>10</v>
      </c>
      <c r="Q167" s="1">
        <v>2.78</v>
      </c>
      <c r="R167" s="1">
        <v>68</v>
      </c>
      <c r="S167" s="1">
        <v>110</v>
      </c>
      <c r="T167" s="1">
        <v>147</v>
      </c>
      <c r="U167" s="1">
        <v>1357.482</v>
      </c>
      <c r="V167" s="1">
        <v>458.54700000000003</v>
      </c>
      <c r="W167" s="1">
        <v>752.85199999999998</v>
      </c>
      <c r="X167" s="1">
        <v>132.18100000000001</v>
      </c>
      <c r="Y167" s="1">
        <v>4.9400000000000004</v>
      </c>
      <c r="Z167" s="1">
        <v>8.0150000000000006</v>
      </c>
      <c r="AA167" s="1">
        <v>21.7</v>
      </c>
      <c r="AB167" s="1">
        <v>290.5</v>
      </c>
      <c r="AC167" s="1">
        <v>12708</v>
      </c>
      <c r="AD167" s="1">
        <v>3384</v>
      </c>
      <c r="AE167" s="1">
        <v>268</v>
      </c>
      <c r="AF167" s="1">
        <v>15</v>
      </c>
      <c r="AG167" s="1">
        <v>15</v>
      </c>
      <c r="AH167" s="1">
        <v>31.6</v>
      </c>
      <c r="AI167" s="1">
        <v>56.2</v>
      </c>
      <c r="AJ167" s="1">
        <v>12.2</v>
      </c>
      <c r="AK167" s="1">
        <v>84.4</v>
      </c>
      <c r="AL167" s="1">
        <v>31.9</v>
      </c>
      <c r="AM167" s="1">
        <v>8</v>
      </c>
      <c r="AN167" s="1">
        <v>0</v>
      </c>
      <c r="AO167" s="1">
        <v>0</v>
      </c>
      <c r="AP167" s="1" t="s">
        <v>266</v>
      </c>
      <c r="AQ167" s="1" t="s">
        <v>267</v>
      </c>
      <c r="AR167" s="1" t="s">
        <v>268</v>
      </c>
    </row>
    <row r="168" spans="1:44" x14ac:dyDescent="0.2">
      <c r="A168" s="1" t="s">
        <v>205</v>
      </c>
      <c r="B168" s="1" t="s">
        <v>265</v>
      </c>
      <c r="C168" s="1">
        <v>-42.4</v>
      </c>
      <c r="D168" s="1">
        <v>470250.7</v>
      </c>
      <c r="E168" s="1">
        <v>5969494.4000000004</v>
      </c>
      <c r="F168" s="1">
        <v>0</v>
      </c>
      <c r="G168" s="1">
        <v>-0.7</v>
      </c>
      <c r="H168" s="1">
        <v>0</v>
      </c>
      <c r="I168" s="1">
        <v>2</v>
      </c>
      <c r="J168" s="1">
        <v>0</v>
      </c>
      <c r="K168" s="1">
        <v>-74.7</v>
      </c>
      <c r="L168" s="1">
        <v>32.299999999999997</v>
      </c>
      <c r="M168" s="1">
        <v>1974.5409999999999</v>
      </c>
      <c r="N168" s="1">
        <v>100.1</v>
      </c>
      <c r="O168" s="1">
        <v>8</v>
      </c>
      <c r="P168" s="1">
        <v>11</v>
      </c>
      <c r="Q168" s="1">
        <v>2.8727</v>
      </c>
      <c r="R168" s="1">
        <v>70</v>
      </c>
      <c r="S168" s="1">
        <v>117</v>
      </c>
      <c r="T168" s="1">
        <v>149</v>
      </c>
      <c r="U168" s="1">
        <v>1575.5840000000001</v>
      </c>
      <c r="V168" s="1">
        <v>369.77800000000002</v>
      </c>
      <c r="W168" s="1">
        <v>752.85199999999998</v>
      </c>
      <c r="X168" s="1">
        <v>132.18100000000001</v>
      </c>
      <c r="Y168" s="1">
        <v>4.9400000000000004</v>
      </c>
      <c r="Z168" s="1">
        <v>8.0150000000000006</v>
      </c>
      <c r="AA168" s="1">
        <v>21.7</v>
      </c>
      <c r="AB168" s="1">
        <v>290.5</v>
      </c>
      <c r="AC168" s="1">
        <v>13554</v>
      </c>
      <c r="AD168" s="1">
        <v>3799</v>
      </c>
      <c r="AE168" s="1">
        <v>268</v>
      </c>
      <c r="AF168" s="1">
        <v>17</v>
      </c>
      <c r="AG168" s="1">
        <v>17</v>
      </c>
      <c r="AH168" s="1">
        <v>29.8</v>
      </c>
      <c r="AI168" s="1">
        <v>53.9</v>
      </c>
      <c r="AJ168" s="1">
        <v>16.3</v>
      </c>
      <c r="AK168" s="1">
        <v>83.6</v>
      </c>
      <c r="AL168" s="1">
        <v>31.9</v>
      </c>
      <c r="AM168" s="1">
        <v>8</v>
      </c>
      <c r="AN168" s="1">
        <v>0</v>
      </c>
      <c r="AO168" s="1">
        <v>0</v>
      </c>
      <c r="AP168" s="1" t="s">
        <v>270</v>
      </c>
      <c r="AQ168" s="1" t="s">
        <v>267</v>
      </c>
      <c r="AR168" s="1" t="s">
        <v>268</v>
      </c>
    </row>
    <row r="169" spans="1:44" x14ac:dyDescent="0.2">
      <c r="A169" s="1" t="s">
        <v>187</v>
      </c>
      <c r="B169" s="1" t="s">
        <v>265</v>
      </c>
      <c r="C169" s="1">
        <v>-37.4</v>
      </c>
      <c r="D169" s="1">
        <v>470107.9</v>
      </c>
      <c r="E169" s="1">
        <v>5973050</v>
      </c>
      <c r="F169" s="1">
        <v>0</v>
      </c>
      <c r="G169" s="1">
        <v>-0.6</v>
      </c>
      <c r="H169" s="1">
        <v>0</v>
      </c>
      <c r="I169" s="1">
        <v>2</v>
      </c>
      <c r="J169" s="1">
        <v>0</v>
      </c>
      <c r="K169" s="1">
        <v>-65</v>
      </c>
      <c r="L169" s="1">
        <v>27.6</v>
      </c>
      <c r="M169" s="1">
        <v>1662.0830000000001</v>
      </c>
      <c r="N169" s="1">
        <v>90.4</v>
      </c>
      <c r="O169" s="1">
        <v>8</v>
      </c>
      <c r="P169" s="1">
        <v>10.5</v>
      </c>
      <c r="Q169" s="1">
        <v>2.5714000000000001</v>
      </c>
      <c r="R169" s="1">
        <v>70</v>
      </c>
      <c r="S169" s="1">
        <v>112</v>
      </c>
      <c r="T169" s="1">
        <v>146</v>
      </c>
      <c r="U169" s="1">
        <v>1406.422</v>
      </c>
      <c r="V169" s="1">
        <v>323.19400000000002</v>
      </c>
      <c r="W169" s="1">
        <v>752.85199999999998</v>
      </c>
      <c r="X169" s="1">
        <v>132.18100000000001</v>
      </c>
      <c r="Y169" s="1">
        <v>4.9400000000000004</v>
      </c>
      <c r="Z169" s="1">
        <v>8.0150000000000006</v>
      </c>
      <c r="AA169" s="1">
        <v>21.7</v>
      </c>
      <c r="AB169" s="1">
        <v>290.5</v>
      </c>
      <c r="AC169" s="1">
        <v>12755</v>
      </c>
      <c r="AD169" s="1">
        <v>3402</v>
      </c>
      <c r="AE169" s="1">
        <v>268</v>
      </c>
      <c r="AF169" s="1">
        <v>15</v>
      </c>
      <c r="AG169" s="1">
        <v>15</v>
      </c>
      <c r="AH169" s="1">
        <v>33.6</v>
      </c>
      <c r="AI169" s="1">
        <v>51.4</v>
      </c>
      <c r="AJ169" s="1">
        <v>15</v>
      </c>
      <c r="AK169" s="1">
        <v>80.7</v>
      </c>
      <c r="AL169" s="1">
        <v>31.9</v>
      </c>
      <c r="AM169" s="1">
        <v>8</v>
      </c>
      <c r="AN169" s="1">
        <v>0</v>
      </c>
      <c r="AO169" s="1">
        <v>0</v>
      </c>
      <c r="AP169" s="1" t="s">
        <v>270</v>
      </c>
      <c r="AQ169" s="1" t="s">
        <v>267</v>
      </c>
      <c r="AR169" s="1" t="s">
        <v>268</v>
      </c>
    </row>
    <row r="170" spans="1:44" x14ac:dyDescent="0.2">
      <c r="A170" s="1" t="s">
        <v>85</v>
      </c>
      <c r="B170" s="1" t="s">
        <v>265</v>
      </c>
      <c r="C170" s="1">
        <v>-33.4</v>
      </c>
      <c r="D170" s="1">
        <v>472600</v>
      </c>
      <c r="E170" s="1">
        <v>5972320</v>
      </c>
      <c r="F170" s="1">
        <v>0</v>
      </c>
      <c r="G170" s="1">
        <v>-0.6</v>
      </c>
      <c r="H170" s="1">
        <v>0</v>
      </c>
      <c r="I170" s="1">
        <v>2</v>
      </c>
      <c r="J170" s="1">
        <v>0</v>
      </c>
      <c r="K170" s="1">
        <v>-63.6</v>
      </c>
      <c r="L170" s="1">
        <v>30.2</v>
      </c>
      <c r="M170" s="1">
        <v>1566.5540000000001</v>
      </c>
      <c r="N170" s="1">
        <v>89</v>
      </c>
      <c r="O170" s="1">
        <v>8</v>
      </c>
      <c r="P170" s="1">
        <v>10</v>
      </c>
      <c r="Q170" s="1">
        <v>2.96</v>
      </c>
      <c r="R170" s="1">
        <v>68</v>
      </c>
      <c r="S170" s="1">
        <v>110</v>
      </c>
      <c r="T170" s="1">
        <v>147</v>
      </c>
      <c r="U170" s="1">
        <v>1358.211</v>
      </c>
      <c r="V170" s="1">
        <v>574.18299999999999</v>
      </c>
      <c r="W170" s="1">
        <v>752.85199999999998</v>
      </c>
      <c r="X170" s="1">
        <v>132.18100000000001</v>
      </c>
      <c r="Y170" s="1">
        <v>4.9400000000000004</v>
      </c>
      <c r="Z170" s="1">
        <v>8.0150000000000006</v>
      </c>
      <c r="AA170" s="1">
        <v>21.7</v>
      </c>
      <c r="AB170" s="1">
        <v>290.5</v>
      </c>
      <c r="AC170" s="1">
        <v>12524</v>
      </c>
      <c r="AD170" s="1">
        <v>3087</v>
      </c>
      <c r="AE170" s="1">
        <v>268</v>
      </c>
      <c r="AF170" s="1">
        <v>15</v>
      </c>
      <c r="AG170" s="1">
        <v>15</v>
      </c>
      <c r="AH170" s="1">
        <v>34.799999999999997</v>
      </c>
      <c r="AI170" s="1">
        <v>52.3</v>
      </c>
      <c r="AJ170" s="1">
        <v>13</v>
      </c>
      <c r="AK170" s="1">
        <v>79.400000000000006</v>
      </c>
      <c r="AL170" s="1">
        <v>31.9</v>
      </c>
      <c r="AM170" s="1">
        <v>8</v>
      </c>
      <c r="AN170" s="1">
        <v>0</v>
      </c>
      <c r="AO170" s="1">
        <v>0</v>
      </c>
      <c r="AP170" s="1" t="s">
        <v>266</v>
      </c>
      <c r="AQ170" s="1" t="s">
        <v>267</v>
      </c>
      <c r="AR170" s="1" t="s">
        <v>268</v>
      </c>
    </row>
    <row r="171" spans="1:44" x14ac:dyDescent="0.2">
      <c r="A171" s="1" t="s">
        <v>182</v>
      </c>
      <c r="B171" s="1" t="s">
        <v>265</v>
      </c>
      <c r="C171" s="1">
        <v>-36.700000000000003</v>
      </c>
      <c r="D171" s="1">
        <v>451026.5</v>
      </c>
      <c r="E171" s="1">
        <v>5977236.2000000002</v>
      </c>
      <c r="F171" s="1">
        <v>0</v>
      </c>
      <c r="G171" s="1">
        <v>-0.7</v>
      </c>
      <c r="H171" s="1">
        <v>0</v>
      </c>
      <c r="I171" s="1">
        <v>2</v>
      </c>
      <c r="J171" s="1">
        <v>0</v>
      </c>
      <c r="K171" s="1">
        <v>-67.599999999999994</v>
      </c>
      <c r="L171" s="1">
        <v>30.9</v>
      </c>
      <c r="M171" s="1">
        <v>1744.1469999999999</v>
      </c>
      <c r="N171" s="1">
        <v>93</v>
      </c>
      <c r="O171" s="1">
        <v>8</v>
      </c>
      <c r="P171" s="1">
        <v>10.5</v>
      </c>
      <c r="Q171" s="1">
        <v>2.8761999999999999</v>
      </c>
      <c r="R171" s="1">
        <v>72</v>
      </c>
      <c r="S171" s="1">
        <v>112</v>
      </c>
      <c r="T171" s="1">
        <v>146</v>
      </c>
      <c r="U171" s="1">
        <v>1406.145</v>
      </c>
      <c r="V171" s="1">
        <v>454.13600000000002</v>
      </c>
      <c r="W171" s="1">
        <v>752.85199999999998</v>
      </c>
      <c r="X171" s="1">
        <v>132.18100000000001</v>
      </c>
      <c r="Y171" s="1">
        <v>4.9400000000000004</v>
      </c>
      <c r="Z171" s="1">
        <v>8.0150000000000006</v>
      </c>
      <c r="AA171" s="1">
        <v>21.7</v>
      </c>
      <c r="AB171" s="1">
        <v>290.5</v>
      </c>
      <c r="AC171" s="1">
        <v>12924</v>
      </c>
      <c r="AD171" s="1">
        <v>3355</v>
      </c>
      <c r="AE171" s="1">
        <v>268</v>
      </c>
      <c r="AF171" s="1">
        <v>17</v>
      </c>
      <c r="AG171" s="1">
        <v>17</v>
      </c>
      <c r="AH171" s="1">
        <v>33.299999999999997</v>
      </c>
      <c r="AI171" s="1">
        <v>51.7</v>
      </c>
      <c r="AJ171" s="1">
        <v>14.9</v>
      </c>
      <c r="AK171" s="1">
        <v>82.3</v>
      </c>
      <c r="AL171" s="1">
        <v>31.9</v>
      </c>
      <c r="AM171" s="1">
        <v>8</v>
      </c>
      <c r="AN171" s="1">
        <v>0</v>
      </c>
      <c r="AO171" s="1">
        <v>0</v>
      </c>
      <c r="AP171" s="1" t="s">
        <v>270</v>
      </c>
      <c r="AQ171" s="1" t="s">
        <v>267</v>
      </c>
      <c r="AR171" s="1" t="s">
        <v>268</v>
      </c>
    </row>
    <row r="172" spans="1:44" x14ac:dyDescent="0.2">
      <c r="A172" s="1" t="s">
        <v>188</v>
      </c>
      <c r="B172" s="1" t="s">
        <v>265</v>
      </c>
      <c r="C172" s="1">
        <v>-38.6</v>
      </c>
      <c r="D172" s="1">
        <v>452100.5</v>
      </c>
      <c r="E172" s="1">
        <v>5978746</v>
      </c>
      <c r="F172" s="1">
        <v>0</v>
      </c>
      <c r="G172" s="1">
        <v>-0.7</v>
      </c>
      <c r="H172" s="1">
        <v>0</v>
      </c>
      <c r="I172" s="1">
        <v>2</v>
      </c>
      <c r="J172" s="1">
        <v>0</v>
      </c>
      <c r="K172" s="1">
        <v>-64.7</v>
      </c>
      <c r="L172" s="1">
        <v>26.1</v>
      </c>
      <c r="M172" s="1">
        <v>1673.0119999999999</v>
      </c>
      <c r="N172" s="1">
        <v>90.1</v>
      </c>
      <c r="O172" s="1">
        <v>8</v>
      </c>
      <c r="P172" s="1">
        <v>10.5</v>
      </c>
      <c r="Q172" s="1">
        <v>2.419</v>
      </c>
      <c r="R172" s="1">
        <v>70</v>
      </c>
      <c r="S172" s="1">
        <v>112</v>
      </c>
      <c r="T172" s="1">
        <v>146</v>
      </c>
      <c r="U172" s="1">
        <v>1340.8</v>
      </c>
      <c r="V172" s="1">
        <v>421.21199999999999</v>
      </c>
      <c r="W172" s="1">
        <v>752.85199999999998</v>
      </c>
      <c r="X172" s="1">
        <v>132.18100000000001</v>
      </c>
      <c r="Y172" s="1">
        <v>4.9400000000000004</v>
      </c>
      <c r="Z172" s="1">
        <v>8.0150000000000006</v>
      </c>
      <c r="AA172" s="1">
        <v>21.7</v>
      </c>
      <c r="AB172" s="1">
        <v>290.5</v>
      </c>
      <c r="AC172" s="1">
        <v>12735</v>
      </c>
      <c r="AD172" s="1">
        <v>3480</v>
      </c>
      <c r="AE172" s="1">
        <v>268</v>
      </c>
      <c r="AF172" s="1">
        <v>15</v>
      </c>
      <c r="AG172" s="1">
        <v>15</v>
      </c>
      <c r="AH172" s="1">
        <v>33.700000000000003</v>
      </c>
      <c r="AI172" s="1">
        <v>51.2</v>
      </c>
      <c r="AJ172" s="1">
        <v>15.1</v>
      </c>
      <c r="AK172" s="1">
        <v>81.5</v>
      </c>
      <c r="AL172" s="1">
        <v>31.9</v>
      </c>
      <c r="AM172" s="1">
        <v>8</v>
      </c>
      <c r="AN172" s="1">
        <v>0</v>
      </c>
      <c r="AO172" s="1">
        <v>0</v>
      </c>
      <c r="AP172" s="1" t="s">
        <v>270</v>
      </c>
      <c r="AQ172" s="1" t="s">
        <v>267</v>
      </c>
      <c r="AR172" s="1" t="s">
        <v>268</v>
      </c>
    </row>
    <row r="173" spans="1:44" x14ac:dyDescent="0.2">
      <c r="A173" s="1" t="s">
        <v>42</v>
      </c>
      <c r="B173" s="1" t="s">
        <v>265</v>
      </c>
      <c r="C173" s="1">
        <v>-37.299999999999997</v>
      </c>
      <c r="D173" s="1">
        <v>455186.2</v>
      </c>
      <c r="E173" s="1">
        <v>5976970</v>
      </c>
      <c r="F173" s="1">
        <v>0</v>
      </c>
      <c r="G173" s="1">
        <v>-0.7</v>
      </c>
      <c r="H173" s="1">
        <v>0</v>
      </c>
      <c r="I173" s="1">
        <v>2</v>
      </c>
      <c r="J173" s="1">
        <v>0</v>
      </c>
      <c r="K173" s="1">
        <v>-65.400000000000006</v>
      </c>
      <c r="L173" s="1">
        <v>28.1</v>
      </c>
      <c r="M173" s="1">
        <v>1679.402</v>
      </c>
      <c r="N173" s="1">
        <v>90.8</v>
      </c>
      <c r="O173" s="1">
        <v>8</v>
      </c>
      <c r="P173" s="1">
        <v>10</v>
      </c>
      <c r="Q173" s="1">
        <v>2.74</v>
      </c>
      <c r="R173" s="1">
        <v>68</v>
      </c>
      <c r="S173" s="1">
        <v>110</v>
      </c>
      <c r="T173" s="1">
        <v>147</v>
      </c>
      <c r="U173" s="1">
        <v>1357.683</v>
      </c>
      <c r="V173" s="1">
        <v>458.64699999999999</v>
      </c>
      <c r="W173" s="1">
        <v>752.85199999999998</v>
      </c>
      <c r="X173" s="1">
        <v>132.18100000000001</v>
      </c>
      <c r="Y173" s="1">
        <v>4.9400000000000004</v>
      </c>
      <c r="Z173" s="1">
        <v>8.0150000000000006</v>
      </c>
      <c r="AA173" s="1">
        <v>21.7</v>
      </c>
      <c r="AB173" s="1">
        <v>290.5</v>
      </c>
      <c r="AC173" s="1">
        <v>12634</v>
      </c>
      <c r="AD173" s="1">
        <v>3329</v>
      </c>
      <c r="AE173" s="1">
        <v>268</v>
      </c>
      <c r="AF173" s="1">
        <v>15</v>
      </c>
      <c r="AG173" s="1">
        <v>15</v>
      </c>
      <c r="AH173" s="1">
        <v>32.6</v>
      </c>
      <c r="AI173" s="1">
        <v>54.8</v>
      </c>
      <c r="AJ173" s="1">
        <v>12.6</v>
      </c>
      <c r="AK173" s="1">
        <v>83</v>
      </c>
      <c r="AL173" s="1">
        <v>31.9</v>
      </c>
      <c r="AM173" s="1">
        <v>8</v>
      </c>
      <c r="AN173" s="1">
        <v>0</v>
      </c>
      <c r="AO173" s="1">
        <v>0</v>
      </c>
      <c r="AP173" s="1" t="s">
        <v>266</v>
      </c>
      <c r="AQ173" s="1" t="s">
        <v>267</v>
      </c>
      <c r="AR173" s="1" t="s">
        <v>268</v>
      </c>
    </row>
    <row r="174" spans="1:44" x14ac:dyDescent="0.2">
      <c r="A174" s="1" t="s">
        <v>95</v>
      </c>
      <c r="B174" s="1" t="s">
        <v>265</v>
      </c>
      <c r="C174" s="1">
        <v>-37.299999999999997</v>
      </c>
      <c r="D174" s="1">
        <v>457662</v>
      </c>
      <c r="E174" s="1">
        <v>5976270</v>
      </c>
      <c r="F174" s="1">
        <v>0</v>
      </c>
      <c r="G174" s="1">
        <v>-0.6</v>
      </c>
      <c r="H174" s="1">
        <v>0</v>
      </c>
      <c r="I174" s="1">
        <v>2</v>
      </c>
      <c r="J174" s="1">
        <v>0</v>
      </c>
      <c r="K174" s="1">
        <v>-62.1</v>
      </c>
      <c r="L174" s="1">
        <v>24.8</v>
      </c>
      <c r="M174" s="1">
        <v>1605.7739999999999</v>
      </c>
      <c r="N174" s="1">
        <v>87.5</v>
      </c>
      <c r="O174" s="1">
        <v>8</v>
      </c>
      <c r="P174" s="1">
        <v>10</v>
      </c>
      <c r="Q174" s="1">
        <v>2.42</v>
      </c>
      <c r="R174" s="1">
        <v>68</v>
      </c>
      <c r="S174" s="1">
        <v>110</v>
      </c>
      <c r="T174" s="1">
        <v>147</v>
      </c>
      <c r="U174" s="1">
        <v>1295.404</v>
      </c>
      <c r="V174" s="1">
        <v>452.86700000000002</v>
      </c>
      <c r="W174" s="1">
        <v>752.85199999999998</v>
      </c>
      <c r="X174" s="1">
        <v>132.18100000000001</v>
      </c>
      <c r="Y174" s="1">
        <v>4.9400000000000004</v>
      </c>
      <c r="Z174" s="1">
        <v>8.0150000000000006</v>
      </c>
      <c r="AA174" s="1">
        <v>21.7</v>
      </c>
      <c r="AB174" s="1">
        <v>290.5</v>
      </c>
      <c r="AC174" s="1">
        <v>12429</v>
      </c>
      <c r="AD174" s="1">
        <v>3329</v>
      </c>
      <c r="AE174" s="1">
        <v>268</v>
      </c>
      <c r="AF174" s="1">
        <v>15</v>
      </c>
      <c r="AG174" s="1">
        <v>15</v>
      </c>
      <c r="AH174" s="1">
        <v>34.1</v>
      </c>
      <c r="AI174" s="1">
        <v>52.6</v>
      </c>
      <c r="AJ174" s="1">
        <v>13.3</v>
      </c>
      <c r="AK174" s="1">
        <v>82.7</v>
      </c>
      <c r="AL174" s="1">
        <v>31.9</v>
      </c>
      <c r="AM174" s="1">
        <v>8</v>
      </c>
      <c r="AN174" s="1">
        <v>0</v>
      </c>
      <c r="AO174" s="1">
        <v>0</v>
      </c>
      <c r="AP174" s="1" t="s">
        <v>266</v>
      </c>
      <c r="AQ174" s="1" t="s">
        <v>267</v>
      </c>
      <c r="AR174" s="1" t="s">
        <v>268</v>
      </c>
    </row>
    <row r="175" spans="1:44" x14ac:dyDescent="0.2">
      <c r="A175" s="1" t="s">
        <v>21</v>
      </c>
      <c r="B175" s="1" t="s">
        <v>265</v>
      </c>
      <c r="C175" s="1">
        <v>-37</v>
      </c>
      <c r="D175" s="1">
        <v>461431.8</v>
      </c>
      <c r="E175" s="1">
        <v>5973540</v>
      </c>
      <c r="F175" s="1">
        <v>0</v>
      </c>
      <c r="G175" s="1">
        <v>-0.6</v>
      </c>
      <c r="H175" s="1">
        <v>0</v>
      </c>
      <c r="I175" s="1">
        <v>2</v>
      </c>
      <c r="J175" s="1">
        <v>0</v>
      </c>
      <c r="K175" s="1">
        <v>-67.900000000000006</v>
      </c>
      <c r="L175" s="1">
        <v>30.9</v>
      </c>
      <c r="M175" s="1">
        <v>1732.886</v>
      </c>
      <c r="N175" s="1">
        <v>93.3</v>
      </c>
      <c r="O175" s="1">
        <v>8</v>
      </c>
      <c r="P175" s="1">
        <v>10</v>
      </c>
      <c r="Q175" s="1">
        <v>3.03</v>
      </c>
      <c r="R175" s="1">
        <v>68</v>
      </c>
      <c r="S175" s="1">
        <v>110</v>
      </c>
      <c r="T175" s="1">
        <v>147</v>
      </c>
      <c r="U175" s="1">
        <v>1420</v>
      </c>
      <c r="V175" s="1">
        <v>427.69600000000003</v>
      </c>
      <c r="W175" s="1">
        <v>752.85199999999998</v>
      </c>
      <c r="X175" s="1">
        <v>132.18100000000001</v>
      </c>
      <c r="Y175" s="1">
        <v>4.9400000000000004</v>
      </c>
      <c r="Z175" s="1">
        <v>8.0150000000000006</v>
      </c>
      <c r="AA175" s="1">
        <v>21.7</v>
      </c>
      <c r="AB175" s="1">
        <v>290.5</v>
      </c>
      <c r="AC175" s="1">
        <v>12790</v>
      </c>
      <c r="AD175" s="1">
        <v>3310</v>
      </c>
      <c r="AE175" s="1">
        <v>268</v>
      </c>
      <c r="AF175" s="1">
        <v>17</v>
      </c>
      <c r="AG175" s="1">
        <v>17</v>
      </c>
      <c r="AH175" s="1">
        <v>31.7</v>
      </c>
      <c r="AI175" s="1">
        <v>55.7</v>
      </c>
      <c r="AJ175" s="1">
        <v>12.6</v>
      </c>
      <c r="AK175" s="1">
        <v>83.2</v>
      </c>
      <c r="AL175" s="1">
        <v>31.9</v>
      </c>
      <c r="AM175" s="1">
        <v>8</v>
      </c>
      <c r="AN175" s="1">
        <v>0</v>
      </c>
      <c r="AO175" s="1">
        <v>0</v>
      </c>
      <c r="AP175" s="1" t="s">
        <v>266</v>
      </c>
      <c r="AQ175" s="1" t="s">
        <v>267</v>
      </c>
      <c r="AR175" s="1" t="s">
        <v>268</v>
      </c>
    </row>
    <row r="176" spans="1:44" x14ac:dyDescent="0.2">
      <c r="A176" s="1" t="s">
        <v>108</v>
      </c>
      <c r="B176" s="1" t="s">
        <v>265</v>
      </c>
      <c r="C176" s="1">
        <v>-36.9</v>
      </c>
      <c r="D176" s="1">
        <v>464638.4</v>
      </c>
      <c r="E176" s="1">
        <v>5971730</v>
      </c>
      <c r="F176" s="1">
        <v>0</v>
      </c>
      <c r="G176" s="1">
        <v>-0.7</v>
      </c>
      <c r="H176" s="1">
        <v>0</v>
      </c>
      <c r="I176" s="1">
        <v>2</v>
      </c>
      <c r="J176" s="1">
        <v>0</v>
      </c>
      <c r="K176" s="1">
        <v>-61.7</v>
      </c>
      <c r="L176" s="1">
        <v>24.8</v>
      </c>
      <c r="M176" s="1">
        <v>1576.171</v>
      </c>
      <c r="N176" s="1">
        <v>87.1</v>
      </c>
      <c r="O176" s="1">
        <v>8</v>
      </c>
      <c r="P176" s="1">
        <v>10</v>
      </c>
      <c r="Q176" s="1">
        <v>2.41</v>
      </c>
      <c r="R176" s="1">
        <v>68</v>
      </c>
      <c r="S176" s="1">
        <v>110</v>
      </c>
      <c r="T176" s="1">
        <v>147</v>
      </c>
      <c r="U176" s="1">
        <v>1295.5429999999999</v>
      </c>
      <c r="V176" s="1">
        <v>546.17200000000003</v>
      </c>
      <c r="W176" s="1">
        <v>752.85199999999998</v>
      </c>
      <c r="X176" s="1">
        <v>132.18100000000001</v>
      </c>
      <c r="Y176" s="1">
        <v>4.9400000000000004</v>
      </c>
      <c r="Z176" s="1">
        <v>8.0150000000000006</v>
      </c>
      <c r="AA176" s="1">
        <v>21.7</v>
      </c>
      <c r="AB176" s="1">
        <v>290.5</v>
      </c>
      <c r="AC176" s="1">
        <v>12404</v>
      </c>
      <c r="AD176" s="1">
        <v>3304</v>
      </c>
      <c r="AE176" s="1">
        <v>268</v>
      </c>
      <c r="AF176" s="1">
        <v>15</v>
      </c>
      <c r="AG176" s="1">
        <v>15</v>
      </c>
      <c r="AH176" s="1">
        <v>34.799999999999997</v>
      </c>
      <c r="AI176" s="1">
        <v>51.7</v>
      </c>
      <c r="AJ176" s="1">
        <v>13.5</v>
      </c>
      <c r="AK176" s="1">
        <v>81.7</v>
      </c>
      <c r="AL176" s="1">
        <v>31.9</v>
      </c>
      <c r="AM176" s="1">
        <v>8</v>
      </c>
      <c r="AN176" s="1">
        <v>0</v>
      </c>
      <c r="AO176" s="1">
        <v>0</v>
      </c>
      <c r="AP176" s="1" t="s">
        <v>266</v>
      </c>
      <c r="AQ176" s="1" t="s">
        <v>267</v>
      </c>
      <c r="AR176" s="1" t="s">
        <v>268</v>
      </c>
    </row>
    <row r="177" spans="1:44" x14ac:dyDescent="0.2">
      <c r="A177" s="1" t="s">
        <v>64</v>
      </c>
      <c r="B177" s="1" t="s">
        <v>265</v>
      </c>
      <c r="C177" s="1">
        <v>-37</v>
      </c>
      <c r="D177" s="1">
        <v>467158</v>
      </c>
      <c r="E177" s="1">
        <v>5971090</v>
      </c>
      <c r="F177" s="1">
        <v>0</v>
      </c>
      <c r="G177" s="1">
        <v>-0.7</v>
      </c>
      <c r="H177" s="1">
        <v>0</v>
      </c>
      <c r="I177" s="1">
        <v>2</v>
      </c>
      <c r="J177" s="1">
        <v>0</v>
      </c>
      <c r="K177" s="1">
        <v>-63.929000000000002</v>
      </c>
      <c r="L177" s="1">
        <v>26.928999999999998</v>
      </c>
      <c r="M177" s="1">
        <v>1663.443</v>
      </c>
      <c r="N177" s="1">
        <v>89.328999999999994</v>
      </c>
      <c r="O177" s="1">
        <v>8</v>
      </c>
      <c r="P177" s="1">
        <v>10</v>
      </c>
      <c r="Q177" s="1">
        <v>2.6229</v>
      </c>
      <c r="R177" s="1">
        <v>68</v>
      </c>
      <c r="S177" s="1">
        <v>110</v>
      </c>
      <c r="T177" s="1">
        <v>147</v>
      </c>
      <c r="U177" s="1">
        <v>1295.329</v>
      </c>
      <c r="V177" s="1">
        <v>427.77199999999999</v>
      </c>
      <c r="W177" s="1">
        <v>752.85199999999998</v>
      </c>
      <c r="X177" s="1">
        <v>132.18100000000001</v>
      </c>
      <c r="Y177" s="1">
        <v>4.9400000000000004</v>
      </c>
      <c r="Z177" s="1">
        <v>8.0150000000000006</v>
      </c>
      <c r="AA177" s="1">
        <v>21.7</v>
      </c>
      <c r="AB177" s="1">
        <v>290.5</v>
      </c>
      <c r="AC177" s="1">
        <v>12542</v>
      </c>
      <c r="AD177" s="1">
        <v>3310</v>
      </c>
      <c r="AE177" s="1">
        <v>268</v>
      </c>
      <c r="AF177" s="1">
        <v>15</v>
      </c>
      <c r="AG177" s="1">
        <v>15</v>
      </c>
      <c r="AH177" s="1">
        <v>32.9</v>
      </c>
      <c r="AI177" s="1">
        <v>54.2</v>
      </c>
      <c r="AJ177" s="1">
        <v>12.8</v>
      </c>
      <c r="AK177" s="1">
        <v>83.6</v>
      </c>
      <c r="AL177" s="1">
        <v>31.9</v>
      </c>
      <c r="AM177" s="1">
        <v>8</v>
      </c>
      <c r="AN177" s="1">
        <v>0</v>
      </c>
      <c r="AO177" s="1">
        <v>0</v>
      </c>
      <c r="AP177" s="1" t="s">
        <v>266</v>
      </c>
      <c r="AQ177" s="1" t="s">
        <v>267</v>
      </c>
      <c r="AR177" s="1" t="s">
        <v>268</v>
      </c>
    </row>
    <row r="178" spans="1:44" x14ac:dyDescent="0.2">
      <c r="A178" s="1" t="s">
        <v>49</v>
      </c>
      <c r="B178" s="1" t="s">
        <v>269</v>
      </c>
      <c r="C178" s="1">
        <v>-38</v>
      </c>
      <c r="D178" s="1">
        <v>469643</v>
      </c>
      <c r="E178" s="1">
        <v>5970460</v>
      </c>
      <c r="F178" s="1">
        <v>0</v>
      </c>
      <c r="G178" s="1">
        <v>-0.7</v>
      </c>
      <c r="H178" s="1">
        <v>0</v>
      </c>
      <c r="I178" s="1">
        <v>2</v>
      </c>
      <c r="J178" s="1">
        <v>0</v>
      </c>
      <c r="K178" s="1">
        <v>-65.099999999999994</v>
      </c>
      <c r="L178" s="1">
        <v>27.1</v>
      </c>
      <c r="M178" s="1">
        <v>1688.4069999999999</v>
      </c>
      <c r="N178" s="1">
        <v>90.5</v>
      </c>
      <c r="O178" s="1">
        <v>8</v>
      </c>
      <c r="P178" s="1">
        <v>10</v>
      </c>
      <c r="Q178" s="1">
        <v>2.64</v>
      </c>
      <c r="R178" s="1">
        <v>68</v>
      </c>
      <c r="S178" s="1">
        <v>110</v>
      </c>
      <c r="T178" s="1">
        <v>147</v>
      </c>
      <c r="U178" s="1">
        <v>1357.595</v>
      </c>
      <c r="V178" s="1">
        <v>505.87200000000001</v>
      </c>
      <c r="W178" s="1">
        <v>752.85199999999998</v>
      </c>
      <c r="X178" s="1">
        <v>132.18100000000001</v>
      </c>
      <c r="Y178" s="1">
        <v>4.9400000000000004</v>
      </c>
      <c r="Z178" s="1">
        <v>8.0150000000000006</v>
      </c>
      <c r="AA178" s="1">
        <v>21.7</v>
      </c>
      <c r="AB178" s="1">
        <v>290.5</v>
      </c>
      <c r="AC178" s="1">
        <v>12615</v>
      </c>
      <c r="AD178" s="1">
        <v>3372</v>
      </c>
      <c r="AE178" s="1">
        <v>268</v>
      </c>
      <c r="AF178" s="1">
        <v>15</v>
      </c>
      <c r="AG178" s="1">
        <v>15</v>
      </c>
      <c r="AH178" s="1">
        <v>32.4</v>
      </c>
      <c r="AI178" s="1">
        <v>54.9</v>
      </c>
      <c r="AJ178" s="1">
        <v>12.6</v>
      </c>
      <c r="AK178" s="1">
        <v>83.7</v>
      </c>
      <c r="AL178" s="1">
        <v>31.9</v>
      </c>
      <c r="AM178" s="1">
        <v>8</v>
      </c>
      <c r="AN178" s="1">
        <v>0</v>
      </c>
      <c r="AO178" s="1">
        <v>0</v>
      </c>
      <c r="AP178" s="1" t="s">
        <v>266</v>
      </c>
      <c r="AQ178" s="1" t="s">
        <v>267</v>
      </c>
      <c r="AR178" s="1" t="s">
        <v>268</v>
      </c>
    </row>
    <row r="179" spans="1:44" x14ac:dyDescent="0.2">
      <c r="A179" s="1" t="s">
        <v>97</v>
      </c>
      <c r="B179" s="1" t="s">
        <v>265</v>
      </c>
      <c r="C179" s="1">
        <v>-36.5</v>
      </c>
      <c r="D179" s="1">
        <v>469472.2</v>
      </c>
      <c r="E179" s="1">
        <v>5974062.7000000002</v>
      </c>
      <c r="F179" s="1">
        <v>0</v>
      </c>
      <c r="G179" s="1">
        <v>-0.6</v>
      </c>
      <c r="H179" s="1">
        <v>0</v>
      </c>
      <c r="I179" s="1">
        <v>2</v>
      </c>
      <c r="J179" s="1">
        <v>0</v>
      </c>
      <c r="K179" s="1">
        <v>-62.4</v>
      </c>
      <c r="L179" s="1">
        <v>25.9</v>
      </c>
      <c r="M179" s="1">
        <v>1616.7729999999999</v>
      </c>
      <c r="N179" s="1">
        <v>87.8</v>
      </c>
      <c r="O179" s="1">
        <v>8</v>
      </c>
      <c r="P179" s="1">
        <v>10</v>
      </c>
      <c r="Q179" s="1">
        <v>2.5299999999999998</v>
      </c>
      <c r="R179" s="1">
        <v>68</v>
      </c>
      <c r="S179" s="1">
        <v>110</v>
      </c>
      <c r="T179" s="1">
        <v>147</v>
      </c>
      <c r="U179" s="1">
        <v>1295.404</v>
      </c>
      <c r="V179" s="1">
        <v>452.96699999999998</v>
      </c>
      <c r="W179" s="1">
        <v>752.85199999999998</v>
      </c>
      <c r="X179" s="1">
        <v>132.18100000000001</v>
      </c>
      <c r="Y179" s="1">
        <v>4.9400000000000004</v>
      </c>
      <c r="Z179" s="1">
        <v>8.0150000000000006</v>
      </c>
      <c r="AA179" s="1">
        <v>21.7</v>
      </c>
      <c r="AB179" s="1">
        <v>290.5</v>
      </c>
      <c r="AC179" s="1">
        <v>12447</v>
      </c>
      <c r="AD179" s="1">
        <v>3279</v>
      </c>
      <c r="AE179" s="1">
        <v>268</v>
      </c>
      <c r="AF179" s="1">
        <v>15</v>
      </c>
      <c r="AG179" s="1">
        <v>15</v>
      </c>
      <c r="AH179" s="1">
        <v>33.9</v>
      </c>
      <c r="AI179" s="1">
        <v>52.9</v>
      </c>
      <c r="AJ179" s="1">
        <v>13.2</v>
      </c>
      <c r="AK179" s="1">
        <v>82.9</v>
      </c>
      <c r="AL179" s="1">
        <v>31.9</v>
      </c>
      <c r="AM179" s="1">
        <v>8</v>
      </c>
      <c r="AN179" s="1">
        <v>0</v>
      </c>
      <c r="AO179" s="1">
        <v>0</v>
      </c>
      <c r="AP179" s="1" t="s">
        <v>266</v>
      </c>
      <c r="AQ179" s="1" t="s">
        <v>267</v>
      </c>
      <c r="AR179" s="1" t="s">
        <v>268</v>
      </c>
    </row>
    <row r="180" spans="1:44" x14ac:dyDescent="0.2">
      <c r="A180" s="1" t="s">
        <v>133</v>
      </c>
      <c r="B180" s="1" t="s">
        <v>265</v>
      </c>
      <c r="C180" s="1">
        <v>-31.9</v>
      </c>
      <c r="D180" s="1">
        <v>471621</v>
      </c>
      <c r="E180" s="1">
        <v>5973890</v>
      </c>
      <c r="F180" s="1">
        <v>0</v>
      </c>
      <c r="G180" s="1">
        <v>-0.6</v>
      </c>
      <c r="H180" s="1">
        <v>0</v>
      </c>
      <c r="I180" s="1">
        <v>2</v>
      </c>
      <c r="J180" s="1">
        <v>0</v>
      </c>
      <c r="K180" s="1">
        <v>-59.9</v>
      </c>
      <c r="L180" s="1">
        <v>28</v>
      </c>
      <c r="M180" s="1">
        <v>1473.646</v>
      </c>
      <c r="N180" s="1">
        <v>85.3</v>
      </c>
      <c r="O180" s="1">
        <v>8</v>
      </c>
      <c r="P180" s="1">
        <v>10</v>
      </c>
      <c r="Q180" s="1">
        <v>2.74</v>
      </c>
      <c r="R180" s="1">
        <v>68</v>
      </c>
      <c r="S180" s="1">
        <v>110</v>
      </c>
      <c r="T180" s="1">
        <v>147</v>
      </c>
      <c r="U180" s="1">
        <v>1296.02</v>
      </c>
      <c r="V180" s="1">
        <v>580.70500000000004</v>
      </c>
      <c r="W180" s="1">
        <v>752.85199999999998</v>
      </c>
      <c r="X180" s="1">
        <v>132.18100000000001</v>
      </c>
      <c r="Y180" s="1">
        <v>4.9400000000000004</v>
      </c>
      <c r="Z180" s="1">
        <v>8.0150000000000006</v>
      </c>
      <c r="AA180" s="1">
        <v>21.7</v>
      </c>
      <c r="AB180" s="1">
        <v>290.5</v>
      </c>
      <c r="AC180" s="1">
        <v>12294</v>
      </c>
      <c r="AD180" s="1">
        <v>2994</v>
      </c>
      <c r="AE180" s="1">
        <v>268</v>
      </c>
      <c r="AF180" s="1">
        <v>15</v>
      </c>
      <c r="AG180" s="1">
        <v>15</v>
      </c>
      <c r="AH180" s="1">
        <v>36.6</v>
      </c>
      <c r="AI180" s="1">
        <v>50.2</v>
      </c>
      <c r="AJ180" s="1">
        <v>13.1</v>
      </c>
      <c r="AK180" s="1">
        <v>78.2</v>
      </c>
      <c r="AL180" s="1">
        <v>31.9</v>
      </c>
      <c r="AM180" s="1">
        <v>8</v>
      </c>
      <c r="AN180" s="1">
        <v>0</v>
      </c>
      <c r="AO180" s="1">
        <v>0</v>
      </c>
      <c r="AP180" s="1" t="s">
        <v>266</v>
      </c>
      <c r="AQ180" s="1" t="s">
        <v>267</v>
      </c>
      <c r="AR180" s="1" t="s">
        <v>268</v>
      </c>
    </row>
    <row r="181" spans="1:44" x14ac:dyDescent="0.2">
      <c r="A181" s="1" t="s">
        <v>51</v>
      </c>
      <c r="B181" s="1" t="s">
        <v>265</v>
      </c>
      <c r="C181" s="1">
        <v>-36.200000000000003</v>
      </c>
      <c r="D181" s="1">
        <v>450301</v>
      </c>
      <c r="E181" s="1">
        <v>5978390.7999999998</v>
      </c>
      <c r="F181" s="1">
        <v>0</v>
      </c>
      <c r="G181" s="1">
        <v>-0.8</v>
      </c>
      <c r="H181" s="1">
        <v>0</v>
      </c>
      <c r="I181" s="1">
        <v>2</v>
      </c>
      <c r="J181" s="1">
        <v>0</v>
      </c>
      <c r="K181" s="1">
        <v>-64.400000000000006</v>
      </c>
      <c r="L181" s="1">
        <v>28.2</v>
      </c>
      <c r="M181" s="1">
        <v>1678.133</v>
      </c>
      <c r="N181" s="1">
        <v>89.8</v>
      </c>
      <c r="O181" s="1">
        <v>8</v>
      </c>
      <c r="P181" s="1">
        <v>10</v>
      </c>
      <c r="Q181" s="1">
        <v>2.74</v>
      </c>
      <c r="R181" s="1">
        <v>68</v>
      </c>
      <c r="S181" s="1">
        <v>110</v>
      </c>
      <c r="T181" s="1">
        <v>147</v>
      </c>
      <c r="U181" s="1">
        <v>1357.57</v>
      </c>
      <c r="V181" s="1">
        <v>396.83300000000003</v>
      </c>
      <c r="W181" s="1">
        <v>752.85199999999998</v>
      </c>
      <c r="X181" s="1">
        <v>132.18100000000001</v>
      </c>
      <c r="Y181" s="1">
        <v>4.9400000000000004</v>
      </c>
      <c r="Z181" s="1">
        <v>8.0150000000000006</v>
      </c>
      <c r="AA181" s="1">
        <v>21.7</v>
      </c>
      <c r="AB181" s="1">
        <v>290.5</v>
      </c>
      <c r="AC181" s="1">
        <v>12571</v>
      </c>
      <c r="AD181" s="1">
        <v>3260</v>
      </c>
      <c r="AE181" s="1">
        <v>268</v>
      </c>
      <c r="AF181" s="1">
        <v>15</v>
      </c>
      <c r="AG181" s="1">
        <v>15</v>
      </c>
      <c r="AH181" s="1">
        <v>32.6</v>
      </c>
      <c r="AI181" s="1">
        <v>54.4</v>
      </c>
      <c r="AJ181" s="1">
        <v>12.9</v>
      </c>
      <c r="AK181" s="1">
        <v>83.9</v>
      </c>
      <c r="AL181" s="1">
        <v>31.9</v>
      </c>
      <c r="AM181" s="1">
        <v>8</v>
      </c>
      <c r="AN181" s="1">
        <v>0</v>
      </c>
      <c r="AO181" s="1">
        <v>0</v>
      </c>
      <c r="AP181" s="1" t="s">
        <v>266</v>
      </c>
      <c r="AQ181" s="1" t="s">
        <v>267</v>
      </c>
      <c r="AR181" s="1" t="s">
        <v>268</v>
      </c>
    </row>
    <row r="182" spans="1:44" x14ac:dyDescent="0.2">
      <c r="A182" s="1" t="s">
        <v>196</v>
      </c>
      <c r="B182" s="1" t="s">
        <v>271</v>
      </c>
      <c r="C182" s="1">
        <v>-46.9</v>
      </c>
      <c r="D182" s="1">
        <v>450985.8</v>
      </c>
      <c r="E182" s="1">
        <v>5980535.7000000002</v>
      </c>
      <c r="F182" s="1">
        <v>0</v>
      </c>
      <c r="G182" s="1">
        <v>-0.6</v>
      </c>
      <c r="H182" s="1">
        <v>0</v>
      </c>
      <c r="I182" s="1">
        <v>2</v>
      </c>
      <c r="J182" s="1">
        <v>0</v>
      </c>
      <c r="K182" s="1">
        <v>-78.099999999999994</v>
      </c>
      <c r="L182" s="1">
        <v>31.2</v>
      </c>
      <c r="M182" s="1">
        <v>2199.31</v>
      </c>
      <c r="N182" s="1">
        <v>103.5</v>
      </c>
      <c r="O182" s="1">
        <v>8</v>
      </c>
      <c r="P182" s="1">
        <v>11</v>
      </c>
      <c r="Q182" s="1">
        <v>2.7818000000000001</v>
      </c>
      <c r="R182" s="1">
        <v>70</v>
      </c>
      <c r="S182" s="1">
        <v>117</v>
      </c>
      <c r="T182" s="1">
        <v>149</v>
      </c>
      <c r="U182" s="1">
        <v>1643.317</v>
      </c>
      <c r="V182" s="1">
        <v>403.10399999999998</v>
      </c>
      <c r="W182" s="1">
        <v>752.85199999999998</v>
      </c>
      <c r="X182" s="1">
        <v>132.18100000000001</v>
      </c>
      <c r="Y182" s="1">
        <v>4.9400000000000004</v>
      </c>
      <c r="Z182" s="1">
        <v>8.0150000000000006</v>
      </c>
      <c r="AA182" s="1">
        <v>21.7</v>
      </c>
      <c r="AB182" s="1">
        <v>290.5</v>
      </c>
      <c r="AC182" s="1">
        <v>13783</v>
      </c>
      <c r="AD182" s="1">
        <v>4106</v>
      </c>
      <c r="AE182" s="1">
        <v>268</v>
      </c>
      <c r="AF182" s="1">
        <v>17</v>
      </c>
      <c r="AG182" s="1">
        <v>17</v>
      </c>
      <c r="AH182" s="1">
        <v>27.2</v>
      </c>
      <c r="AI182" s="1">
        <v>58</v>
      </c>
      <c r="AJ182" s="1">
        <v>14.8</v>
      </c>
      <c r="AK182" s="1">
        <v>89.1</v>
      </c>
      <c r="AL182" s="1">
        <v>31.9</v>
      </c>
      <c r="AM182" s="1">
        <v>8</v>
      </c>
      <c r="AN182" s="1">
        <v>0</v>
      </c>
      <c r="AO182" s="1">
        <v>0</v>
      </c>
      <c r="AP182" s="1" t="s">
        <v>270</v>
      </c>
      <c r="AQ182" s="1" t="s">
        <v>267</v>
      </c>
      <c r="AR182" s="1" t="s">
        <v>268</v>
      </c>
    </row>
    <row r="183" spans="1:44" x14ac:dyDescent="0.2">
      <c r="A183" s="1" t="s">
        <v>203</v>
      </c>
      <c r="B183" s="1" t="s">
        <v>265</v>
      </c>
      <c r="C183" s="1">
        <v>-44.1</v>
      </c>
      <c r="D183" s="1">
        <v>452333</v>
      </c>
      <c r="E183" s="1">
        <v>5979940</v>
      </c>
      <c r="F183" s="1">
        <v>0</v>
      </c>
      <c r="G183" s="1">
        <v>-0.7</v>
      </c>
      <c r="H183" s="1">
        <v>0</v>
      </c>
      <c r="I183" s="1">
        <v>2</v>
      </c>
      <c r="J183" s="1">
        <v>0</v>
      </c>
      <c r="K183" s="1">
        <v>-74.8</v>
      </c>
      <c r="L183" s="1">
        <v>30.7</v>
      </c>
      <c r="M183" s="1">
        <v>2033.2829999999999</v>
      </c>
      <c r="N183" s="1">
        <v>100.2</v>
      </c>
      <c r="O183" s="1">
        <v>8</v>
      </c>
      <c r="P183" s="1">
        <v>11</v>
      </c>
      <c r="Q183" s="1">
        <v>2.7273000000000001</v>
      </c>
      <c r="R183" s="1">
        <v>72</v>
      </c>
      <c r="S183" s="1">
        <v>117</v>
      </c>
      <c r="T183" s="1">
        <v>149</v>
      </c>
      <c r="U183" s="1">
        <v>1575.22</v>
      </c>
      <c r="V183" s="1">
        <v>369.25</v>
      </c>
      <c r="W183" s="1">
        <v>752.85199999999998</v>
      </c>
      <c r="X183" s="1">
        <v>132.18100000000001</v>
      </c>
      <c r="Y183" s="1">
        <v>4.9400000000000004</v>
      </c>
      <c r="Z183" s="1">
        <v>8.0150000000000006</v>
      </c>
      <c r="AA183" s="1">
        <v>21.7</v>
      </c>
      <c r="AB183" s="1">
        <v>290.5</v>
      </c>
      <c r="AC183" s="1">
        <v>13559</v>
      </c>
      <c r="AD183" s="1">
        <v>3915</v>
      </c>
      <c r="AE183" s="1">
        <v>268</v>
      </c>
      <c r="AF183" s="1">
        <v>17</v>
      </c>
      <c r="AG183" s="1">
        <v>17</v>
      </c>
      <c r="AH183" s="1">
        <v>29.6</v>
      </c>
      <c r="AI183" s="1">
        <v>54.3</v>
      </c>
      <c r="AJ183" s="1">
        <v>16.100000000000001</v>
      </c>
      <c r="AK183" s="1">
        <v>85.9</v>
      </c>
      <c r="AL183" s="1">
        <v>31.9</v>
      </c>
      <c r="AM183" s="1">
        <v>8</v>
      </c>
      <c r="AN183" s="1">
        <v>0</v>
      </c>
      <c r="AO183" s="1">
        <v>0</v>
      </c>
      <c r="AP183" s="1" t="s">
        <v>270</v>
      </c>
      <c r="AQ183" s="1" t="s">
        <v>267</v>
      </c>
      <c r="AR183" s="1" t="s">
        <v>268</v>
      </c>
    </row>
    <row r="184" spans="1:44" x14ac:dyDescent="0.2">
      <c r="A184" s="1" t="s">
        <v>209</v>
      </c>
      <c r="B184" s="1" t="s">
        <v>265</v>
      </c>
      <c r="C184" s="1">
        <v>-40.799999999999997</v>
      </c>
      <c r="D184" s="1">
        <v>454288.6</v>
      </c>
      <c r="E184" s="1">
        <v>5978410</v>
      </c>
      <c r="F184" s="1">
        <v>0</v>
      </c>
      <c r="G184" s="1">
        <v>-0.7</v>
      </c>
      <c r="H184" s="1">
        <v>0</v>
      </c>
      <c r="I184" s="1">
        <v>2</v>
      </c>
      <c r="J184" s="1">
        <v>0</v>
      </c>
      <c r="K184" s="1">
        <v>-73.8</v>
      </c>
      <c r="L184" s="1">
        <v>33</v>
      </c>
      <c r="M184" s="1">
        <v>1931.7750000000001</v>
      </c>
      <c r="N184" s="1">
        <v>99.2</v>
      </c>
      <c r="O184" s="1">
        <v>8</v>
      </c>
      <c r="P184" s="1">
        <v>11</v>
      </c>
      <c r="Q184" s="1">
        <v>2.9363999999999999</v>
      </c>
      <c r="R184" s="1">
        <v>70</v>
      </c>
      <c r="S184" s="1">
        <v>117</v>
      </c>
      <c r="T184" s="1">
        <v>149</v>
      </c>
      <c r="U184" s="1">
        <v>1575.798</v>
      </c>
      <c r="V184" s="1">
        <v>301.178</v>
      </c>
      <c r="W184" s="1">
        <v>752.85199999999998</v>
      </c>
      <c r="X184" s="1">
        <v>132.18100000000001</v>
      </c>
      <c r="Y184" s="1">
        <v>4.9400000000000004</v>
      </c>
      <c r="Z184" s="1">
        <v>8.0150000000000006</v>
      </c>
      <c r="AA184" s="1">
        <v>21.7</v>
      </c>
      <c r="AB184" s="1">
        <v>290.5</v>
      </c>
      <c r="AC184" s="1">
        <v>13493</v>
      </c>
      <c r="AD184" s="1">
        <v>3690</v>
      </c>
      <c r="AE184" s="1">
        <v>268</v>
      </c>
      <c r="AF184" s="1">
        <v>19</v>
      </c>
      <c r="AG184" s="1">
        <v>19</v>
      </c>
      <c r="AH184" s="1">
        <v>29.7</v>
      </c>
      <c r="AI184" s="1">
        <v>54.1</v>
      </c>
      <c r="AJ184" s="1">
        <v>16.2</v>
      </c>
      <c r="AK184" s="1">
        <v>82.4</v>
      </c>
      <c r="AL184" s="1">
        <v>31.9</v>
      </c>
      <c r="AM184" s="1">
        <v>8</v>
      </c>
      <c r="AN184" s="1">
        <v>0</v>
      </c>
      <c r="AO184" s="1">
        <v>0</v>
      </c>
      <c r="AP184" s="1" t="s">
        <v>270</v>
      </c>
      <c r="AQ184" s="1" t="s">
        <v>267</v>
      </c>
      <c r="AR184" s="1" t="s">
        <v>268</v>
      </c>
    </row>
    <row r="185" spans="1:44" x14ac:dyDescent="0.2">
      <c r="A185" s="1" t="s">
        <v>181</v>
      </c>
      <c r="B185" s="1" t="s">
        <v>265</v>
      </c>
      <c r="C185" s="1">
        <v>-39.799999999999997</v>
      </c>
      <c r="D185" s="1">
        <v>456701</v>
      </c>
      <c r="E185" s="1">
        <v>5977810</v>
      </c>
      <c r="F185" s="1">
        <v>0</v>
      </c>
      <c r="G185" s="1">
        <v>-0.7</v>
      </c>
      <c r="H185" s="1">
        <v>0</v>
      </c>
      <c r="I185" s="1">
        <v>2</v>
      </c>
      <c r="J185" s="1">
        <v>0</v>
      </c>
      <c r="K185" s="1">
        <v>-67.8</v>
      </c>
      <c r="L185" s="1">
        <v>28</v>
      </c>
      <c r="M185" s="1">
        <v>1741.1569999999999</v>
      </c>
      <c r="N185" s="1">
        <v>93.2</v>
      </c>
      <c r="O185" s="1">
        <v>8</v>
      </c>
      <c r="P185" s="1">
        <v>10.5</v>
      </c>
      <c r="Q185" s="1">
        <v>2.6</v>
      </c>
      <c r="R185" s="1">
        <v>72</v>
      </c>
      <c r="S185" s="1">
        <v>112</v>
      </c>
      <c r="T185" s="1">
        <v>146</v>
      </c>
      <c r="U185" s="1">
        <v>1406.2080000000001</v>
      </c>
      <c r="V185" s="1">
        <v>454.161</v>
      </c>
      <c r="W185" s="1">
        <v>752.85199999999998</v>
      </c>
      <c r="X185" s="1">
        <v>132.18100000000001</v>
      </c>
      <c r="Y185" s="1">
        <v>4.9400000000000004</v>
      </c>
      <c r="Z185" s="1">
        <v>8.0150000000000006</v>
      </c>
      <c r="AA185" s="1">
        <v>21.7</v>
      </c>
      <c r="AB185" s="1">
        <v>290.5</v>
      </c>
      <c r="AC185" s="1">
        <v>12937</v>
      </c>
      <c r="AD185" s="1">
        <v>3558</v>
      </c>
      <c r="AE185" s="1">
        <v>268</v>
      </c>
      <c r="AF185" s="1">
        <v>15</v>
      </c>
      <c r="AG185" s="1">
        <v>15</v>
      </c>
      <c r="AH185" s="1">
        <v>32.9</v>
      </c>
      <c r="AI185" s="1">
        <v>52.3</v>
      </c>
      <c r="AJ185" s="1">
        <v>14.8</v>
      </c>
      <c r="AK185" s="1">
        <v>81.8</v>
      </c>
      <c r="AL185" s="1">
        <v>31.9</v>
      </c>
      <c r="AM185" s="1">
        <v>8</v>
      </c>
      <c r="AN185" s="1">
        <v>0</v>
      </c>
      <c r="AO185" s="1">
        <v>0</v>
      </c>
      <c r="AP185" s="1" t="s">
        <v>270</v>
      </c>
      <c r="AQ185" s="1" t="s">
        <v>267</v>
      </c>
      <c r="AR185" s="1" t="s">
        <v>268</v>
      </c>
    </row>
    <row r="186" spans="1:44" x14ac:dyDescent="0.2">
      <c r="A186" s="1" t="s">
        <v>104</v>
      </c>
      <c r="B186" s="1" t="s">
        <v>265</v>
      </c>
      <c r="C186" s="1">
        <v>-36.5</v>
      </c>
      <c r="D186" s="1">
        <v>460529</v>
      </c>
      <c r="E186" s="1">
        <v>5974990</v>
      </c>
      <c r="F186" s="1">
        <v>0</v>
      </c>
      <c r="G186" s="1">
        <v>-0.7</v>
      </c>
      <c r="H186" s="1">
        <v>0</v>
      </c>
      <c r="I186" s="1">
        <v>2</v>
      </c>
      <c r="J186" s="1">
        <v>0</v>
      </c>
      <c r="K186" s="1">
        <v>-62.1</v>
      </c>
      <c r="L186" s="1">
        <v>25.6</v>
      </c>
      <c r="M186" s="1">
        <v>1578.864</v>
      </c>
      <c r="N186" s="1">
        <v>87.5</v>
      </c>
      <c r="O186" s="1">
        <v>8</v>
      </c>
      <c r="P186" s="1">
        <v>10</v>
      </c>
      <c r="Q186" s="1">
        <v>2.4900000000000002</v>
      </c>
      <c r="R186" s="1">
        <v>68</v>
      </c>
      <c r="S186" s="1">
        <v>110</v>
      </c>
      <c r="T186" s="1">
        <v>147</v>
      </c>
      <c r="U186" s="1">
        <v>1295.58</v>
      </c>
      <c r="V186" s="1">
        <v>546.197</v>
      </c>
      <c r="W186" s="1">
        <v>752.85199999999998</v>
      </c>
      <c r="X186" s="1">
        <v>132.18100000000001</v>
      </c>
      <c r="Y186" s="1">
        <v>4.9400000000000004</v>
      </c>
      <c r="Z186" s="1">
        <v>8.0150000000000006</v>
      </c>
      <c r="AA186" s="1">
        <v>21.7</v>
      </c>
      <c r="AB186" s="1">
        <v>290.5</v>
      </c>
      <c r="AC186" s="1">
        <v>12430</v>
      </c>
      <c r="AD186" s="1">
        <v>3280</v>
      </c>
      <c r="AE186" s="1">
        <v>268</v>
      </c>
      <c r="AF186" s="1">
        <v>15</v>
      </c>
      <c r="AG186" s="1">
        <v>15</v>
      </c>
      <c r="AH186" s="1">
        <v>34.6</v>
      </c>
      <c r="AI186" s="1">
        <v>52.1</v>
      </c>
      <c r="AJ186" s="1">
        <v>13.3</v>
      </c>
      <c r="AK186" s="1">
        <v>81.400000000000006</v>
      </c>
      <c r="AL186" s="1">
        <v>31.9</v>
      </c>
      <c r="AM186" s="1">
        <v>8</v>
      </c>
      <c r="AN186" s="1">
        <v>0</v>
      </c>
      <c r="AO186" s="1">
        <v>0</v>
      </c>
      <c r="AP186" s="1" t="s">
        <v>266</v>
      </c>
      <c r="AQ186" s="1" t="s">
        <v>267</v>
      </c>
      <c r="AR186" s="1" t="s">
        <v>268</v>
      </c>
    </row>
    <row r="187" spans="1:44" x14ac:dyDescent="0.2">
      <c r="A187" s="1" t="s">
        <v>80</v>
      </c>
      <c r="B187" s="1" t="s">
        <v>265</v>
      </c>
      <c r="C187" s="1">
        <v>-36.799999999999997</v>
      </c>
      <c r="D187" s="1">
        <v>463640.7</v>
      </c>
      <c r="E187" s="1">
        <v>5973330</v>
      </c>
      <c r="F187" s="1">
        <v>0</v>
      </c>
      <c r="G187" s="1">
        <v>-0.7</v>
      </c>
      <c r="H187" s="1">
        <v>0</v>
      </c>
      <c r="I187" s="1">
        <v>2</v>
      </c>
      <c r="J187" s="1">
        <v>0</v>
      </c>
      <c r="K187" s="1">
        <v>-63.7</v>
      </c>
      <c r="L187" s="1">
        <v>26.9</v>
      </c>
      <c r="M187" s="1">
        <v>1647.51</v>
      </c>
      <c r="N187" s="1">
        <v>89.1</v>
      </c>
      <c r="O187" s="1">
        <v>8</v>
      </c>
      <c r="P187" s="1">
        <v>10</v>
      </c>
      <c r="Q187" s="1">
        <v>2.62</v>
      </c>
      <c r="R187" s="1">
        <v>68</v>
      </c>
      <c r="S187" s="1">
        <v>110</v>
      </c>
      <c r="T187" s="1">
        <v>147</v>
      </c>
      <c r="U187" s="1">
        <v>1295.3920000000001</v>
      </c>
      <c r="V187" s="1">
        <v>458.69799999999998</v>
      </c>
      <c r="W187" s="1">
        <v>752.85199999999998</v>
      </c>
      <c r="X187" s="1">
        <v>132.18100000000001</v>
      </c>
      <c r="Y187" s="1">
        <v>4.9400000000000004</v>
      </c>
      <c r="Z187" s="1">
        <v>8.0150000000000006</v>
      </c>
      <c r="AA187" s="1">
        <v>21.7</v>
      </c>
      <c r="AB187" s="1">
        <v>290.5</v>
      </c>
      <c r="AC187" s="1">
        <v>12528</v>
      </c>
      <c r="AD187" s="1">
        <v>3298</v>
      </c>
      <c r="AE187" s="1">
        <v>268</v>
      </c>
      <c r="AF187" s="1">
        <v>15</v>
      </c>
      <c r="AG187" s="1">
        <v>15</v>
      </c>
      <c r="AH187" s="1">
        <v>33.200000000000003</v>
      </c>
      <c r="AI187" s="1">
        <v>53.8</v>
      </c>
      <c r="AJ187" s="1">
        <v>12.9</v>
      </c>
      <c r="AK187" s="1">
        <v>83.1</v>
      </c>
      <c r="AL187" s="1">
        <v>31.9</v>
      </c>
      <c r="AM187" s="1">
        <v>8</v>
      </c>
      <c r="AN187" s="1">
        <v>0</v>
      </c>
      <c r="AO187" s="1">
        <v>0</v>
      </c>
      <c r="AP187" s="1" t="s">
        <v>266</v>
      </c>
      <c r="AQ187" s="1" t="s">
        <v>267</v>
      </c>
      <c r="AR187" s="1" t="s">
        <v>268</v>
      </c>
    </row>
    <row r="188" spans="1:44" x14ac:dyDescent="0.2">
      <c r="A188" s="1" t="s">
        <v>93</v>
      </c>
      <c r="B188" s="1" t="s">
        <v>265</v>
      </c>
      <c r="C188" s="1">
        <v>-36.700000000000003</v>
      </c>
      <c r="D188" s="1">
        <v>466239</v>
      </c>
      <c r="E188" s="1">
        <v>5972619</v>
      </c>
      <c r="F188" s="1">
        <v>0</v>
      </c>
      <c r="G188" s="1">
        <v>-0.7</v>
      </c>
      <c r="H188" s="1">
        <v>0</v>
      </c>
      <c r="I188" s="1">
        <v>2</v>
      </c>
      <c r="J188" s="1">
        <v>0</v>
      </c>
      <c r="K188" s="1">
        <v>-62.8</v>
      </c>
      <c r="L188" s="1">
        <v>26.1</v>
      </c>
      <c r="M188" s="1">
        <v>1610.481</v>
      </c>
      <c r="N188" s="1">
        <v>88.2</v>
      </c>
      <c r="O188" s="1">
        <v>8</v>
      </c>
      <c r="P188" s="1">
        <v>10</v>
      </c>
      <c r="Q188" s="1">
        <v>2.54</v>
      </c>
      <c r="R188" s="1">
        <v>68</v>
      </c>
      <c r="S188" s="1">
        <v>110</v>
      </c>
      <c r="T188" s="1">
        <v>147</v>
      </c>
      <c r="U188" s="1">
        <v>1295.48</v>
      </c>
      <c r="V188" s="1">
        <v>484.33300000000003</v>
      </c>
      <c r="W188" s="1">
        <v>752.85199999999998</v>
      </c>
      <c r="X188" s="1">
        <v>132.18100000000001</v>
      </c>
      <c r="Y188" s="1">
        <v>4.9400000000000004</v>
      </c>
      <c r="Z188" s="1">
        <v>8.0150000000000006</v>
      </c>
      <c r="AA188" s="1">
        <v>21.7</v>
      </c>
      <c r="AB188" s="1">
        <v>290.5</v>
      </c>
      <c r="AC188" s="1">
        <v>12473</v>
      </c>
      <c r="AD188" s="1">
        <v>3292</v>
      </c>
      <c r="AE188" s="1">
        <v>268</v>
      </c>
      <c r="AF188" s="1">
        <v>15</v>
      </c>
      <c r="AG188" s="1">
        <v>15</v>
      </c>
      <c r="AH188" s="1">
        <v>34</v>
      </c>
      <c r="AI188" s="1">
        <v>52.7</v>
      </c>
      <c r="AJ188" s="1">
        <v>13.2</v>
      </c>
      <c r="AK188" s="1">
        <v>82.2</v>
      </c>
      <c r="AL188" s="1">
        <v>31.9</v>
      </c>
      <c r="AM188" s="1">
        <v>8</v>
      </c>
      <c r="AN188" s="1">
        <v>0</v>
      </c>
      <c r="AO188" s="1">
        <v>0</v>
      </c>
      <c r="AP188" s="1" t="s">
        <v>266</v>
      </c>
      <c r="AQ188" s="1" t="s">
        <v>267</v>
      </c>
      <c r="AR188" s="1" t="s">
        <v>268</v>
      </c>
    </row>
    <row r="189" spans="1:44" x14ac:dyDescent="0.2">
      <c r="A189" s="1" t="s">
        <v>78</v>
      </c>
      <c r="B189" s="1" t="s">
        <v>265</v>
      </c>
      <c r="C189" s="1">
        <v>-37.299999999999997</v>
      </c>
      <c r="D189" s="1">
        <v>468664.1</v>
      </c>
      <c r="E189" s="1">
        <v>5972040</v>
      </c>
      <c r="F189" s="1">
        <v>0</v>
      </c>
      <c r="G189" s="1">
        <v>-0.6</v>
      </c>
      <c r="H189" s="1">
        <v>0</v>
      </c>
      <c r="I189" s="1">
        <v>2</v>
      </c>
      <c r="J189" s="1">
        <v>0</v>
      </c>
      <c r="K189" s="1">
        <v>-63.3</v>
      </c>
      <c r="L189" s="1">
        <v>26</v>
      </c>
      <c r="M189" s="1">
        <v>1636.0039999999999</v>
      </c>
      <c r="N189" s="1">
        <v>88.7</v>
      </c>
      <c r="O189" s="1">
        <v>8</v>
      </c>
      <c r="P189" s="1">
        <v>10</v>
      </c>
      <c r="Q189" s="1">
        <v>2.54</v>
      </c>
      <c r="R189" s="1">
        <v>68</v>
      </c>
      <c r="S189" s="1">
        <v>110</v>
      </c>
      <c r="T189" s="1">
        <v>147</v>
      </c>
      <c r="U189" s="1">
        <v>1357.7339999999999</v>
      </c>
      <c r="V189" s="1">
        <v>452.90499999999997</v>
      </c>
      <c r="W189" s="1">
        <v>752.85199999999998</v>
      </c>
      <c r="X189" s="1">
        <v>132.18100000000001</v>
      </c>
      <c r="Y189" s="1">
        <v>4.9400000000000004</v>
      </c>
      <c r="Z189" s="1">
        <v>8.0150000000000006</v>
      </c>
      <c r="AA189" s="1">
        <v>21.7</v>
      </c>
      <c r="AB189" s="1">
        <v>290.5</v>
      </c>
      <c r="AC189" s="1">
        <v>12503</v>
      </c>
      <c r="AD189" s="1">
        <v>3329</v>
      </c>
      <c r="AE189" s="1">
        <v>268</v>
      </c>
      <c r="AF189" s="1">
        <v>15</v>
      </c>
      <c r="AG189" s="1">
        <v>15</v>
      </c>
      <c r="AH189" s="1">
        <v>33.5</v>
      </c>
      <c r="AI189" s="1">
        <v>53.5</v>
      </c>
      <c r="AJ189" s="1">
        <v>13</v>
      </c>
      <c r="AK189" s="1">
        <v>83</v>
      </c>
      <c r="AL189" s="1">
        <v>31.9</v>
      </c>
      <c r="AM189" s="1">
        <v>8</v>
      </c>
      <c r="AN189" s="1">
        <v>0</v>
      </c>
      <c r="AO189" s="1">
        <v>0</v>
      </c>
      <c r="AP189" s="1" t="s">
        <v>266</v>
      </c>
      <c r="AQ189" s="1" t="s">
        <v>267</v>
      </c>
      <c r="AR189" s="1" t="s">
        <v>268</v>
      </c>
    </row>
    <row r="190" spans="1:44" x14ac:dyDescent="0.2">
      <c r="A190" s="1" t="s">
        <v>100</v>
      </c>
      <c r="B190" s="1" t="s">
        <v>265</v>
      </c>
      <c r="C190" s="1">
        <v>-34.5</v>
      </c>
      <c r="D190" s="1">
        <v>468816.3</v>
      </c>
      <c r="E190" s="1">
        <v>5975125.7999999998</v>
      </c>
      <c r="F190" s="1">
        <v>0</v>
      </c>
      <c r="G190" s="1">
        <v>-0.6</v>
      </c>
      <c r="H190" s="1">
        <v>0</v>
      </c>
      <c r="I190" s="1">
        <v>2</v>
      </c>
      <c r="J190" s="1">
        <v>0</v>
      </c>
      <c r="K190" s="1">
        <v>-62.9</v>
      </c>
      <c r="L190" s="1">
        <v>28.4</v>
      </c>
      <c r="M190" s="1">
        <v>1559.289</v>
      </c>
      <c r="N190" s="1">
        <v>88.3</v>
      </c>
      <c r="O190" s="1">
        <v>8</v>
      </c>
      <c r="P190" s="1">
        <v>10</v>
      </c>
      <c r="Q190" s="1">
        <v>2.78</v>
      </c>
      <c r="R190" s="1">
        <v>68</v>
      </c>
      <c r="S190" s="1">
        <v>110</v>
      </c>
      <c r="T190" s="1">
        <v>147</v>
      </c>
      <c r="U190" s="1">
        <v>1358.173</v>
      </c>
      <c r="V190" s="1">
        <v>553.30999999999995</v>
      </c>
      <c r="W190" s="1">
        <v>752.85199999999998</v>
      </c>
      <c r="X190" s="1">
        <v>132.18100000000001</v>
      </c>
      <c r="Y190" s="1">
        <v>4.9400000000000004</v>
      </c>
      <c r="Z190" s="1">
        <v>8.0150000000000006</v>
      </c>
      <c r="AA190" s="1">
        <v>21.7</v>
      </c>
      <c r="AB190" s="1">
        <v>290.5</v>
      </c>
      <c r="AC190" s="1">
        <v>12480</v>
      </c>
      <c r="AD190" s="1">
        <v>3156</v>
      </c>
      <c r="AE190" s="1">
        <v>268</v>
      </c>
      <c r="AF190" s="1">
        <v>15</v>
      </c>
      <c r="AG190" s="1">
        <v>15</v>
      </c>
      <c r="AH190" s="1">
        <v>34.799999999999997</v>
      </c>
      <c r="AI190" s="1">
        <v>52</v>
      </c>
      <c r="AJ190" s="1">
        <v>13.2</v>
      </c>
      <c r="AK190" s="1">
        <v>79.7</v>
      </c>
      <c r="AL190" s="1">
        <v>31.9</v>
      </c>
      <c r="AM190" s="1">
        <v>8</v>
      </c>
      <c r="AN190" s="1">
        <v>0</v>
      </c>
      <c r="AO190" s="1">
        <v>0</v>
      </c>
      <c r="AP190" s="1" t="s">
        <v>266</v>
      </c>
      <c r="AQ190" s="1" t="s">
        <v>267</v>
      </c>
      <c r="AR190" s="1" t="s">
        <v>268</v>
      </c>
    </row>
    <row r="191" spans="1:44" x14ac:dyDescent="0.2">
      <c r="A191" s="1" t="s">
        <v>69</v>
      </c>
      <c r="B191" s="1" t="s">
        <v>265</v>
      </c>
      <c r="C191" s="1">
        <v>-38.4</v>
      </c>
      <c r="D191" s="1">
        <v>470347</v>
      </c>
      <c r="E191" s="1">
        <v>5975940</v>
      </c>
      <c r="F191" s="1">
        <v>0</v>
      </c>
      <c r="G191" s="1">
        <v>-0.6</v>
      </c>
      <c r="H191" s="1">
        <v>0</v>
      </c>
      <c r="I191" s="1">
        <v>2</v>
      </c>
      <c r="J191" s="1">
        <v>0</v>
      </c>
      <c r="K191" s="1">
        <v>-63.6</v>
      </c>
      <c r="L191" s="1">
        <v>25.2</v>
      </c>
      <c r="M191" s="1">
        <v>1662.922</v>
      </c>
      <c r="N191" s="1">
        <v>89</v>
      </c>
      <c r="O191" s="1">
        <v>8</v>
      </c>
      <c r="P191" s="1">
        <v>10</v>
      </c>
      <c r="Q191" s="1">
        <v>2.46</v>
      </c>
      <c r="R191" s="1">
        <v>68</v>
      </c>
      <c r="S191" s="1">
        <v>110</v>
      </c>
      <c r="T191" s="1">
        <v>147</v>
      </c>
      <c r="U191" s="1">
        <v>1295.279</v>
      </c>
      <c r="V191" s="1">
        <v>483.80500000000001</v>
      </c>
      <c r="W191" s="1">
        <v>752.85199999999998</v>
      </c>
      <c r="X191" s="1">
        <v>132.18100000000001</v>
      </c>
      <c r="Y191" s="1">
        <v>4.9400000000000004</v>
      </c>
      <c r="Z191" s="1">
        <v>8.0150000000000006</v>
      </c>
      <c r="AA191" s="1">
        <v>21.7</v>
      </c>
      <c r="AB191" s="1">
        <v>290.5</v>
      </c>
      <c r="AC191" s="1">
        <v>12522</v>
      </c>
      <c r="AD191" s="1">
        <v>3397</v>
      </c>
      <c r="AE191" s="1">
        <v>268</v>
      </c>
      <c r="AF191" s="1">
        <v>15</v>
      </c>
      <c r="AG191" s="1">
        <v>15</v>
      </c>
      <c r="AH191" s="1">
        <v>32.9</v>
      </c>
      <c r="AI191" s="1">
        <v>54.1</v>
      </c>
      <c r="AJ191" s="1">
        <v>12.9</v>
      </c>
      <c r="AK191" s="1">
        <v>83.9</v>
      </c>
      <c r="AL191" s="1">
        <v>31.9</v>
      </c>
      <c r="AM191" s="1">
        <v>8</v>
      </c>
      <c r="AN191" s="1">
        <v>0</v>
      </c>
      <c r="AO191" s="1">
        <v>0</v>
      </c>
      <c r="AP191" s="1" t="s">
        <v>266</v>
      </c>
      <c r="AQ191" s="1" t="s">
        <v>267</v>
      </c>
      <c r="AR191" s="1" t="s">
        <v>268</v>
      </c>
    </row>
    <row r="192" spans="1:44" x14ac:dyDescent="0.2">
      <c r="A192" s="1" t="s">
        <v>16</v>
      </c>
      <c r="B192" s="1" t="s">
        <v>271</v>
      </c>
      <c r="C192" s="1">
        <v>-36.700000000000003</v>
      </c>
      <c r="D192" s="1">
        <v>471760</v>
      </c>
      <c r="E192" s="1">
        <v>5975245</v>
      </c>
      <c r="F192" s="1">
        <v>0</v>
      </c>
      <c r="G192" s="1">
        <v>-0.7</v>
      </c>
      <c r="H192" s="1">
        <v>0</v>
      </c>
      <c r="I192" s="1">
        <v>2</v>
      </c>
      <c r="J192" s="1">
        <v>0</v>
      </c>
      <c r="K192" s="1">
        <v>-71.099999999999994</v>
      </c>
      <c r="L192" s="1">
        <v>34.4</v>
      </c>
      <c r="M192" s="1">
        <v>1822.8019999999999</v>
      </c>
      <c r="N192" s="1">
        <v>96.5</v>
      </c>
      <c r="O192" s="1">
        <v>8</v>
      </c>
      <c r="P192" s="1">
        <v>10</v>
      </c>
      <c r="Q192" s="1">
        <v>3.37</v>
      </c>
      <c r="R192" s="1">
        <v>68</v>
      </c>
      <c r="S192" s="1">
        <v>110</v>
      </c>
      <c r="T192" s="1">
        <v>147</v>
      </c>
      <c r="U192" s="1">
        <v>1419.837</v>
      </c>
      <c r="V192" s="1">
        <v>489.51</v>
      </c>
      <c r="W192" s="1">
        <v>752.85199999999998</v>
      </c>
      <c r="X192" s="1">
        <v>132.18100000000001</v>
      </c>
      <c r="Y192" s="1">
        <v>4.9400000000000004</v>
      </c>
      <c r="Z192" s="1">
        <v>8.0150000000000006</v>
      </c>
      <c r="AA192" s="1">
        <v>21.7</v>
      </c>
      <c r="AB192" s="1">
        <v>290.5</v>
      </c>
      <c r="AC192" s="1">
        <v>12989</v>
      </c>
      <c r="AD192" s="1">
        <v>3291</v>
      </c>
      <c r="AE192" s="1">
        <v>268</v>
      </c>
      <c r="AF192" s="1">
        <v>19</v>
      </c>
      <c r="AG192" s="1">
        <v>19</v>
      </c>
      <c r="AH192" s="1">
        <v>30</v>
      </c>
      <c r="AI192" s="1">
        <v>58.2</v>
      </c>
      <c r="AJ192" s="1">
        <v>11.8</v>
      </c>
      <c r="AK192" s="1">
        <v>84.2</v>
      </c>
      <c r="AL192" s="1">
        <v>31.9</v>
      </c>
      <c r="AM192" s="1">
        <v>8</v>
      </c>
      <c r="AN192" s="1">
        <v>0</v>
      </c>
      <c r="AO192" s="1">
        <v>0</v>
      </c>
      <c r="AP192" s="1" t="s">
        <v>266</v>
      </c>
      <c r="AQ192" s="1" t="s">
        <v>267</v>
      </c>
      <c r="AR192" s="1" t="s">
        <v>268</v>
      </c>
    </row>
    <row r="193" spans="1:44" x14ac:dyDescent="0.2">
      <c r="A193" s="1" t="s">
        <v>54</v>
      </c>
      <c r="B193" s="1" t="s">
        <v>265</v>
      </c>
      <c r="C193" s="1">
        <v>-37.4</v>
      </c>
      <c r="D193" s="1">
        <v>449575.5</v>
      </c>
      <c r="E193" s="1">
        <v>5979545.4000000004</v>
      </c>
      <c r="F193" s="1">
        <v>0</v>
      </c>
      <c r="G193" s="1">
        <v>-0.7</v>
      </c>
      <c r="H193" s="1">
        <v>0</v>
      </c>
      <c r="I193" s="1">
        <v>2</v>
      </c>
      <c r="J193" s="1">
        <v>0</v>
      </c>
      <c r="K193" s="1">
        <v>-64.5</v>
      </c>
      <c r="L193" s="1">
        <v>27.1</v>
      </c>
      <c r="M193" s="1">
        <v>1677.104</v>
      </c>
      <c r="N193" s="1">
        <v>89.9</v>
      </c>
      <c r="O193" s="1">
        <v>8</v>
      </c>
      <c r="P193" s="1">
        <v>10</v>
      </c>
      <c r="Q193" s="1">
        <v>2.64</v>
      </c>
      <c r="R193" s="1">
        <v>68</v>
      </c>
      <c r="S193" s="1">
        <v>110</v>
      </c>
      <c r="T193" s="1">
        <v>147</v>
      </c>
      <c r="U193" s="1">
        <v>1357.595</v>
      </c>
      <c r="V193" s="1">
        <v>427.709</v>
      </c>
      <c r="W193" s="1">
        <v>752.85199999999998</v>
      </c>
      <c r="X193" s="1">
        <v>132.18100000000001</v>
      </c>
      <c r="Y193" s="1">
        <v>4.9400000000000004</v>
      </c>
      <c r="Z193" s="1">
        <v>8.0150000000000006</v>
      </c>
      <c r="AA193" s="1">
        <v>21.7</v>
      </c>
      <c r="AB193" s="1">
        <v>290.5</v>
      </c>
      <c r="AC193" s="1">
        <v>12578</v>
      </c>
      <c r="AD193" s="1">
        <v>3335</v>
      </c>
      <c r="AE193" s="1">
        <v>268</v>
      </c>
      <c r="AF193" s="1">
        <v>15</v>
      </c>
      <c r="AG193" s="1">
        <v>15</v>
      </c>
      <c r="AH193" s="1">
        <v>32.799999999999997</v>
      </c>
      <c r="AI193" s="1">
        <v>54.3</v>
      </c>
      <c r="AJ193" s="1">
        <v>12.9</v>
      </c>
      <c r="AK193" s="1">
        <v>83.8</v>
      </c>
      <c r="AL193" s="1">
        <v>31.9</v>
      </c>
      <c r="AM193" s="1">
        <v>8</v>
      </c>
      <c r="AN193" s="1">
        <v>0</v>
      </c>
      <c r="AO193" s="1">
        <v>0</v>
      </c>
      <c r="AP193" s="1" t="s">
        <v>266</v>
      </c>
      <c r="AQ193" s="1" t="s">
        <v>267</v>
      </c>
      <c r="AR193" s="1" t="s">
        <v>268</v>
      </c>
    </row>
    <row r="194" spans="1:44" x14ac:dyDescent="0.2">
      <c r="A194" s="1" t="s">
        <v>194</v>
      </c>
      <c r="B194" s="1" t="s">
        <v>265</v>
      </c>
      <c r="C194" s="1">
        <v>-46.6</v>
      </c>
      <c r="D194" s="1">
        <v>453391</v>
      </c>
      <c r="E194" s="1">
        <v>5979850</v>
      </c>
      <c r="F194" s="1">
        <v>0</v>
      </c>
      <c r="G194" s="1">
        <v>-0.7</v>
      </c>
      <c r="H194" s="1">
        <v>0</v>
      </c>
      <c r="I194" s="1">
        <v>2</v>
      </c>
      <c r="J194" s="1">
        <v>0</v>
      </c>
      <c r="K194" s="1">
        <v>-78.8</v>
      </c>
      <c r="L194" s="1">
        <v>32.200000000000003</v>
      </c>
      <c r="M194" s="1">
        <v>2224.1889999999999</v>
      </c>
      <c r="N194" s="1">
        <v>104.2</v>
      </c>
      <c r="O194" s="1">
        <v>8</v>
      </c>
      <c r="P194" s="1">
        <v>11</v>
      </c>
      <c r="Q194" s="1">
        <v>2.8635999999999999</v>
      </c>
      <c r="R194" s="1">
        <v>70</v>
      </c>
      <c r="S194" s="1">
        <v>117</v>
      </c>
      <c r="T194" s="1">
        <v>149</v>
      </c>
      <c r="U194" s="1">
        <v>1643.2670000000001</v>
      </c>
      <c r="V194" s="1">
        <v>403.10399999999998</v>
      </c>
      <c r="W194" s="1">
        <v>752.85199999999998</v>
      </c>
      <c r="X194" s="1">
        <v>132.18100000000001</v>
      </c>
      <c r="Y194" s="1">
        <v>4.9400000000000004</v>
      </c>
      <c r="Z194" s="1">
        <v>8.0150000000000006</v>
      </c>
      <c r="AA194" s="1">
        <v>21.7</v>
      </c>
      <c r="AB194" s="1">
        <v>290.5</v>
      </c>
      <c r="AC194" s="1">
        <v>13831</v>
      </c>
      <c r="AD194" s="1">
        <v>4086</v>
      </c>
      <c r="AE194" s="1">
        <v>268</v>
      </c>
      <c r="AF194" s="1">
        <v>17</v>
      </c>
      <c r="AG194" s="1">
        <v>17</v>
      </c>
      <c r="AH194" s="1">
        <v>26.6</v>
      </c>
      <c r="AI194" s="1">
        <v>58.9</v>
      </c>
      <c r="AJ194" s="1">
        <v>14.6</v>
      </c>
      <c r="AK194" s="1">
        <v>89.3</v>
      </c>
      <c r="AL194" s="1">
        <v>31.9</v>
      </c>
      <c r="AM194" s="1">
        <v>8</v>
      </c>
      <c r="AN194" s="1">
        <v>0</v>
      </c>
      <c r="AO194" s="1">
        <v>0</v>
      </c>
      <c r="AP194" s="1" t="s">
        <v>270</v>
      </c>
      <c r="AQ194" s="1" t="s">
        <v>267</v>
      </c>
      <c r="AR194" s="1" t="s">
        <v>268</v>
      </c>
    </row>
    <row r="195" spans="1:44" x14ac:dyDescent="0.2">
      <c r="A195" s="1" t="s">
        <v>9</v>
      </c>
      <c r="B195" s="1" t="s">
        <v>265</v>
      </c>
      <c r="C195" s="1">
        <v>-47.9</v>
      </c>
      <c r="D195" s="1">
        <v>454519.4</v>
      </c>
      <c r="E195" s="1">
        <v>5979707.2999999998</v>
      </c>
      <c r="F195" s="1">
        <v>0</v>
      </c>
      <c r="G195" s="1">
        <v>-0.7</v>
      </c>
      <c r="H195" s="1">
        <v>0</v>
      </c>
      <c r="I195" s="1">
        <v>2</v>
      </c>
      <c r="J195" s="1">
        <v>0</v>
      </c>
      <c r="K195" s="1">
        <v>-79.599999999999994</v>
      </c>
      <c r="L195" s="1">
        <v>31.7</v>
      </c>
      <c r="M195" s="1">
        <v>2258.44</v>
      </c>
      <c r="N195" s="1">
        <v>105</v>
      </c>
      <c r="O195" s="1">
        <v>8</v>
      </c>
      <c r="P195" s="1">
        <v>11</v>
      </c>
      <c r="Q195" s="1">
        <v>2.8182</v>
      </c>
      <c r="R195" s="1">
        <v>72</v>
      </c>
      <c r="S195" s="1">
        <v>117</v>
      </c>
      <c r="T195" s="1">
        <v>149</v>
      </c>
      <c r="U195" s="1">
        <v>1643.153</v>
      </c>
      <c r="V195" s="1">
        <v>369.21300000000002</v>
      </c>
      <c r="W195" s="1">
        <v>752.85199999999998</v>
      </c>
      <c r="X195" s="1">
        <v>132.18100000000001</v>
      </c>
      <c r="Y195" s="1">
        <v>4.9400000000000004</v>
      </c>
      <c r="Z195" s="1">
        <v>8.0150000000000006</v>
      </c>
      <c r="AA195" s="1">
        <v>21.7</v>
      </c>
      <c r="AB195" s="1">
        <v>290.5</v>
      </c>
      <c r="AC195" s="1">
        <v>13885</v>
      </c>
      <c r="AD195" s="1">
        <v>4175</v>
      </c>
      <c r="AE195" s="1">
        <v>268</v>
      </c>
      <c r="AF195" s="1">
        <v>17</v>
      </c>
      <c r="AG195" s="1">
        <v>17</v>
      </c>
      <c r="AH195" s="1">
        <v>26.5</v>
      </c>
      <c r="AI195" s="1">
        <v>59</v>
      </c>
      <c r="AJ195" s="1">
        <v>14.5</v>
      </c>
      <c r="AK195" s="1">
        <v>89.9</v>
      </c>
      <c r="AL195" s="1">
        <v>31.9</v>
      </c>
      <c r="AM195" s="1">
        <v>8</v>
      </c>
      <c r="AN195" s="1">
        <v>0</v>
      </c>
      <c r="AO195" s="1">
        <v>0</v>
      </c>
      <c r="AP195" s="1" t="s">
        <v>270</v>
      </c>
      <c r="AQ195" s="1" t="s">
        <v>267</v>
      </c>
      <c r="AR195" s="1" t="s">
        <v>268</v>
      </c>
    </row>
    <row r="196" spans="1:44" x14ac:dyDescent="0.2">
      <c r="A196" s="1" t="s">
        <v>195</v>
      </c>
      <c r="B196" s="1" t="s">
        <v>265</v>
      </c>
      <c r="C196" s="1">
        <v>-45.3</v>
      </c>
      <c r="D196" s="1">
        <v>455740</v>
      </c>
      <c r="E196" s="1">
        <v>5979350</v>
      </c>
      <c r="F196" s="1">
        <v>0</v>
      </c>
      <c r="G196" s="1">
        <v>-0.7</v>
      </c>
      <c r="H196" s="1">
        <v>0</v>
      </c>
      <c r="I196" s="1">
        <v>2</v>
      </c>
      <c r="J196" s="1">
        <v>0</v>
      </c>
      <c r="K196" s="1">
        <v>-79.099999999999994</v>
      </c>
      <c r="L196" s="1">
        <v>33.799999999999997</v>
      </c>
      <c r="M196" s="1">
        <v>2201.9459999999999</v>
      </c>
      <c r="N196" s="1">
        <v>104.5</v>
      </c>
      <c r="O196" s="1">
        <v>8</v>
      </c>
      <c r="P196" s="1">
        <v>11</v>
      </c>
      <c r="Q196" s="1">
        <v>3.0091000000000001</v>
      </c>
      <c r="R196" s="1">
        <v>70</v>
      </c>
      <c r="S196" s="1">
        <v>117</v>
      </c>
      <c r="T196" s="1">
        <v>149</v>
      </c>
      <c r="U196" s="1">
        <v>1643.4169999999999</v>
      </c>
      <c r="V196" s="1">
        <v>369.125</v>
      </c>
      <c r="W196" s="1">
        <v>752.85199999999998</v>
      </c>
      <c r="X196" s="1">
        <v>132.18100000000001</v>
      </c>
      <c r="Y196" s="1">
        <v>4.9400000000000004</v>
      </c>
      <c r="Z196" s="1">
        <v>8.0150000000000006</v>
      </c>
      <c r="AA196" s="1">
        <v>21.7</v>
      </c>
      <c r="AB196" s="1">
        <v>290.5</v>
      </c>
      <c r="AC196" s="1">
        <v>13852</v>
      </c>
      <c r="AD196" s="1">
        <v>3997</v>
      </c>
      <c r="AE196" s="1">
        <v>268</v>
      </c>
      <c r="AF196" s="1">
        <v>19</v>
      </c>
      <c r="AG196" s="1">
        <v>19</v>
      </c>
      <c r="AH196" s="1">
        <v>27</v>
      </c>
      <c r="AI196" s="1">
        <v>58.2</v>
      </c>
      <c r="AJ196" s="1">
        <v>14.8</v>
      </c>
      <c r="AK196" s="1">
        <v>88.3</v>
      </c>
      <c r="AL196" s="1">
        <v>31.9</v>
      </c>
      <c r="AM196" s="1">
        <v>8</v>
      </c>
      <c r="AN196" s="1">
        <v>0</v>
      </c>
      <c r="AO196" s="1">
        <v>0</v>
      </c>
      <c r="AP196" s="1" t="s">
        <v>270</v>
      </c>
      <c r="AQ196" s="1" t="s">
        <v>267</v>
      </c>
      <c r="AR196" s="1" t="s">
        <v>268</v>
      </c>
    </row>
    <row r="197" spans="1:44" x14ac:dyDescent="0.2">
      <c r="A197" s="1" t="s">
        <v>191</v>
      </c>
      <c r="B197" s="1" t="s">
        <v>265</v>
      </c>
      <c r="C197" s="1">
        <v>-47.9</v>
      </c>
      <c r="D197" s="1">
        <v>456904.3</v>
      </c>
      <c r="E197" s="1">
        <v>5979110.2000000002</v>
      </c>
      <c r="F197" s="1">
        <v>0</v>
      </c>
      <c r="G197" s="1">
        <v>-0.6</v>
      </c>
      <c r="H197" s="1">
        <v>0</v>
      </c>
      <c r="I197" s="1">
        <v>2</v>
      </c>
      <c r="J197" s="1">
        <v>0</v>
      </c>
      <c r="K197" s="1">
        <v>-81.7</v>
      </c>
      <c r="L197" s="1">
        <v>33.799999999999997</v>
      </c>
      <c r="M197" s="1">
        <v>2346.0909999999999</v>
      </c>
      <c r="N197" s="1">
        <v>107.1</v>
      </c>
      <c r="O197" s="1">
        <v>8</v>
      </c>
      <c r="P197" s="1">
        <v>11</v>
      </c>
      <c r="Q197" s="1">
        <v>3.0182000000000002</v>
      </c>
      <c r="R197" s="1">
        <v>70</v>
      </c>
      <c r="S197" s="1">
        <v>117</v>
      </c>
      <c r="T197" s="1">
        <v>149</v>
      </c>
      <c r="U197" s="1">
        <v>1711.489</v>
      </c>
      <c r="V197" s="1">
        <v>403.06599999999997</v>
      </c>
      <c r="W197" s="1">
        <v>752.85199999999998</v>
      </c>
      <c r="X197" s="1">
        <v>132.18100000000001</v>
      </c>
      <c r="Y197" s="1">
        <v>4.9400000000000004</v>
      </c>
      <c r="Z197" s="1">
        <v>8.0150000000000006</v>
      </c>
      <c r="AA197" s="1">
        <v>21.7</v>
      </c>
      <c r="AB197" s="1">
        <v>290.5</v>
      </c>
      <c r="AC197" s="1">
        <v>14029</v>
      </c>
      <c r="AD197" s="1">
        <v>4174</v>
      </c>
      <c r="AE197" s="1">
        <v>268</v>
      </c>
      <c r="AF197" s="1">
        <v>19</v>
      </c>
      <c r="AG197" s="1">
        <v>19</v>
      </c>
      <c r="AH197" s="1">
        <v>25.1</v>
      </c>
      <c r="AI197" s="1">
        <v>61.1</v>
      </c>
      <c r="AJ197" s="1">
        <v>13.7</v>
      </c>
      <c r="AK197" s="1">
        <v>91.1</v>
      </c>
      <c r="AL197" s="1">
        <v>31.9</v>
      </c>
      <c r="AM197" s="1">
        <v>8</v>
      </c>
      <c r="AN197" s="1">
        <v>0</v>
      </c>
      <c r="AO197" s="1">
        <v>0</v>
      </c>
      <c r="AP197" s="1" t="s">
        <v>270</v>
      </c>
      <c r="AQ197" s="1" t="s">
        <v>267</v>
      </c>
      <c r="AR197" s="1" t="s">
        <v>268</v>
      </c>
    </row>
    <row r="198" spans="1:44" x14ac:dyDescent="0.2">
      <c r="A198" s="1" t="s">
        <v>20</v>
      </c>
      <c r="B198" s="1" t="s">
        <v>265</v>
      </c>
      <c r="C198" s="1">
        <v>-37.200000000000003</v>
      </c>
      <c r="D198" s="1">
        <v>459587</v>
      </c>
      <c r="E198" s="1">
        <v>5976500</v>
      </c>
      <c r="F198" s="1">
        <v>0</v>
      </c>
      <c r="G198" s="1">
        <v>-0.6</v>
      </c>
      <c r="H198" s="1">
        <v>0</v>
      </c>
      <c r="I198" s="1">
        <v>2</v>
      </c>
      <c r="J198" s="1">
        <v>0</v>
      </c>
      <c r="K198" s="1">
        <v>-67.7</v>
      </c>
      <c r="L198" s="1">
        <v>30.5</v>
      </c>
      <c r="M198" s="1">
        <v>1732.3879999999999</v>
      </c>
      <c r="N198" s="1">
        <v>93.1</v>
      </c>
      <c r="O198" s="1">
        <v>8</v>
      </c>
      <c r="P198" s="1">
        <v>10</v>
      </c>
      <c r="Q198" s="1">
        <v>2.99</v>
      </c>
      <c r="R198" s="1">
        <v>68</v>
      </c>
      <c r="S198" s="1">
        <v>110</v>
      </c>
      <c r="T198" s="1">
        <v>147</v>
      </c>
      <c r="U198" s="1">
        <v>1419.9870000000001</v>
      </c>
      <c r="V198" s="1">
        <v>483.81799999999998</v>
      </c>
      <c r="W198" s="1">
        <v>752.85199999999998</v>
      </c>
      <c r="X198" s="1">
        <v>132.18100000000001</v>
      </c>
      <c r="Y198" s="1">
        <v>4.9400000000000004</v>
      </c>
      <c r="Z198" s="1">
        <v>8.0150000000000006</v>
      </c>
      <c r="AA198" s="1">
        <v>21.7</v>
      </c>
      <c r="AB198" s="1">
        <v>290.5</v>
      </c>
      <c r="AC198" s="1">
        <v>12777</v>
      </c>
      <c r="AD198" s="1">
        <v>3322</v>
      </c>
      <c r="AE198" s="1">
        <v>268</v>
      </c>
      <c r="AF198" s="1">
        <v>15</v>
      </c>
      <c r="AG198" s="1">
        <v>15</v>
      </c>
      <c r="AH198" s="1">
        <v>31.7</v>
      </c>
      <c r="AI198" s="1">
        <v>55.8</v>
      </c>
      <c r="AJ198" s="1">
        <v>12.5</v>
      </c>
      <c r="AK198" s="1">
        <v>83.3</v>
      </c>
      <c r="AL198" s="1">
        <v>31.9</v>
      </c>
      <c r="AM198" s="1">
        <v>8</v>
      </c>
      <c r="AN198" s="1">
        <v>0</v>
      </c>
      <c r="AO198" s="1">
        <v>0</v>
      </c>
      <c r="AP198" s="1" t="s">
        <v>266</v>
      </c>
      <c r="AQ198" s="1" t="s">
        <v>267</v>
      </c>
      <c r="AR198" s="1" t="s">
        <v>268</v>
      </c>
    </row>
    <row r="199" spans="1:44" x14ac:dyDescent="0.2">
      <c r="A199" s="1" t="s">
        <v>113</v>
      </c>
      <c r="B199" s="1" t="s">
        <v>265</v>
      </c>
      <c r="C199" s="1">
        <v>-36.200000000000003</v>
      </c>
      <c r="D199" s="1">
        <v>462643</v>
      </c>
      <c r="E199" s="1">
        <v>5974930</v>
      </c>
      <c r="F199" s="1">
        <v>0</v>
      </c>
      <c r="G199" s="1">
        <v>-0.6</v>
      </c>
      <c r="H199" s="1">
        <v>0</v>
      </c>
      <c r="I199" s="1">
        <v>2</v>
      </c>
      <c r="J199" s="1">
        <v>0</v>
      </c>
      <c r="K199" s="1">
        <v>-62</v>
      </c>
      <c r="L199" s="1">
        <v>25.8</v>
      </c>
      <c r="M199" s="1">
        <v>1589.5329999999999</v>
      </c>
      <c r="N199" s="1">
        <v>87.4</v>
      </c>
      <c r="O199" s="1">
        <v>8</v>
      </c>
      <c r="P199" s="1">
        <v>10</v>
      </c>
      <c r="Q199" s="1">
        <v>2.52</v>
      </c>
      <c r="R199" s="1">
        <v>68</v>
      </c>
      <c r="S199" s="1">
        <v>110</v>
      </c>
      <c r="T199" s="1">
        <v>147</v>
      </c>
      <c r="U199" s="1">
        <v>1295.492</v>
      </c>
      <c r="V199" s="1">
        <v>484.33300000000003</v>
      </c>
      <c r="W199" s="1">
        <v>752.85199999999998</v>
      </c>
      <c r="X199" s="1">
        <v>132.18100000000001</v>
      </c>
      <c r="Y199" s="1">
        <v>4.9400000000000004</v>
      </c>
      <c r="Z199" s="1">
        <v>8.0150000000000006</v>
      </c>
      <c r="AA199" s="1">
        <v>21.7</v>
      </c>
      <c r="AB199" s="1">
        <v>290.5</v>
      </c>
      <c r="AC199" s="1">
        <v>12423</v>
      </c>
      <c r="AD199" s="1">
        <v>3261</v>
      </c>
      <c r="AE199" s="1">
        <v>268</v>
      </c>
      <c r="AF199" s="1">
        <v>15</v>
      </c>
      <c r="AG199" s="1">
        <v>15</v>
      </c>
      <c r="AH199" s="1">
        <v>34.5</v>
      </c>
      <c r="AI199" s="1">
        <v>52</v>
      </c>
      <c r="AJ199" s="1">
        <v>13.5</v>
      </c>
      <c r="AK199" s="1">
        <v>82</v>
      </c>
      <c r="AL199" s="1">
        <v>31.9</v>
      </c>
      <c r="AM199" s="1">
        <v>8</v>
      </c>
      <c r="AN199" s="1">
        <v>0</v>
      </c>
      <c r="AO199" s="1">
        <v>0</v>
      </c>
      <c r="AP199" s="1" t="s">
        <v>266</v>
      </c>
      <c r="AQ199" s="1" t="s">
        <v>267</v>
      </c>
      <c r="AR199" s="1" t="s">
        <v>268</v>
      </c>
    </row>
    <row r="200" spans="1:44" x14ac:dyDescent="0.2">
      <c r="A200" s="1" t="s">
        <v>60</v>
      </c>
      <c r="B200" s="1" t="s">
        <v>265</v>
      </c>
      <c r="C200" s="1">
        <v>-37.200000000000003</v>
      </c>
      <c r="D200" s="1">
        <v>465366</v>
      </c>
      <c r="E200" s="1">
        <v>5973962</v>
      </c>
      <c r="F200" s="1">
        <v>0</v>
      </c>
      <c r="G200" s="1">
        <v>-0.7</v>
      </c>
      <c r="H200" s="1">
        <v>0</v>
      </c>
      <c r="I200" s="1">
        <v>2</v>
      </c>
      <c r="J200" s="1">
        <v>0</v>
      </c>
      <c r="K200" s="1">
        <v>-64.8</v>
      </c>
      <c r="L200" s="1">
        <v>27.6</v>
      </c>
      <c r="M200" s="1">
        <v>1643.0840000000001</v>
      </c>
      <c r="N200" s="1">
        <v>90.2</v>
      </c>
      <c r="O200" s="1">
        <v>8</v>
      </c>
      <c r="P200" s="1">
        <v>10</v>
      </c>
      <c r="Q200" s="1">
        <v>2.69</v>
      </c>
      <c r="R200" s="1">
        <v>68</v>
      </c>
      <c r="S200" s="1">
        <v>110</v>
      </c>
      <c r="T200" s="1">
        <v>147</v>
      </c>
      <c r="U200" s="1">
        <v>1357.8340000000001</v>
      </c>
      <c r="V200" s="1">
        <v>458.73500000000001</v>
      </c>
      <c r="W200" s="1">
        <v>752.85199999999998</v>
      </c>
      <c r="X200" s="1">
        <v>132.18100000000001</v>
      </c>
      <c r="Y200" s="1">
        <v>4.9400000000000004</v>
      </c>
      <c r="Z200" s="1">
        <v>8.0150000000000006</v>
      </c>
      <c r="AA200" s="1">
        <v>21.7</v>
      </c>
      <c r="AB200" s="1">
        <v>290.5</v>
      </c>
      <c r="AC200" s="1">
        <v>12598</v>
      </c>
      <c r="AD200" s="1">
        <v>3323</v>
      </c>
      <c r="AE200" s="1">
        <v>268</v>
      </c>
      <c r="AF200" s="1">
        <v>15</v>
      </c>
      <c r="AG200" s="1">
        <v>15</v>
      </c>
      <c r="AH200" s="1">
        <v>33.4</v>
      </c>
      <c r="AI200" s="1">
        <v>53.4</v>
      </c>
      <c r="AJ200" s="1">
        <v>13.2</v>
      </c>
      <c r="AK200" s="1">
        <v>81.900000000000006</v>
      </c>
      <c r="AL200" s="1">
        <v>31.9</v>
      </c>
      <c r="AM200" s="1">
        <v>8</v>
      </c>
      <c r="AN200" s="1">
        <v>0</v>
      </c>
      <c r="AO200" s="1">
        <v>0</v>
      </c>
      <c r="AP200" s="1" t="s">
        <v>266</v>
      </c>
      <c r="AQ200" s="1" t="s">
        <v>267</v>
      </c>
      <c r="AR200" s="1" t="s">
        <v>268</v>
      </c>
    </row>
    <row r="201" spans="1:44" x14ac:dyDescent="0.2">
      <c r="A201" s="1" t="s">
        <v>122</v>
      </c>
      <c r="B201" s="1" t="s">
        <v>265</v>
      </c>
      <c r="C201" s="1">
        <v>-36.299999999999997</v>
      </c>
      <c r="D201" s="1">
        <v>467767.1</v>
      </c>
      <c r="E201" s="1">
        <v>5973480</v>
      </c>
      <c r="F201" s="1">
        <v>0</v>
      </c>
      <c r="G201" s="1">
        <v>-0.7</v>
      </c>
      <c r="H201" s="1">
        <v>0</v>
      </c>
      <c r="I201" s="1">
        <v>2</v>
      </c>
      <c r="J201" s="1">
        <v>0</v>
      </c>
      <c r="K201" s="1">
        <v>-60.9</v>
      </c>
      <c r="L201" s="1">
        <v>24.6</v>
      </c>
      <c r="M201" s="1">
        <v>1561.7639999999999</v>
      </c>
      <c r="N201" s="1">
        <v>86.3</v>
      </c>
      <c r="O201" s="1">
        <v>8</v>
      </c>
      <c r="P201" s="1">
        <v>10</v>
      </c>
      <c r="Q201" s="1">
        <v>2.39</v>
      </c>
      <c r="R201" s="1">
        <v>68</v>
      </c>
      <c r="S201" s="1">
        <v>110</v>
      </c>
      <c r="T201" s="1">
        <v>147</v>
      </c>
      <c r="U201" s="1">
        <v>1295.5429999999999</v>
      </c>
      <c r="V201" s="1">
        <v>546.16</v>
      </c>
      <c r="W201" s="1">
        <v>752.85199999999998</v>
      </c>
      <c r="X201" s="1">
        <v>132.18100000000001</v>
      </c>
      <c r="Y201" s="1">
        <v>4.9400000000000004</v>
      </c>
      <c r="Z201" s="1">
        <v>8.0150000000000006</v>
      </c>
      <c r="AA201" s="1">
        <v>21.7</v>
      </c>
      <c r="AB201" s="1">
        <v>290.5</v>
      </c>
      <c r="AC201" s="1">
        <v>12355</v>
      </c>
      <c r="AD201" s="1">
        <v>3267</v>
      </c>
      <c r="AE201" s="1">
        <v>268</v>
      </c>
      <c r="AF201" s="1">
        <v>15</v>
      </c>
      <c r="AG201" s="1">
        <v>15</v>
      </c>
      <c r="AH201" s="1">
        <v>35.1</v>
      </c>
      <c r="AI201" s="1">
        <v>51.4</v>
      </c>
      <c r="AJ201" s="1">
        <v>13.6</v>
      </c>
      <c r="AK201" s="1">
        <v>81.7</v>
      </c>
      <c r="AL201" s="1">
        <v>31.9</v>
      </c>
      <c r="AM201" s="1">
        <v>8</v>
      </c>
      <c r="AN201" s="1">
        <v>0</v>
      </c>
      <c r="AO201" s="1">
        <v>0</v>
      </c>
      <c r="AP201" s="1" t="s">
        <v>266</v>
      </c>
      <c r="AQ201" s="1" t="s">
        <v>267</v>
      </c>
      <c r="AR201" s="1" t="s">
        <v>268</v>
      </c>
    </row>
    <row r="202" spans="1:44" x14ac:dyDescent="0.2">
      <c r="A202" s="1" t="s">
        <v>180</v>
      </c>
      <c r="B202" s="1" t="s">
        <v>265</v>
      </c>
      <c r="C202" s="1">
        <v>-39.6</v>
      </c>
      <c r="D202" s="1">
        <v>467708.3</v>
      </c>
      <c r="E202" s="1">
        <v>5976896.9000000004</v>
      </c>
      <c r="F202" s="1">
        <v>0</v>
      </c>
      <c r="G202" s="1">
        <v>-0.6</v>
      </c>
      <c r="H202" s="1">
        <v>0</v>
      </c>
      <c r="I202" s="1">
        <v>2</v>
      </c>
      <c r="J202" s="1">
        <v>0</v>
      </c>
      <c r="K202" s="1">
        <v>-68.099999999999994</v>
      </c>
      <c r="L202" s="1">
        <v>28.5</v>
      </c>
      <c r="M202" s="1">
        <v>1756.6869999999999</v>
      </c>
      <c r="N202" s="1">
        <v>93.5</v>
      </c>
      <c r="O202" s="1">
        <v>8</v>
      </c>
      <c r="P202" s="1">
        <v>10.5</v>
      </c>
      <c r="Q202" s="1">
        <v>2.6570999999999998</v>
      </c>
      <c r="R202" s="1">
        <v>72</v>
      </c>
      <c r="S202" s="1">
        <v>112</v>
      </c>
      <c r="T202" s="1">
        <v>146</v>
      </c>
      <c r="U202" s="1">
        <v>1406.133</v>
      </c>
      <c r="V202" s="1">
        <v>486.65800000000002</v>
      </c>
      <c r="W202" s="1">
        <v>752.85199999999998</v>
      </c>
      <c r="X202" s="1">
        <v>132.18100000000001</v>
      </c>
      <c r="Y202" s="1">
        <v>4.9400000000000004</v>
      </c>
      <c r="Z202" s="1">
        <v>8.0150000000000006</v>
      </c>
      <c r="AA202" s="1">
        <v>21.7</v>
      </c>
      <c r="AB202" s="1">
        <v>290.5</v>
      </c>
      <c r="AC202" s="1">
        <v>12957</v>
      </c>
      <c r="AD202" s="1">
        <v>3545</v>
      </c>
      <c r="AE202" s="1">
        <v>268</v>
      </c>
      <c r="AF202" s="1">
        <v>15</v>
      </c>
      <c r="AG202" s="1">
        <v>15</v>
      </c>
      <c r="AH202" s="1">
        <v>32.9</v>
      </c>
      <c r="AI202" s="1">
        <v>52.2</v>
      </c>
      <c r="AJ202" s="1">
        <v>14.9</v>
      </c>
      <c r="AK202" s="1">
        <v>82.3</v>
      </c>
      <c r="AL202" s="1">
        <v>31.9</v>
      </c>
      <c r="AM202" s="1">
        <v>8</v>
      </c>
      <c r="AN202" s="1">
        <v>0</v>
      </c>
      <c r="AO202" s="1">
        <v>0</v>
      </c>
      <c r="AP202" s="1" t="s">
        <v>270</v>
      </c>
      <c r="AQ202" s="1" t="s">
        <v>267</v>
      </c>
      <c r="AR202" s="1" t="s">
        <v>268</v>
      </c>
    </row>
    <row r="203" spans="1:44" x14ac:dyDescent="0.2">
      <c r="A203" s="1" t="s">
        <v>35</v>
      </c>
      <c r="B203" s="1" t="s">
        <v>271</v>
      </c>
      <c r="C203" s="1">
        <v>-38.9</v>
      </c>
      <c r="D203" s="1">
        <v>469144</v>
      </c>
      <c r="E203" s="1">
        <v>5976260</v>
      </c>
      <c r="F203" s="1">
        <v>0</v>
      </c>
      <c r="G203" s="1">
        <v>-0.7</v>
      </c>
      <c r="H203" s="1">
        <v>0</v>
      </c>
      <c r="I203" s="1">
        <v>2</v>
      </c>
      <c r="J203" s="1">
        <v>0</v>
      </c>
      <c r="K203" s="1">
        <v>-65.8</v>
      </c>
      <c r="L203" s="1">
        <v>26.9</v>
      </c>
      <c r="M203" s="1">
        <v>1696.9</v>
      </c>
      <c r="N203" s="1">
        <v>91.2</v>
      </c>
      <c r="O203" s="1">
        <v>8</v>
      </c>
      <c r="P203" s="1">
        <v>10</v>
      </c>
      <c r="Q203" s="1">
        <v>2.62</v>
      </c>
      <c r="R203" s="1">
        <v>68</v>
      </c>
      <c r="S203" s="1">
        <v>110</v>
      </c>
      <c r="T203" s="1">
        <v>147</v>
      </c>
      <c r="U203" s="1">
        <v>1419.962</v>
      </c>
      <c r="V203" s="1">
        <v>490.07600000000002</v>
      </c>
      <c r="W203" s="1">
        <v>752.85199999999998</v>
      </c>
      <c r="X203" s="1">
        <v>132.18100000000001</v>
      </c>
      <c r="Y203" s="1">
        <v>4.9400000000000004</v>
      </c>
      <c r="Z203" s="1">
        <v>8.0150000000000006</v>
      </c>
      <c r="AA203" s="1">
        <v>21.7</v>
      </c>
      <c r="AB203" s="1">
        <v>290.5</v>
      </c>
      <c r="AC203" s="1">
        <v>12659</v>
      </c>
      <c r="AD203" s="1">
        <v>3428</v>
      </c>
      <c r="AE203" s="1">
        <v>268</v>
      </c>
      <c r="AF203" s="1">
        <v>15</v>
      </c>
      <c r="AG203" s="1">
        <v>15</v>
      </c>
      <c r="AH203" s="1">
        <v>32.5</v>
      </c>
      <c r="AI203" s="1">
        <v>54.5</v>
      </c>
      <c r="AJ203" s="1">
        <v>13.1</v>
      </c>
      <c r="AK203" s="1">
        <v>83.5</v>
      </c>
      <c r="AL203" s="1">
        <v>31.9</v>
      </c>
      <c r="AM203" s="1">
        <v>8</v>
      </c>
      <c r="AN203" s="1">
        <v>0</v>
      </c>
      <c r="AO203" s="1">
        <v>0</v>
      </c>
      <c r="AP203" s="1" t="s">
        <v>266</v>
      </c>
      <c r="AQ203" s="1" t="s">
        <v>267</v>
      </c>
      <c r="AR203" s="1" t="s">
        <v>268</v>
      </c>
    </row>
    <row r="204" spans="1:44" x14ac:dyDescent="0.2">
      <c r="A204" s="1" t="s">
        <v>169</v>
      </c>
      <c r="B204" s="1" t="s">
        <v>265</v>
      </c>
      <c r="C204" s="1">
        <v>-43</v>
      </c>
      <c r="D204" s="1">
        <v>448850</v>
      </c>
      <c r="E204" s="1">
        <v>5980700</v>
      </c>
      <c r="F204" s="1">
        <v>0</v>
      </c>
      <c r="G204" s="1">
        <v>-0.6</v>
      </c>
      <c r="H204" s="1">
        <v>0</v>
      </c>
      <c r="I204" s="1">
        <v>2</v>
      </c>
      <c r="J204" s="1">
        <v>0</v>
      </c>
      <c r="K204" s="1">
        <v>-71.7</v>
      </c>
      <c r="L204" s="1">
        <v>28.7</v>
      </c>
      <c r="M204" s="1">
        <v>1869.6769999999999</v>
      </c>
      <c r="N204" s="1">
        <v>97.1</v>
      </c>
      <c r="O204" s="1">
        <v>8</v>
      </c>
      <c r="P204" s="1">
        <v>10.5</v>
      </c>
      <c r="Q204" s="1">
        <v>2.6762000000000001</v>
      </c>
      <c r="R204" s="1">
        <v>72</v>
      </c>
      <c r="S204" s="1">
        <v>112</v>
      </c>
      <c r="T204" s="1">
        <v>146</v>
      </c>
      <c r="U204" s="1">
        <v>1471.3150000000001</v>
      </c>
      <c r="V204" s="1">
        <v>492.42</v>
      </c>
      <c r="W204" s="1">
        <v>752.85199999999998</v>
      </c>
      <c r="X204" s="1">
        <v>132.18100000000001</v>
      </c>
      <c r="Y204" s="1">
        <v>4.9400000000000004</v>
      </c>
      <c r="Z204" s="1">
        <v>8.0150000000000006</v>
      </c>
      <c r="AA204" s="1">
        <v>21.7</v>
      </c>
      <c r="AB204" s="1">
        <v>290.5</v>
      </c>
      <c r="AC204" s="1">
        <v>13191</v>
      </c>
      <c r="AD204" s="1">
        <v>3766</v>
      </c>
      <c r="AE204" s="1">
        <v>268</v>
      </c>
      <c r="AF204" s="1">
        <v>15</v>
      </c>
      <c r="AG204" s="1">
        <v>15</v>
      </c>
      <c r="AH204" s="1">
        <v>32.1</v>
      </c>
      <c r="AI204" s="1">
        <v>53.4</v>
      </c>
      <c r="AJ204" s="1">
        <v>14.5</v>
      </c>
      <c r="AK204" s="1">
        <v>84.2</v>
      </c>
      <c r="AL204" s="1">
        <v>31.9</v>
      </c>
      <c r="AM204" s="1">
        <v>8</v>
      </c>
      <c r="AN204" s="1">
        <v>0</v>
      </c>
      <c r="AO204" s="1">
        <v>0</v>
      </c>
      <c r="AP204" s="1" t="s">
        <v>270</v>
      </c>
      <c r="AQ204" s="1" t="s">
        <v>267</v>
      </c>
      <c r="AR204" s="1" t="s">
        <v>268</v>
      </c>
    </row>
    <row r="205" spans="1:44" x14ac:dyDescent="0.2">
      <c r="A205" s="1" t="s">
        <v>206</v>
      </c>
      <c r="B205" s="1" t="s">
        <v>271</v>
      </c>
      <c r="C205" s="1">
        <v>-44.6</v>
      </c>
      <c r="D205" s="1">
        <v>449855</v>
      </c>
      <c r="E205" s="1">
        <v>5980770</v>
      </c>
      <c r="F205" s="1">
        <v>0</v>
      </c>
      <c r="G205" s="1">
        <v>-0.6</v>
      </c>
      <c r="H205" s="1">
        <v>0</v>
      </c>
      <c r="I205" s="1">
        <v>2</v>
      </c>
      <c r="J205" s="1">
        <v>0</v>
      </c>
      <c r="K205" s="1">
        <v>-74.099999999999994</v>
      </c>
      <c r="L205" s="1">
        <v>29.5</v>
      </c>
      <c r="M205" s="1">
        <v>1977.1980000000001</v>
      </c>
      <c r="N205" s="1">
        <v>99.5</v>
      </c>
      <c r="O205" s="1">
        <v>8</v>
      </c>
      <c r="P205" s="1">
        <v>11</v>
      </c>
      <c r="Q205" s="1">
        <v>2.6273</v>
      </c>
      <c r="R205" s="1">
        <v>70</v>
      </c>
      <c r="S205" s="1">
        <v>117</v>
      </c>
      <c r="T205" s="1">
        <v>149</v>
      </c>
      <c r="U205" s="1">
        <v>1575.509</v>
      </c>
      <c r="V205" s="1">
        <v>507.06599999999997</v>
      </c>
      <c r="W205" s="1">
        <v>752.85199999999998</v>
      </c>
      <c r="X205" s="1">
        <v>132.18100000000001</v>
      </c>
      <c r="Y205" s="1">
        <v>4.9400000000000004</v>
      </c>
      <c r="Z205" s="1">
        <v>8.0150000000000006</v>
      </c>
      <c r="AA205" s="1">
        <v>21.7</v>
      </c>
      <c r="AB205" s="1">
        <v>290.5</v>
      </c>
      <c r="AC205" s="1">
        <v>13512</v>
      </c>
      <c r="AD205" s="1">
        <v>3950</v>
      </c>
      <c r="AE205" s="1">
        <v>268</v>
      </c>
      <c r="AF205" s="1">
        <v>15</v>
      </c>
      <c r="AG205" s="1">
        <v>15</v>
      </c>
      <c r="AH205" s="1">
        <v>30.1</v>
      </c>
      <c r="AI205" s="1">
        <v>53.6</v>
      </c>
      <c r="AJ205" s="1">
        <v>16.399999999999999</v>
      </c>
      <c r="AK205" s="1">
        <v>84.3</v>
      </c>
      <c r="AL205" s="1">
        <v>31.9</v>
      </c>
      <c r="AM205" s="1">
        <v>8</v>
      </c>
      <c r="AN205" s="1">
        <v>0</v>
      </c>
      <c r="AO205" s="1">
        <v>0</v>
      </c>
      <c r="AP205" s="1" t="s">
        <v>270</v>
      </c>
      <c r="AQ205" s="1" t="s">
        <v>267</v>
      </c>
      <c r="AR205" s="1" t="s">
        <v>268</v>
      </c>
    </row>
    <row r="206" spans="1:44" x14ac:dyDescent="0.2">
      <c r="A206" s="1" t="s">
        <v>36</v>
      </c>
      <c r="B206" s="1" t="s">
        <v>271</v>
      </c>
      <c r="C206" s="1">
        <v>-37.9</v>
      </c>
      <c r="D206" s="1">
        <v>458833</v>
      </c>
      <c r="E206" s="1">
        <v>5977710</v>
      </c>
      <c r="F206" s="1">
        <v>0</v>
      </c>
      <c r="G206" s="1">
        <v>-0.6</v>
      </c>
      <c r="H206" s="1">
        <v>0</v>
      </c>
      <c r="I206" s="1">
        <v>2</v>
      </c>
      <c r="J206" s="1">
        <v>0</v>
      </c>
      <c r="K206" s="1">
        <v>-65.2</v>
      </c>
      <c r="L206" s="1">
        <v>27.3</v>
      </c>
      <c r="M206" s="1">
        <v>1707.502</v>
      </c>
      <c r="N206" s="1">
        <v>90.6</v>
      </c>
      <c r="O206" s="1">
        <v>8</v>
      </c>
      <c r="P206" s="1">
        <v>10</v>
      </c>
      <c r="Q206" s="1">
        <v>2.67</v>
      </c>
      <c r="R206" s="1">
        <v>68</v>
      </c>
      <c r="S206" s="1">
        <v>110</v>
      </c>
      <c r="T206" s="1">
        <v>147</v>
      </c>
      <c r="U206" s="1">
        <v>1357.4949999999999</v>
      </c>
      <c r="V206" s="1">
        <v>514.65599999999995</v>
      </c>
      <c r="W206" s="1">
        <v>752.85199999999998</v>
      </c>
      <c r="X206" s="1">
        <v>132.18100000000001</v>
      </c>
      <c r="Y206" s="1">
        <v>4.9400000000000004</v>
      </c>
      <c r="Z206" s="1">
        <v>8.0150000000000006</v>
      </c>
      <c r="AA206" s="1">
        <v>21.7</v>
      </c>
      <c r="AB206" s="1">
        <v>290.5</v>
      </c>
      <c r="AC206" s="1">
        <v>12621</v>
      </c>
      <c r="AD206" s="1">
        <v>3366</v>
      </c>
      <c r="AE206" s="1">
        <v>268</v>
      </c>
      <c r="AF206" s="1">
        <v>15</v>
      </c>
      <c r="AG206" s="1">
        <v>15</v>
      </c>
      <c r="AH206" s="1">
        <v>32</v>
      </c>
      <c r="AI206" s="1">
        <v>55.7</v>
      </c>
      <c r="AJ206" s="1">
        <v>12.3</v>
      </c>
      <c r="AK206" s="1">
        <v>84.4</v>
      </c>
      <c r="AL206" s="1">
        <v>31.9</v>
      </c>
      <c r="AM206" s="1">
        <v>8</v>
      </c>
      <c r="AN206" s="1">
        <v>0</v>
      </c>
      <c r="AO206" s="1">
        <v>0</v>
      </c>
      <c r="AP206" s="1" t="s">
        <v>266</v>
      </c>
      <c r="AQ206" s="1" t="s">
        <v>267</v>
      </c>
      <c r="AR206" s="1" t="s">
        <v>268</v>
      </c>
    </row>
    <row r="207" spans="1:44" x14ac:dyDescent="0.2">
      <c r="A207" s="1" t="s">
        <v>65</v>
      </c>
      <c r="B207" s="1" t="s">
        <v>265</v>
      </c>
      <c r="C207" s="1">
        <v>-35.6</v>
      </c>
      <c r="D207" s="1">
        <v>461834.6</v>
      </c>
      <c r="E207" s="1">
        <v>5976226.5999999996</v>
      </c>
      <c r="F207" s="1">
        <v>0</v>
      </c>
      <c r="G207" s="1">
        <v>-0.6</v>
      </c>
      <c r="H207" s="1">
        <v>0</v>
      </c>
      <c r="I207" s="1">
        <v>2</v>
      </c>
      <c r="J207" s="1">
        <v>0</v>
      </c>
      <c r="K207" s="1">
        <v>-64.599999999999994</v>
      </c>
      <c r="L207" s="1">
        <v>29</v>
      </c>
      <c r="M207" s="1">
        <v>1634.9469999999999</v>
      </c>
      <c r="N207" s="1">
        <v>90</v>
      </c>
      <c r="O207" s="1">
        <v>8</v>
      </c>
      <c r="P207" s="1">
        <v>10</v>
      </c>
      <c r="Q207" s="1">
        <v>2.84</v>
      </c>
      <c r="R207" s="1">
        <v>68</v>
      </c>
      <c r="S207" s="1">
        <v>110</v>
      </c>
      <c r="T207" s="1">
        <v>147</v>
      </c>
      <c r="U207" s="1">
        <v>1357.8589999999999</v>
      </c>
      <c r="V207" s="1">
        <v>546.70000000000005</v>
      </c>
      <c r="W207" s="1">
        <v>752.85199999999998</v>
      </c>
      <c r="X207" s="1">
        <v>132.18100000000001</v>
      </c>
      <c r="Y207" s="1">
        <v>4.9400000000000004</v>
      </c>
      <c r="Z207" s="1">
        <v>8.0150000000000006</v>
      </c>
      <c r="AA207" s="1">
        <v>21.7</v>
      </c>
      <c r="AB207" s="1">
        <v>290.5</v>
      </c>
      <c r="AC207" s="1">
        <v>12585</v>
      </c>
      <c r="AD207" s="1">
        <v>3223</v>
      </c>
      <c r="AE207" s="1">
        <v>268</v>
      </c>
      <c r="AF207" s="1">
        <v>15</v>
      </c>
      <c r="AG207" s="1">
        <v>15</v>
      </c>
      <c r="AH207" s="1">
        <v>33.6</v>
      </c>
      <c r="AI207" s="1">
        <v>53.1</v>
      </c>
      <c r="AJ207" s="1">
        <v>13.3</v>
      </c>
      <c r="AK207" s="1">
        <v>81.8</v>
      </c>
      <c r="AL207" s="1">
        <v>31.9</v>
      </c>
      <c r="AM207" s="1">
        <v>8</v>
      </c>
      <c r="AN207" s="1">
        <v>0</v>
      </c>
      <c r="AO207" s="1">
        <v>0</v>
      </c>
      <c r="AP207" s="1" t="s">
        <v>266</v>
      </c>
      <c r="AQ207" s="1" t="s">
        <v>267</v>
      </c>
      <c r="AR207" s="1" t="s">
        <v>268</v>
      </c>
    </row>
    <row r="208" spans="1:44" x14ac:dyDescent="0.2">
      <c r="A208" s="1" t="s">
        <v>56</v>
      </c>
      <c r="B208" s="1" t="s">
        <v>265</v>
      </c>
      <c r="C208" s="1">
        <v>-37.299999999999997</v>
      </c>
      <c r="D208" s="1">
        <v>464330.2</v>
      </c>
      <c r="E208" s="1">
        <v>5975626</v>
      </c>
      <c r="F208" s="1">
        <v>0</v>
      </c>
      <c r="G208" s="1">
        <v>-0.6</v>
      </c>
      <c r="H208" s="1">
        <v>0</v>
      </c>
      <c r="I208" s="1">
        <v>2</v>
      </c>
      <c r="J208" s="1">
        <v>0</v>
      </c>
      <c r="K208" s="1">
        <v>-64.400000000000006</v>
      </c>
      <c r="L208" s="1">
        <v>27.1</v>
      </c>
      <c r="M208" s="1">
        <v>1662.0709999999999</v>
      </c>
      <c r="N208" s="1">
        <v>89.8</v>
      </c>
      <c r="O208" s="1">
        <v>8</v>
      </c>
      <c r="P208" s="1">
        <v>10</v>
      </c>
      <c r="Q208" s="1">
        <v>2.65</v>
      </c>
      <c r="R208" s="1">
        <v>68</v>
      </c>
      <c r="S208" s="1">
        <v>110</v>
      </c>
      <c r="T208" s="1">
        <v>147</v>
      </c>
      <c r="U208" s="1">
        <v>1357.683</v>
      </c>
      <c r="V208" s="1">
        <v>427.75900000000001</v>
      </c>
      <c r="W208" s="1">
        <v>752.85199999999998</v>
      </c>
      <c r="X208" s="1">
        <v>132.18100000000001</v>
      </c>
      <c r="Y208" s="1">
        <v>4.9400000000000004</v>
      </c>
      <c r="Z208" s="1">
        <v>8.0150000000000006</v>
      </c>
      <c r="AA208" s="1">
        <v>21.7</v>
      </c>
      <c r="AB208" s="1">
        <v>290.5</v>
      </c>
      <c r="AC208" s="1">
        <v>12572</v>
      </c>
      <c r="AD208" s="1">
        <v>3329</v>
      </c>
      <c r="AE208" s="1">
        <v>268</v>
      </c>
      <c r="AF208" s="1">
        <v>15</v>
      </c>
      <c r="AG208" s="1">
        <v>15</v>
      </c>
      <c r="AH208" s="1">
        <v>33</v>
      </c>
      <c r="AI208" s="1">
        <v>54.1</v>
      </c>
      <c r="AJ208" s="1">
        <v>12.9</v>
      </c>
      <c r="AK208" s="1">
        <v>83.1</v>
      </c>
      <c r="AL208" s="1">
        <v>31.9</v>
      </c>
      <c r="AM208" s="1">
        <v>8</v>
      </c>
      <c r="AN208" s="1">
        <v>0</v>
      </c>
      <c r="AO208" s="1">
        <v>0</v>
      </c>
      <c r="AP208" s="1" t="s">
        <v>266</v>
      </c>
      <c r="AQ208" s="1" t="s">
        <v>267</v>
      </c>
      <c r="AR208" s="1" t="s">
        <v>268</v>
      </c>
    </row>
    <row r="209" spans="1:44" x14ac:dyDescent="0.2">
      <c r="A209" s="1" t="s">
        <v>73</v>
      </c>
      <c r="B209" s="1" t="s">
        <v>265</v>
      </c>
      <c r="C209" s="1">
        <v>-36.200000000000003</v>
      </c>
      <c r="D209" s="1">
        <v>466870.1</v>
      </c>
      <c r="E209" s="1">
        <v>5974920</v>
      </c>
      <c r="F209" s="1">
        <v>0</v>
      </c>
      <c r="G209" s="1">
        <v>-0.6</v>
      </c>
      <c r="H209" s="1">
        <v>0</v>
      </c>
      <c r="I209" s="1">
        <v>2</v>
      </c>
      <c r="J209" s="1">
        <v>0</v>
      </c>
      <c r="K209" s="1">
        <v>-63.7</v>
      </c>
      <c r="L209" s="1">
        <v>27.5</v>
      </c>
      <c r="M209" s="1">
        <v>1628.86</v>
      </c>
      <c r="N209" s="1">
        <v>89.1</v>
      </c>
      <c r="O209" s="1">
        <v>8</v>
      </c>
      <c r="P209" s="1">
        <v>10</v>
      </c>
      <c r="Q209" s="1">
        <v>2.69</v>
      </c>
      <c r="R209" s="1">
        <v>68</v>
      </c>
      <c r="S209" s="1">
        <v>110</v>
      </c>
      <c r="T209" s="1">
        <v>147</v>
      </c>
      <c r="U209" s="1">
        <v>1295.5170000000001</v>
      </c>
      <c r="V209" s="1">
        <v>583.43100000000004</v>
      </c>
      <c r="W209" s="1">
        <v>752.85199999999998</v>
      </c>
      <c r="X209" s="1">
        <v>132.18100000000001</v>
      </c>
      <c r="Y209" s="1">
        <v>4.9400000000000004</v>
      </c>
      <c r="Z209" s="1">
        <v>8.0150000000000006</v>
      </c>
      <c r="AA209" s="1">
        <v>21.7</v>
      </c>
      <c r="AB209" s="1">
        <v>290.5</v>
      </c>
      <c r="AC209" s="1">
        <v>12529</v>
      </c>
      <c r="AD209" s="1">
        <v>3261</v>
      </c>
      <c r="AE209" s="1">
        <v>268</v>
      </c>
      <c r="AF209" s="1">
        <v>15</v>
      </c>
      <c r="AG209" s="1">
        <v>15</v>
      </c>
      <c r="AH209" s="1">
        <v>33.6</v>
      </c>
      <c r="AI209" s="1">
        <v>53.3</v>
      </c>
      <c r="AJ209" s="1">
        <v>13.1</v>
      </c>
      <c r="AK209" s="1">
        <v>82.3</v>
      </c>
      <c r="AL209" s="1">
        <v>31.9</v>
      </c>
      <c r="AM209" s="1">
        <v>8</v>
      </c>
      <c r="AN209" s="1">
        <v>0</v>
      </c>
      <c r="AO209" s="1">
        <v>0</v>
      </c>
      <c r="AP209" s="1" t="s">
        <v>266</v>
      </c>
      <c r="AQ209" s="1" t="s">
        <v>267</v>
      </c>
      <c r="AR209" s="1" t="s">
        <v>268</v>
      </c>
    </row>
    <row r="210" spans="1:44" x14ac:dyDescent="0.2">
      <c r="A210" s="1" t="s">
        <v>86</v>
      </c>
      <c r="B210" s="1" t="s">
        <v>265</v>
      </c>
      <c r="C210" s="1">
        <v>-36.799999999999997</v>
      </c>
      <c r="D210" s="1">
        <v>461034.5</v>
      </c>
      <c r="E210" s="1">
        <v>5977526.5999999996</v>
      </c>
      <c r="F210" s="1">
        <v>0</v>
      </c>
      <c r="G210" s="1">
        <v>-0.6</v>
      </c>
      <c r="H210" s="1">
        <v>0</v>
      </c>
      <c r="I210" s="1">
        <v>2</v>
      </c>
      <c r="J210" s="1">
        <v>0</v>
      </c>
      <c r="K210" s="1">
        <v>-62.9</v>
      </c>
      <c r="L210" s="1">
        <v>26.1</v>
      </c>
      <c r="M210" s="1">
        <v>1625.8789999999999</v>
      </c>
      <c r="N210" s="1">
        <v>88.3</v>
      </c>
      <c r="O210" s="1">
        <v>8</v>
      </c>
      <c r="P210" s="1">
        <v>10</v>
      </c>
      <c r="Q210" s="1">
        <v>2.5499999999999998</v>
      </c>
      <c r="R210" s="1">
        <v>68</v>
      </c>
      <c r="S210" s="1">
        <v>110</v>
      </c>
      <c r="T210" s="1">
        <v>147</v>
      </c>
      <c r="U210" s="1">
        <v>1295.4169999999999</v>
      </c>
      <c r="V210" s="1">
        <v>483.85599999999999</v>
      </c>
      <c r="W210" s="1">
        <v>752.85199999999998</v>
      </c>
      <c r="X210" s="1">
        <v>132.18100000000001</v>
      </c>
      <c r="Y210" s="1">
        <v>4.9400000000000004</v>
      </c>
      <c r="Z210" s="1">
        <v>8.0150000000000006</v>
      </c>
      <c r="AA210" s="1">
        <v>21.7</v>
      </c>
      <c r="AB210" s="1">
        <v>290.5</v>
      </c>
      <c r="AC210" s="1">
        <v>12479</v>
      </c>
      <c r="AD210" s="1">
        <v>3298</v>
      </c>
      <c r="AE210" s="1">
        <v>268</v>
      </c>
      <c r="AF210" s="1">
        <v>15</v>
      </c>
      <c r="AG210" s="1">
        <v>15</v>
      </c>
      <c r="AH210" s="1">
        <v>33.700000000000003</v>
      </c>
      <c r="AI210" s="1">
        <v>53.2</v>
      </c>
      <c r="AJ210" s="1">
        <v>13.1</v>
      </c>
      <c r="AK210" s="1">
        <v>82.9</v>
      </c>
      <c r="AL210" s="1">
        <v>31.9</v>
      </c>
      <c r="AM210" s="1">
        <v>8</v>
      </c>
      <c r="AN210" s="1">
        <v>0</v>
      </c>
      <c r="AO210" s="1">
        <v>0</v>
      </c>
      <c r="AP210" s="1" t="s">
        <v>266</v>
      </c>
      <c r="AQ210" s="1" t="s">
        <v>267</v>
      </c>
      <c r="AR210" s="1" t="s">
        <v>268</v>
      </c>
    </row>
    <row r="211" spans="1:44" x14ac:dyDescent="0.2">
      <c r="A211" s="1" t="s">
        <v>28</v>
      </c>
      <c r="B211" s="1" t="s">
        <v>265</v>
      </c>
      <c r="C211" s="1">
        <v>-37</v>
      </c>
      <c r="D211" s="1">
        <v>463381</v>
      </c>
      <c r="E211" s="1">
        <v>5977131</v>
      </c>
      <c r="F211" s="1">
        <v>0</v>
      </c>
      <c r="G211" s="1">
        <v>-0.6</v>
      </c>
      <c r="H211" s="1">
        <v>0</v>
      </c>
      <c r="I211" s="1">
        <v>2</v>
      </c>
      <c r="J211" s="1">
        <v>0</v>
      </c>
      <c r="K211" s="1">
        <v>-67.400000000000006</v>
      </c>
      <c r="L211" s="1">
        <v>30.4</v>
      </c>
      <c r="M211" s="1">
        <v>1703.9659999999999</v>
      </c>
      <c r="N211" s="1">
        <v>92.8</v>
      </c>
      <c r="O211" s="1">
        <v>8</v>
      </c>
      <c r="P211" s="1">
        <v>10</v>
      </c>
      <c r="Q211" s="1">
        <v>2.98</v>
      </c>
      <c r="R211" s="1">
        <v>68</v>
      </c>
      <c r="S211" s="1">
        <v>110</v>
      </c>
      <c r="T211" s="1">
        <v>147</v>
      </c>
      <c r="U211" s="1">
        <v>1420.1379999999999</v>
      </c>
      <c r="V211" s="1">
        <v>490.06299999999999</v>
      </c>
      <c r="W211" s="1">
        <v>752.85199999999998</v>
      </c>
      <c r="X211" s="1">
        <v>132.18100000000001</v>
      </c>
      <c r="Y211" s="1">
        <v>4.9400000000000004</v>
      </c>
      <c r="Z211" s="1">
        <v>8.0150000000000006</v>
      </c>
      <c r="AA211" s="1">
        <v>21.7</v>
      </c>
      <c r="AB211" s="1">
        <v>290.5</v>
      </c>
      <c r="AC211" s="1">
        <v>12759</v>
      </c>
      <c r="AD211" s="1">
        <v>3310</v>
      </c>
      <c r="AE211" s="1">
        <v>268</v>
      </c>
      <c r="AF211" s="1">
        <v>15</v>
      </c>
      <c r="AG211" s="1">
        <v>15</v>
      </c>
      <c r="AH211" s="1">
        <v>32.1</v>
      </c>
      <c r="AI211" s="1">
        <v>55.3</v>
      </c>
      <c r="AJ211" s="1">
        <v>12.5</v>
      </c>
      <c r="AK211" s="1">
        <v>82.3</v>
      </c>
      <c r="AL211" s="1">
        <v>31.9</v>
      </c>
      <c r="AM211" s="1">
        <v>8</v>
      </c>
      <c r="AN211" s="1">
        <v>0</v>
      </c>
      <c r="AO211" s="1">
        <v>0</v>
      </c>
      <c r="AP211" s="1" t="s">
        <v>266</v>
      </c>
      <c r="AQ211" s="1" t="s">
        <v>267</v>
      </c>
      <c r="AR211" s="1" t="s">
        <v>268</v>
      </c>
    </row>
    <row r="212" spans="1:44" x14ac:dyDescent="0.2">
      <c r="A212" s="1" t="s">
        <v>105</v>
      </c>
      <c r="B212" s="1" t="s">
        <v>265</v>
      </c>
      <c r="C212" s="1">
        <v>-36.200000000000003</v>
      </c>
      <c r="D212" s="1">
        <v>465971</v>
      </c>
      <c r="E212" s="1">
        <v>5976363.7999999998</v>
      </c>
      <c r="F212" s="1">
        <v>0</v>
      </c>
      <c r="G212" s="1">
        <v>-0.7</v>
      </c>
      <c r="H212" s="1">
        <v>0</v>
      </c>
      <c r="I212" s="1">
        <v>2</v>
      </c>
      <c r="J212" s="1">
        <v>0</v>
      </c>
      <c r="K212" s="1">
        <v>-62.3</v>
      </c>
      <c r="L212" s="1">
        <v>26.1</v>
      </c>
      <c r="M212" s="1">
        <v>1589.6659999999999</v>
      </c>
      <c r="N212" s="1">
        <v>87.7</v>
      </c>
      <c r="O212" s="1">
        <v>8</v>
      </c>
      <c r="P212" s="1">
        <v>10</v>
      </c>
      <c r="Q212" s="1">
        <v>2.54</v>
      </c>
      <c r="R212" s="1">
        <v>68</v>
      </c>
      <c r="S212" s="1">
        <v>110</v>
      </c>
      <c r="T212" s="1">
        <v>147</v>
      </c>
      <c r="U212" s="1">
        <v>1295.5550000000001</v>
      </c>
      <c r="V212" s="1">
        <v>484.346</v>
      </c>
      <c r="W212" s="1">
        <v>752.85199999999998</v>
      </c>
      <c r="X212" s="1">
        <v>132.18100000000001</v>
      </c>
      <c r="Y212" s="1">
        <v>4.9400000000000004</v>
      </c>
      <c r="Z212" s="1">
        <v>8.0150000000000006</v>
      </c>
      <c r="AA212" s="1">
        <v>21.7</v>
      </c>
      <c r="AB212" s="1">
        <v>290.5</v>
      </c>
      <c r="AC212" s="1">
        <v>12442</v>
      </c>
      <c r="AD212" s="1">
        <v>3261</v>
      </c>
      <c r="AE212" s="1">
        <v>268</v>
      </c>
      <c r="AF212" s="1">
        <v>15</v>
      </c>
      <c r="AG212" s="1">
        <v>15</v>
      </c>
      <c r="AH212" s="1">
        <v>34.5</v>
      </c>
      <c r="AI212" s="1">
        <v>52.2</v>
      </c>
      <c r="AJ212" s="1">
        <v>13.3</v>
      </c>
      <c r="AK212" s="1">
        <v>81.7</v>
      </c>
      <c r="AL212" s="1">
        <v>31.9</v>
      </c>
      <c r="AM212" s="1">
        <v>8</v>
      </c>
      <c r="AN212" s="1">
        <v>0</v>
      </c>
      <c r="AO212" s="1">
        <v>0</v>
      </c>
      <c r="AP212" s="1" t="s">
        <v>266</v>
      </c>
      <c r="AQ212" s="1" t="s">
        <v>267</v>
      </c>
      <c r="AR212" s="1" t="s">
        <v>268</v>
      </c>
    </row>
    <row r="213" spans="1:44" x14ac:dyDescent="0.2">
      <c r="A213" s="1" t="s">
        <v>197</v>
      </c>
      <c r="B213" s="1" t="s">
        <v>271</v>
      </c>
      <c r="C213" s="1">
        <v>-47.4</v>
      </c>
      <c r="D213" s="1">
        <v>459183.4</v>
      </c>
      <c r="E213" s="1">
        <v>5978868.5</v>
      </c>
      <c r="F213" s="1">
        <v>0</v>
      </c>
      <c r="G213" s="1">
        <v>-0.6</v>
      </c>
      <c r="H213" s="1">
        <v>0</v>
      </c>
      <c r="I213" s="1">
        <v>2</v>
      </c>
      <c r="J213" s="1">
        <v>0</v>
      </c>
      <c r="K213" s="1">
        <v>-78.900000000000006</v>
      </c>
      <c r="L213" s="1">
        <v>31.5</v>
      </c>
      <c r="M213" s="1">
        <v>2194.145</v>
      </c>
      <c r="N213" s="1">
        <v>104.3</v>
      </c>
      <c r="O213" s="1">
        <v>8</v>
      </c>
      <c r="P213" s="1">
        <v>11</v>
      </c>
      <c r="Q213" s="1">
        <v>2.8090999999999999</v>
      </c>
      <c r="R213" s="1">
        <v>70</v>
      </c>
      <c r="S213" s="1">
        <v>117</v>
      </c>
      <c r="T213" s="1">
        <v>149</v>
      </c>
      <c r="U213" s="1">
        <v>1643.4549999999999</v>
      </c>
      <c r="V213" s="1">
        <v>403.17899999999997</v>
      </c>
      <c r="W213" s="1">
        <v>752.85199999999998</v>
      </c>
      <c r="X213" s="1">
        <v>132.18100000000001</v>
      </c>
      <c r="Y213" s="1">
        <v>4.9400000000000004</v>
      </c>
      <c r="Z213" s="1">
        <v>8.0150000000000006</v>
      </c>
      <c r="AA213" s="1">
        <v>21.7</v>
      </c>
      <c r="AB213" s="1">
        <v>290.5</v>
      </c>
      <c r="AC213" s="1">
        <v>13839</v>
      </c>
      <c r="AD213" s="1">
        <v>4141</v>
      </c>
      <c r="AE213" s="1">
        <v>268</v>
      </c>
      <c r="AF213" s="1">
        <v>17</v>
      </c>
      <c r="AG213" s="1">
        <v>17</v>
      </c>
      <c r="AH213" s="1">
        <v>27.2</v>
      </c>
      <c r="AI213" s="1">
        <v>58</v>
      </c>
      <c r="AJ213" s="1">
        <v>14.8</v>
      </c>
      <c r="AK213" s="1">
        <v>88.2</v>
      </c>
      <c r="AL213" s="1">
        <v>31.9</v>
      </c>
      <c r="AM213" s="1">
        <v>8</v>
      </c>
      <c r="AN213" s="1">
        <v>0</v>
      </c>
      <c r="AO213" s="1">
        <v>0</v>
      </c>
      <c r="AP213" s="1" t="s">
        <v>270</v>
      </c>
      <c r="AQ213" s="1" t="s">
        <v>267</v>
      </c>
      <c r="AR213" s="1" t="s">
        <v>268</v>
      </c>
    </row>
    <row r="214" spans="1:44" x14ac:dyDescent="0.2">
      <c r="A214" s="1" t="s">
        <v>202</v>
      </c>
      <c r="B214" s="1" t="s">
        <v>271</v>
      </c>
      <c r="C214" s="1">
        <v>-45</v>
      </c>
      <c r="D214" s="1">
        <v>460226</v>
      </c>
      <c r="E214" s="1">
        <v>5978827</v>
      </c>
      <c r="F214" s="1">
        <v>0</v>
      </c>
      <c r="G214" s="1">
        <v>-0.7</v>
      </c>
      <c r="H214" s="1">
        <v>0</v>
      </c>
      <c r="I214" s="1">
        <v>2</v>
      </c>
      <c r="J214" s="1">
        <v>0</v>
      </c>
      <c r="K214" s="1">
        <v>-75.5</v>
      </c>
      <c r="L214" s="1">
        <v>30.5</v>
      </c>
      <c r="M214" s="1">
        <v>2033.2090000000001</v>
      </c>
      <c r="N214" s="1">
        <v>100.9</v>
      </c>
      <c r="O214" s="1">
        <v>8</v>
      </c>
      <c r="P214" s="1">
        <v>11</v>
      </c>
      <c r="Q214" s="1">
        <v>2.7090999999999998</v>
      </c>
      <c r="R214" s="1">
        <v>70</v>
      </c>
      <c r="S214" s="1">
        <v>117</v>
      </c>
      <c r="T214" s="1">
        <v>149</v>
      </c>
      <c r="U214" s="1">
        <v>1575.2950000000001</v>
      </c>
      <c r="V214" s="1">
        <v>472.45800000000003</v>
      </c>
      <c r="W214" s="1">
        <v>752.85199999999998</v>
      </c>
      <c r="X214" s="1">
        <v>132.18100000000001</v>
      </c>
      <c r="Y214" s="1">
        <v>4.9400000000000004</v>
      </c>
      <c r="Z214" s="1">
        <v>8.0150000000000006</v>
      </c>
      <c r="AA214" s="1">
        <v>21.7</v>
      </c>
      <c r="AB214" s="1">
        <v>290.5</v>
      </c>
      <c r="AC214" s="1">
        <v>13607</v>
      </c>
      <c r="AD214" s="1">
        <v>3977</v>
      </c>
      <c r="AE214" s="1">
        <v>268</v>
      </c>
      <c r="AF214" s="1">
        <v>15</v>
      </c>
      <c r="AG214" s="1">
        <v>15</v>
      </c>
      <c r="AH214" s="1">
        <v>29.9</v>
      </c>
      <c r="AI214" s="1">
        <v>53.9</v>
      </c>
      <c r="AJ214" s="1">
        <v>16.100000000000001</v>
      </c>
      <c r="AK214" s="1">
        <v>85.4</v>
      </c>
      <c r="AL214" s="1">
        <v>31.9</v>
      </c>
      <c r="AM214" s="1">
        <v>8</v>
      </c>
      <c r="AN214" s="1">
        <v>0</v>
      </c>
      <c r="AO214" s="1">
        <v>0</v>
      </c>
      <c r="AP214" s="1" t="s">
        <v>270</v>
      </c>
      <c r="AQ214" s="1" t="s">
        <v>267</v>
      </c>
      <c r="AR214" s="1" t="s">
        <v>268</v>
      </c>
    </row>
    <row r="215" spans="1:44" x14ac:dyDescent="0.2">
      <c r="A215" s="1" t="s">
        <v>170</v>
      </c>
      <c r="B215" s="1" t="s">
        <v>271</v>
      </c>
      <c r="C215" s="1">
        <v>-41.3</v>
      </c>
      <c r="D215" s="1">
        <v>461327.3</v>
      </c>
      <c r="E215" s="1">
        <v>5978735</v>
      </c>
      <c r="F215" s="1">
        <v>0</v>
      </c>
      <c r="G215" s="1">
        <v>-0.7</v>
      </c>
      <c r="H215" s="1">
        <v>0</v>
      </c>
      <c r="I215" s="1">
        <v>2</v>
      </c>
      <c r="J215" s="1">
        <v>0</v>
      </c>
      <c r="K215" s="1">
        <v>-70.5</v>
      </c>
      <c r="L215" s="1">
        <v>29.2</v>
      </c>
      <c r="M215" s="1">
        <v>1833.9169999999999</v>
      </c>
      <c r="N215" s="1">
        <v>95.9</v>
      </c>
      <c r="O215" s="1">
        <v>8</v>
      </c>
      <c r="P215" s="1">
        <v>10.5</v>
      </c>
      <c r="Q215" s="1">
        <v>2.7143000000000002</v>
      </c>
      <c r="R215" s="1">
        <v>72</v>
      </c>
      <c r="S215" s="1">
        <v>112</v>
      </c>
      <c r="T215" s="1">
        <v>146</v>
      </c>
      <c r="U215" s="1">
        <v>1471.415</v>
      </c>
      <c r="V215" s="1">
        <v>427.012</v>
      </c>
      <c r="W215" s="1">
        <v>752.85199999999998</v>
      </c>
      <c r="X215" s="1">
        <v>132.18100000000001</v>
      </c>
      <c r="Y215" s="1">
        <v>4.9400000000000004</v>
      </c>
      <c r="Z215" s="1">
        <v>8.0150000000000006</v>
      </c>
      <c r="AA215" s="1">
        <v>21.7</v>
      </c>
      <c r="AB215" s="1">
        <v>290.5</v>
      </c>
      <c r="AC215" s="1">
        <v>13113</v>
      </c>
      <c r="AD215" s="1">
        <v>3655</v>
      </c>
      <c r="AE215" s="1">
        <v>268</v>
      </c>
      <c r="AF215" s="1">
        <v>15</v>
      </c>
      <c r="AG215" s="1">
        <v>15</v>
      </c>
      <c r="AH215" s="1">
        <v>32.4</v>
      </c>
      <c r="AI215" s="1">
        <v>52.9</v>
      </c>
      <c r="AJ215" s="1">
        <v>14.7</v>
      </c>
      <c r="AK215" s="1">
        <v>83.7</v>
      </c>
      <c r="AL215" s="1">
        <v>31.9</v>
      </c>
      <c r="AM215" s="1">
        <v>8</v>
      </c>
      <c r="AN215" s="1">
        <v>0</v>
      </c>
      <c r="AO215" s="1">
        <v>0</v>
      </c>
      <c r="AP215" s="1" t="s">
        <v>270</v>
      </c>
      <c r="AQ215" s="1" t="s">
        <v>267</v>
      </c>
      <c r="AR215" s="1" t="s">
        <v>268</v>
      </c>
    </row>
    <row r="216" spans="1:44" x14ac:dyDescent="0.2">
      <c r="A216" s="1" t="s">
        <v>167</v>
      </c>
      <c r="B216" s="1" t="s">
        <v>271</v>
      </c>
      <c r="C216" s="1">
        <v>-41.1</v>
      </c>
      <c r="D216" s="1">
        <v>462445</v>
      </c>
      <c r="E216" s="1">
        <v>5978650</v>
      </c>
      <c r="F216" s="1">
        <v>0</v>
      </c>
      <c r="G216" s="1">
        <v>-0.6</v>
      </c>
      <c r="H216" s="1">
        <v>0</v>
      </c>
      <c r="I216" s="1">
        <v>2</v>
      </c>
      <c r="J216" s="1">
        <v>0</v>
      </c>
      <c r="K216" s="1">
        <v>-72.7</v>
      </c>
      <c r="L216" s="1">
        <v>31.6</v>
      </c>
      <c r="M216" s="1">
        <v>1895.3779999999999</v>
      </c>
      <c r="N216" s="1">
        <v>98.1</v>
      </c>
      <c r="O216" s="1">
        <v>8</v>
      </c>
      <c r="P216" s="1">
        <v>10.5</v>
      </c>
      <c r="Q216" s="1">
        <v>2.9523999999999999</v>
      </c>
      <c r="R216" s="1">
        <v>72</v>
      </c>
      <c r="S216" s="1">
        <v>112</v>
      </c>
      <c r="T216" s="1">
        <v>146</v>
      </c>
      <c r="U216" s="1">
        <v>1471.2639999999999</v>
      </c>
      <c r="V216" s="1">
        <v>460.45100000000002</v>
      </c>
      <c r="W216" s="1">
        <v>752.85199999999998</v>
      </c>
      <c r="X216" s="1">
        <v>132.18100000000001</v>
      </c>
      <c r="Y216" s="1">
        <v>4.9400000000000004</v>
      </c>
      <c r="Z216" s="1">
        <v>8.0150000000000006</v>
      </c>
      <c r="AA216" s="1">
        <v>21.7</v>
      </c>
      <c r="AB216" s="1">
        <v>290.5</v>
      </c>
      <c r="AC216" s="1">
        <v>13257</v>
      </c>
      <c r="AD216" s="1">
        <v>3642</v>
      </c>
      <c r="AE216" s="1">
        <v>268</v>
      </c>
      <c r="AF216" s="1">
        <v>17</v>
      </c>
      <c r="AG216" s="1">
        <v>17</v>
      </c>
      <c r="AH216" s="1">
        <v>31.8</v>
      </c>
      <c r="AI216" s="1">
        <v>53.7</v>
      </c>
      <c r="AJ216" s="1">
        <v>14.5</v>
      </c>
      <c r="AK216" s="1">
        <v>84.4</v>
      </c>
      <c r="AL216" s="1">
        <v>31.9</v>
      </c>
      <c r="AM216" s="1">
        <v>8</v>
      </c>
      <c r="AN216" s="1">
        <v>0</v>
      </c>
      <c r="AO216" s="1">
        <v>0</v>
      </c>
      <c r="AP216" s="1" t="s">
        <v>270</v>
      </c>
      <c r="AQ216" s="1" t="s">
        <v>267</v>
      </c>
      <c r="AR216" s="1" t="s">
        <v>268</v>
      </c>
    </row>
    <row r="217" spans="1:44" x14ac:dyDescent="0.2">
      <c r="A217" s="1" t="s">
        <v>198</v>
      </c>
      <c r="B217" s="1" t="s">
        <v>271</v>
      </c>
      <c r="C217" s="1">
        <v>-44.1</v>
      </c>
      <c r="D217" s="1">
        <v>463471</v>
      </c>
      <c r="E217" s="1">
        <v>5978680</v>
      </c>
      <c r="F217" s="1">
        <v>0</v>
      </c>
      <c r="G217" s="1">
        <v>-0.6</v>
      </c>
      <c r="H217" s="1">
        <v>0</v>
      </c>
      <c r="I217" s="1">
        <v>2</v>
      </c>
      <c r="J217" s="1">
        <v>0</v>
      </c>
      <c r="K217" s="1">
        <v>-79</v>
      </c>
      <c r="L217" s="1">
        <v>34.9</v>
      </c>
      <c r="M217" s="1">
        <v>2143.424</v>
      </c>
      <c r="N217" s="1">
        <v>104.4</v>
      </c>
      <c r="O217" s="1">
        <v>8</v>
      </c>
      <c r="P217" s="1">
        <v>11</v>
      </c>
      <c r="Q217" s="1">
        <v>3.1181999999999999</v>
      </c>
      <c r="R217" s="1">
        <v>70</v>
      </c>
      <c r="S217" s="1">
        <v>117</v>
      </c>
      <c r="T217" s="1">
        <v>149</v>
      </c>
      <c r="U217" s="1">
        <v>1643.732</v>
      </c>
      <c r="V217" s="1">
        <v>369.22500000000002</v>
      </c>
      <c r="W217" s="1">
        <v>752.85199999999998</v>
      </c>
      <c r="X217" s="1">
        <v>132.18100000000001</v>
      </c>
      <c r="Y217" s="1">
        <v>4.9400000000000004</v>
      </c>
      <c r="Z217" s="1">
        <v>8.0150000000000006</v>
      </c>
      <c r="AA217" s="1">
        <v>21.7</v>
      </c>
      <c r="AB217" s="1">
        <v>290.5</v>
      </c>
      <c r="AC217" s="1">
        <v>13847</v>
      </c>
      <c r="AD217" s="1">
        <v>3915</v>
      </c>
      <c r="AE217" s="1">
        <v>268</v>
      </c>
      <c r="AF217" s="1">
        <v>19.3</v>
      </c>
      <c r="AG217" s="1">
        <v>19.3</v>
      </c>
      <c r="AH217" s="1">
        <v>28</v>
      </c>
      <c r="AI217" s="1">
        <v>56.9</v>
      </c>
      <c r="AJ217" s="1">
        <v>15.2</v>
      </c>
      <c r="AK217" s="1">
        <v>86.4</v>
      </c>
      <c r="AL217" s="1">
        <v>31.9</v>
      </c>
      <c r="AM217" s="1">
        <v>8</v>
      </c>
      <c r="AN217" s="1">
        <v>0</v>
      </c>
      <c r="AO217" s="1">
        <v>0</v>
      </c>
      <c r="AP217" s="1" t="s">
        <v>270</v>
      </c>
      <c r="AQ217" s="1" t="s">
        <v>267</v>
      </c>
      <c r="AR217" s="1" t="s">
        <v>268</v>
      </c>
    </row>
    <row r="218" spans="1:44" x14ac:dyDescent="0.2">
      <c r="A218" s="1" t="s">
        <v>207</v>
      </c>
      <c r="B218" s="1" t="s">
        <v>271</v>
      </c>
      <c r="C218" s="1">
        <v>-41.4</v>
      </c>
      <c r="D218" s="1">
        <v>464883</v>
      </c>
      <c r="E218" s="1">
        <v>5978110</v>
      </c>
      <c r="F218" s="1">
        <v>0</v>
      </c>
      <c r="G218" s="1">
        <v>-0.7</v>
      </c>
      <c r="H218" s="1">
        <v>0</v>
      </c>
      <c r="I218" s="1">
        <v>2</v>
      </c>
      <c r="J218" s="1">
        <v>0</v>
      </c>
      <c r="K218" s="1">
        <v>-74.3</v>
      </c>
      <c r="L218" s="1">
        <v>32.9</v>
      </c>
      <c r="M218" s="1">
        <v>1953.7429999999999</v>
      </c>
      <c r="N218" s="1">
        <v>99.7</v>
      </c>
      <c r="O218" s="1">
        <v>8</v>
      </c>
      <c r="P218" s="1">
        <v>11</v>
      </c>
      <c r="Q218" s="1">
        <v>2.9272999999999998</v>
      </c>
      <c r="R218" s="1">
        <v>70</v>
      </c>
      <c r="S218" s="1">
        <v>117</v>
      </c>
      <c r="T218" s="1">
        <v>149</v>
      </c>
      <c r="U218" s="1">
        <v>1575.6969999999999</v>
      </c>
      <c r="V218" s="1">
        <v>438.46600000000001</v>
      </c>
      <c r="W218" s="1">
        <v>752.85199999999998</v>
      </c>
      <c r="X218" s="1">
        <v>132.18100000000001</v>
      </c>
      <c r="Y218" s="1">
        <v>4.9400000000000004</v>
      </c>
      <c r="Z218" s="1">
        <v>8.0150000000000006</v>
      </c>
      <c r="AA218" s="1">
        <v>21.7</v>
      </c>
      <c r="AB218" s="1">
        <v>290.5</v>
      </c>
      <c r="AC218" s="1">
        <v>13526</v>
      </c>
      <c r="AD218" s="1">
        <v>3731</v>
      </c>
      <c r="AE218" s="1">
        <v>268</v>
      </c>
      <c r="AF218" s="1">
        <v>19</v>
      </c>
      <c r="AG218" s="1">
        <v>19</v>
      </c>
      <c r="AH218" s="1">
        <v>29.7</v>
      </c>
      <c r="AI218" s="1">
        <v>54</v>
      </c>
      <c r="AJ218" s="1">
        <v>16.3</v>
      </c>
      <c r="AK218" s="1">
        <v>83</v>
      </c>
      <c r="AL218" s="1">
        <v>31.9</v>
      </c>
      <c r="AM218" s="1">
        <v>8</v>
      </c>
      <c r="AN218" s="1">
        <v>0</v>
      </c>
      <c r="AO218" s="1">
        <v>0</v>
      </c>
      <c r="AP218" s="1" t="s">
        <v>270</v>
      </c>
      <c r="AQ218" s="1" t="s">
        <v>267</v>
      </c>
      <c r="AR218" s="1" t="s">
        <v>268</v>
      </c>
    </row>
    <row r="219" spans="1:44" x14ac:dyDescent="0.2">
      <c r="A219" s="1" t="s">
        <v>171</v>
      </c>
      <c r="B219" s="1" t="s">
        <v>271</v>
      </c>
      <c r="C219" s="1">
        <v>-40.700000000000003</v>
      </c>
      <c r="D219" s="1">
        <v>466255</v>
      </c>
      <c r="E219" s="1">
        <v>5977572</v>
      </c>
      <c r="F219" s="1">
        <v>0</v>
      </c>
      <c r="G219" s="1">
        <v>-0.6</v>
      </c>
      <c r="H219" s="1">
        <v>0</v>
      </c>
      <c r="I219" s="1">
        <v>2</v>
      </c>
      <c r="J219" s="1">
        <v>0</v>
      </c>
      <c r="K219" s="1">
        <v>-70.8</v>
      </c>
      <c r="L219" s="1">
        <v>30.1</v>
      </c>
      <c r="M219" s="1">
        <v>1838.4380000000001</v>
      </c>
      <c r="N219" s="1">
        <v>96.2</v>
      </c>
      <c r="O219" s="1">
        <v>8</v>
      </c>
      <c r="P219" s="1">
        <v>10.5</v>
      </c>
      <c r="Q219" s="1">
        <v>2.8094999999999999</v>
      </c>
      <c r="R219" s="1">
        <v>72</v>
      </c>
      <c r="S219" s="1">
        <v>112</v>
      </c>
      <c r="T219" s="1">
        <v>146</v>
      </c>
      <c r="U219" s="1">
        <v>1471.415</v>
      </c>
      <c r="V219" s="1">
        <v>459.99799999999999</v>
      </c>
      <c r="W219" s="1">
        <v>752.85199999999998</v>
      </c>
      <c r="X219" s="1">
        <v>132.18100000000001</v>
      </c>
      <c r="Y219" s="1">
        <v>4.9400000000000004</v>
      </c>
      <c r="Z219" s="1">
        <v>8.0150000000000006</v>
      </c>
      <c r="AA219" s="1">
        <v>21.7</v>
      </c>
      <c r="AB219" s="1">
        <v>290.5</v>
      </c>
      <c r="AC219" s="1">
        <v>13133</v>
      </c>
      <c r="AD219" s="1">
        <v>3616</v>
      </c>
      <c r="AE219" s="1">
        <v>268</v>
      </c>
      <c r="AF219" s="1">
        <v>15</v>
      </c>
      <c r="AG219" s="1">
        <v>15</v>
      </c>
      <c r="AH219" s="1">
        <v>32.299999999999997</v>
      </c>
      <c r="AI219" s="1">
        <v>53</v>
      </c>
      <c r="AJ219" s="1">
        <v>14.7</v>
      </c>
      <c r="AK219" s="1">
        <v>83.6</v>
      </c>
      <c r="AL219" s="1">
        <v>31.9</v>
      </c>
      <c r="AM219" s="1">
        <v>8</v>
      </c>
      <c r="AN219" s="1">
        <v>0</v>
      </c>
      <c r="AO219" s="1">
        <v>0</v>
      </c>
      <c r="AP219" s="1" t="s">
        <v>270</v>
      </c>
      <c r="AQ219" s="1" t="s">
        <v>267</v>
      </c>
      <c r="AR219" s="1" t="s">
        <v>268</v>
      </c>
    </row>
    <row r="221" spans="1:44" x14ac:dyDescent="0.2">
      <c r="A221" s="1" t="s">
        <v>273</v>
      </c>
      <c r="B221" s="1" t="s">
        <v>274</v>
      </c>
    </row>
    <row r="225" spans="1:20" x14ac:dyDescent="0.2">
      <c r="A225" s="1" t="s">
        <v>275</v>
      </c>
    </row>
    <row r="226" spans="1:20" x14ac:dyDescent="0.2">
      <c r="A226" s="1" t="s">
        <v>276</v>
      </c>
      <c r="B226" s="1" t="s">
        <v>277</v>
      </c>
      <c r="C226" s="1" t="s">
        <v>278</v>
      </c>
      <c r="D226" s="1" t="s">
        <v>279</v>
      </c>
      <c r="E226" s="1" t="s">
        <v>280</v>
      </c>
      <c r="F226" s="1" t="s">
        <v>281</v>
      </c>
      <c r="G226" s="1" t="s">
        <v>282</v>
      </c>
      <c r="H226" s="1" t="s">
        <v>283</v>
      </c>
      <c r="I226" s="1" t="s">
        <v>284</v>
      </c>
      <c r="J226" s="1" t="s">
        <v>285</v>
      </c>
      <c r="K226" s="1" t="s">
        <v>286</v>
      </c>
      <c r="L226" s="1" t="s">
        <v>287</v>
      </c>
      <c r="M226" s="1" t="s">
        <v>288</v>
      </c>
      <c r="N226" s="1" t="s">
        <v>289</v>
      </c>
      <c r="O226" s="1" t="s">
        <v>290</v>
      </c>
      <c r="P226" s="1" t="s">
        <v>291</v>
      </c>
      <c r="Q226" s="1" t="s">
        <v>292</v>
      </c>
      <c r="R226" s="1" t="s">
        <v>293</v>
      </c>
      <c r="S226" s="1" t="s">
        <v>294</v>
      </c>
      <c r="T226" s="1" t="s">
        <v>295</v>
      </c>
    </row>
    <row r="227" spans="1:20" x14ac:dyDescent="0.2">
      <c r="A227" s="1" t="s">
        <v>296</v>
      </c>
      <c r="B227" s="1" t="s">
        <v>296</v>
      </c>
      <c r="C227" s="1" t="s">
        <v>296</v>
      </c>
      <c r="D227" s="1" t="s">
        <v>296</v>
      </c>
      <c r="E227" s="1" t="s">
        <v>296</v>
      </c>
      <c r="F227" s="1" t="s">
        <v>296</v>
      </c>
      <c r="G227" s="1" t="s">
        <v>296</v>
      </c>
      <c r="H227" s="1" t="s">
        <v>296</v>
      </c>
      <c r="I227" s="1" t="s">
        <v>296</v>
      </c>
      <c r="J227" s="1" t="s">
        <v>296</v>
      </c>
      <c r="K227" s="1" t="s">
        <v>296</v>
      </c>
      <c r="L227" s="1" t="s">
        <v>296</v>
      </c>
      <c r="M227" s="1" t="s">
        <v>296</v>
      </c>
      <c r="N227" s="1" t="s">
        <v>297</v>
      </c>
      <c r="O227" s="1" t="s">
        <v>296</v>
      </c>
      <c r="P227" s="1" t="s">
        <v>296</v>
      </c>
      <c r="Q227" s="1" t="s">
        <v>296</v>
      </c>
      <c r="R227" s="1" t="s">
        <v>296</v>
      </c>
      <c r="S227" s="1" t="s">
        <v>296</v>
      </c>
      <c r="T227" s="1" t="s">
        <v>296</v>
      </c>
    </row>
    <row r="228" spans="1:20" x14ac:dyDescent="0.2">
      <c r="A228" s="1" t="s">
        <v>341</v>
      </c>
      <c r="B228" s="1" t="s">
        <v>299</v>
      </c>
      <c r="G228" s="1" t="s">
        <v>300</v>
      </c>
      <c r="H228" s="1" t="s">
        <v>355</v>
      </c>
      <c r="I228" s="1" t="s">
        <v>453</v>
      </c>
      <c r="K228" s="1" t="s">
        <v>356</v>
      </c>
      <c r="N228" s="1">
        <v>93214</v>
      </c>
      <c r="O228" s="1" t="s">
        <v>442</v>
      </c>
    </row>
    <row r="229" spans="1:20" x14ac:dyDescent="0.2">
      <c r="A229" s="1" t="s">
        <v>399</v>
      </c>
      <c r="B229" s="1" t="s">
        <v>299</v>
      </c>
      <c r="C229" s="1" t="s">
        <v>400</v>
      </c>
      <c r="D229" s="1" t="s">
        <v>314</v>
      </c>
      <c r="E229" s="1" t="s">
        <v>401</v>
      </c>
      <c r="G229" s="1" t="s">
        <v>402</v>
      </c>
      <c r="H229" s="1" t="s">
        <v>403</v>
      </c>
      <c r="I229" s="1" t="s">
        <v>454</v>
      </c>
      <c r="K229" s="1" t="s">
        <v>404</v>
      </c>
      <c r="L229" s="1" t="s">
        <v>405</v>
      </c>
      <c r="N229" s="1">
        <v>72704</v>
      </c>
      <c r="O229" s="1" t="s">
        <v>455</v>
      </c>
    </row>
    <row r="230" spans="1:20" x14ac:dyDescent="0.2">
      <c r="A230" s="1" t="s">
        <v>298</v>
      </c>
      <c r="B230" s="1" t="s">
        <v>299</v>
      </c>
      <c r="G230" s="1" t="s">
        <v>300</v>
      </c>
      <c r="H230" s="1" t="s">
        <v>301</v>
      </c>
      <c r="I230" s="1" t="s">
        <v>406</v>
      </c>
      <c r="K230" s="1" t="s">
        <v>302</v>
      </c>
      <c r="N230" s="1">
        <v>65739</v>
      </c>
      <c r="O230" s="1" t="s">
        <v>303</v>
      </c>
    </row>
    <row r="231" spans="1:20" x14ac:dyDescent="0.2">
      <c r="A231" s="1" t="s">
        <v>304</v>
      </c>
      <c r="B231" s="1" t="s">
        <v>299</v>
      </c>
      <c r="G231" s="1" t="s">
        <v>300</v>
      </c>
      <c r="H231" s="1" t="s">
        <v>407</v>
      </c>
      <c r="I231" s="1" t="s">
        <v>408</v>
      </c>
      <c r="K231" s="1" t="s">
        <v>409</v>
      </c>
      <c r="N231" s="1">
        <v>95044</v>
      </c>
      <c r="O231" s="1" t="s">
        <v>410</v>
      </c>
    </row>
    <row r="232" spans="1:20" x14ac:dyDescent="0.2">
      <c r="A232" s="1" t="s">
        <v>305</v>
      </c>
      <c r="B232" s="1" t="s">
        <v>299</v>
      </c>
      <c r="G232" s="1" t="s">
        <v>300</v>
      </c>
      <c r="I232" s="1" t="s">
        <v>411</v>
      </c>
      <c r="K232" s="1" t="s">
        <v>306</v>
      </c>
      <c r="N232" s="1">
        <v>87029</v>
      </c>
      <c r="O232" s="1" t="s">
        <v>307</v>
      </c>
    </row>
    <row r="233" spans="1:20" x14ac:dyDescent="0.2">
      <c r="A233" s="1" t="s">
        <v>304</v>
      </c>
      <c r="B233" s="1" t="s">
        <v>299</v>
      </c>
      <c r="G233" s="1" t="s">
        <v>300</v>
      </c>
      <c r="H233" s="1" t="s">
        <v>308</v>
      </c>
      <c r="I233" s="1" t="s">
        <v>412</v>
      </c>
      <c r="K233" s="1" t="s">
        <v>309</v>
      </c>
      <c r="N233" s="1">
        <v>203025</v>
      </c>
      <c r="O233" s="1" t="s">
        <v>310</v>
      </c>
    </row>
    <row r="234" spans="1:20" x14ac:dyDescent="0.2">
      <c r="A234" s="1" t="s">
        <v>311</v>
      </c>
      <c r="B234" s="1" t="s">
        <v>312</v>
      </c>
      <c r="C234" s="1" t="s">
        <v>313</v>
      </c>
      <c r="D234" s="1" t="s">
        <v>314</v>
      </c>
      <c r="E234" s="1" t="s">
        <v>315</v>
      </c>
      <c r="G234" s="1" t="s">
        <v>316</v>
      </c>
      <c r="H234" s="1" t="s">
        <v>317</v>
      </c>
      <c r="I234" s="1" t="s">
        <v>413</v>
      </c>
      <c r="K234" s="1" t="s">
        <v>318</v>
      </c>
      <c r="L234" s="1" t="s">
        <v>319</v>
      </c>
      <c r="N234" s="1">
        <v>8625664</v>
      </c>
      <c r="O234" s="1" t="s">
        <v>320</v>
      </c>
    </row>
    <row r="235" spans="1:20" x14ac:dyDescent="0.2">
      <c r="A235" s="1" t="s">
        <v>298</v>
      </c>
      <c r="B235" s="1" t="s">
        <v>299</v>
      </c>
      <c r="G235" s="1" t="s">
        <v>300</v>
      </c>
      <c r="H235" s="1" t="s">
        <v>301</v>
      </c>
      <c r="I235" s="1" t="s">
        <v>414</v>
      </c>
      <c r="K235" s="1" t="s">
        <v>302</v>
      </c>
      <c r="N235" s="1">
        <v>24369</v>
      </c>
      <c r="O235" s="1" t="s">
        <v>321</v>
      </c>
      <c r="Q235" s="1" t="s">
        <v>322</v>
      </c>
      <c r="R235" s="1" t="s">
        <v>323</v>
      </c>
      <c r="S235" s="1" t="s">
        <v>324</v>
      </c>
      <c r="T235" s="1" t="s">
        <v>325</v>
      </c>
    </row>
    <row r="236" spans="1:20" x14ac:dyDescent="0.2">
      <c r="A236" s="1" t="s">
        <v>326</v>
      </c>
      <c r="B236" s="1" t="s">
        <v>299</v>
      </c>
      <c r="G236" s="1" t="s">
        <v>300</v>
      </c>
      <c r="H236" s="1" t="s">
        <v>327</v>
      </c>
      <c r="I236" s="1" t="s">
        <v>415</v>
      </c>
      <c r="K236" s="1" t="s">
        <v>328</v>
      </c>
      <c r="N236" s="1">
        <v>42254</v>
      </c>
      <c r="O236" s="1" t="s">
        <v>329</v>
      </c>
      <c r="Q236" s="1" t="s">
        <v>330</v>
      </c>
      <c r="R236" s="1" t="s">
        <v>331</v>
      </c>
      <c r="S236" s="1" t="s">
        <v>278</v>
      </c>
      <c r="T236" s="1" t="s">
        <v>332</v>
      </c>
    </row>
    <row r="237" spans="1:20" x14ac:dyDescent="0.2">
      <c r="A237" s="1" t="s">
        <v>326</v>
      </c>
      <c r="B237" s="1" t="s">
        <v>299</v>
      </c>
      <c r="G237" s="1" t="s">
        <v>300</v>
      </c>
      <c r="I237" s="1" t="s">
        <v>416</v>
      </c>
      <c r="K237" s="1" t="s">
        <v>328</v>
      </c>
      <c r="N237" s="1">
        <v>22177</v>
      </c>
      <c r="O237" s="1" t="s">
        <v>333</v>
      </c>
      <c r="Q237" s="1" t="s">
        <v>334</v>
      </c>
      <c r="R237" s="1" t="s">
        <v>335</v>
      </c>
      <c r="S237" s="1" t="s">
        <v>324</v>
      </c>
      <c r="T237" s="1" t="s">
        <v>336</v>
      </c>
    </row>
    <row r="238" spans="1:20" x14ac:dyDescent="0.2">
      <c r="I238" s="1" t="s">
        <v>417</v>
      </c>
      <c r="N238" s="1">
        <v>23409</v>
      </c>
      <c r="O238" s="1" t="s">
        <v>337</v>
      </c>
      <c r="Q238" s="1" t="s">
        <v>338</v>
      </c>
      <c r="R238" s="1" t="s">
        <v>339</v>
      </c>
      <c r="S238" s="1" t="s">
        <v>278</v>
      </c>
      <c r="T238" s="1" t="s">
        <v>340</v>
      </c>
    </row>
    <row r="239" spans="1:20" x14ac:dyDescent="0.2">
      <c r="A239" s="1" t="s">
        <v>341</v>
      </c>
      <c r="B239" s="1" t="s">
        <v>299</v>
      </c>
      <c r="G239" s="1" t="s">
        <v>300</v>
      </c>
      <c r="I239" s="1" t="s">
        <v>418</v>
      </c>
      <c r="K239" s="1" t="s">
        <v>342</v>
      </c>
      <c r="N239" s="1">
        <v>37068</v>
      </c>
      <c r="O239" s="1" t="s">
        <v>343</v>
      </c>
      <c r="Q239" s="1" t="s">
        <v>344</v>
      </c>
      <c r="R239" s="1" t="s">
        <v>345</v>
      </c>
      <c r="S239" s="1" t="s">
        <v>278</v>
      </c>
      <c r="T239" s="1" t="s">
        <v>346</v>
      </c>
    </row>
    <row r="240" spans="1:20" x14ac:dyDescent="0.2">
      <c r="A240" s="1" t="s">
        <v>326</v>
      </c>
      <c r="B240" s="1" t="s">
        <v>299</v>
      </c>
      <c r="G240" s="1" t="s">
        <v>300</v>
      </c>
      <c r="I240" s="1" t="s">
        <v>419</v>
      </c>
      <c r="K240" s="1" t="s">
        <v>328</v>
      </c>
      <c r="N240" s="1">
        <v>81252</v>
      </c>
      <c r="O240" s="1" t="s">
        <v>347</v>
      </c>
      <c r="Q240" s="1" t="s">
        <v>348</v>
      </c>
      <c r="R240" s="1" t="s">
        <v>349</v>
      </c>
      <c r="S240" s="1" t="s">
        <v>278</v>
      </c>
      <c r="T240" s="1" t="s">
        <v>350</v>
      </c>
    </row>
    <row r="241" spans="1:20" x14ac:dyDescent="0.2">
      <c r="I241" s="1" t="s">
        <v>420</v>
      </c>
      <c r="N241" s="1">
        <v>35472</v>
      </c>
      <c r="O241" s="1" t="s">
        <v>351</v>
      </c>
      <c r="Q241" s="1" t="s">
        <v>352</v>
      </c>
      <c r="R241" s="1" t="s">
        <v>353</v>
      </c>
      <c r="S241" s="1" t="s">
        <v>278</v>
      </c>
      <c r="T241" s="1" t="s">
        <v>354</v>
      </c>
    </row>
    <row r="242" spans="1:20" x14ac:dyDescent="0.2">
      <c r="I242" s="1" t="s">
        <v>421</v>
      </c>
      <c r="N242" s="1">
        <v>1396150</v>
      </c>
      <c r="O242" s="1" t="s">
        <v>357</v>
      </c>
    </row>
    <row r="243" spans="1:20" x14ac:dyDescent="0.2">
      <c r="I243" s="1" t="s">
        <v>422</v>
      </c>
      <c r="K243" s="1" t="s">
        <v>358</v>
      </c>
      <c r="N243" s="1">
        <v>8815305</v>
      </c>
      <c r="O243" s="1" t="s">
        <v>359</v>
      </c>
    </row>
    <row r="244" spans="1:20" x14ac:dyDescent="0.2">
      <c r="I244" s="1" t="s">
        <v>423</v>
      </c>
      <c r="K244" s="1" t="s">
        <v>360</v>
      </c>
      <c r="N244" s="1">
        <v>8110612</v>
      </c>
      <c r="O244" s="1" t="s">
        <v>361</v>
      </c>
    </row>
    <row r="245" spans="1:20" x14ac:dyDescent="0.2">
      <c r="A245" s="1" t="s">
        <v>362</v>
      </c>
      <c r="G245" s="1" t="s">
        <v>363</v>
      </c>
      <c r="I245" s="1" t="s">
        <v>424</v>
      </c>
      <c r="K245" s="1" t="s">
        <v>364</v>
      </c>
      <c r="N245" s="1">
        <v>34735</v>
      </c>
      <c r="O245" s="1" t="s">
        <v>365</v>
      </c>
    </row>
    <row r="246" spans="1:20" x14ac:dyDescent="0.2">
      <c r="A246" s="1" t="s">
        <v>326</v>
      </c>
      <c r="B246" s="1" t="s">
        <v>299</v>
      </c>
      <c r="G246" s="1" t="s">
        <v>300</v>
      </c>
      <c r="I246" s="1" t="s">
        <v>456</v>
      </c>
      <c r="K246" s="1" t="s">
        <v>328</v>
      </c>
      <c r="N246" s="1">
        <v>59643</v>
      </c>
      <c r="O246" s="1" t="s">
        <v>446</v>
      </c>
    </row>
    <row r="247" spans="1:20" x14ac:dyDescent="0.2">
      <c r="A247" s="1" t="s">
        <v>399</v>
      </c>
      <c r="B247" s="1" t="s">
        <v>312</v>
      </c>
      <c r="F247" s="1" t="s">
        <v>425</v>
      </c>
      <c r="G247" s="1" t="s">
        <v>366</v>
      </c>
      <c r="H247" s="1" t="s">
        <v>426</v>
      </c>
      <c r="I247" s="1" t="s">
        <v>457</v>
      </c>
      <c r="K247" s="1" t="s">
        <v>427</v>
      </c>
      <c r="L247" s="1" t="s">
        <v>367</v>
      </c>
      <c r="N247" s="1">
        <v>155648</v>
      </c>
      <c r="O247" s="1" t="s">
        <v>448</v>
      </c>
    </row>
  </sheetData>
  <pageMargins left="0.75" right="0.75" top="1" bottom="1" header="0.5" footer="0.5"/>
  <pageSetup orientation="portrait" horizontalDpi="300" verticalDpi="300"/>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92D10-DDD2-498F-AC82-E2ECE450A975}">
  <dimension ref="A2:AR247"/>
  <sheetViews>
    <sheetView workbookViewId="0">
      <selection activeCell="Y24" sqref="Y24"/>
    </sheetView>
  </sheetViews>
  <sheetFormatPr defaultRowHeight="12.75" x14ac:dyDescent="0.2"/>
  <cols>
    <col min="1" max="16384" width="9.140625" style="1"/>
  </cols>
  <sheetData>
    <row r="2" spans="1:2" x14ac:dyDescent="0.2">
      <c r="A2" s="1" t="s">
        <v>212</v>
      </c>
      <c r="B2" s="1" t="s">
        <v>458</v>
      </c>
    </row>
    <row r="3" spans="1:2" x14ac:dyDescent="0.2">
      <c r="A3" s="1" t="s">
        <v>213</v>
      </c>
      <c r="B3" s="1" t="s">
        <v>459</v>
      </c>
    </row>
    <row r="17" spans="1:44" x14ac:dyDescent="0.2">
      <c r="B17" s="1" t="s">
        <v>214</v>
      </c>
      <c r="C17" s="1" t="s">
        <v>214</v>
      </c>
      <c r="D17" s="1" t="s">
        <v>214</v>
      </c>
      <c r="E17" s="1" t="s">
        <v>214</v>
      </c>
      <c r="F17" s="1" t="s">
        <v>214</v>
      </c>
      <c r="G17" s="1" t="s">
        <v>214</v>
      </c>
      <c r="H17" s="1" t="s">
        <v>214</v>
      </c>
      <c r="I17" s="1" t="s">
        <v>214</v>
      </c>
      <c r="J17" s="1" t="s">
        <v>215</v>
      </c>
      <c r="K17" s="1" t="s">
        <v>216</v>
      </c>
      <c r="L17" s="1" t="s">
        <v>216</v>
      </c>
      <c r="M17" s="1" t="s">
        <v>216</v>
      </c>
      <c r="N17" s="1" t="s">
        <v>216</v>
      </c>
      <c r="O17" s="1" t="s">
        <v>216</v>
      </c>
      <c r="P17" s="1" t="s">
        <v>216</v>
      </c>
      <c r="Q17" s="1" t="s">
        <v>216</v>
      </c>
      <c r="R17" s="1" t="s">
        <v>216</v>
      </c>
      <c r="S17" s="1" t="s">
        <v>216</v>
      </c>
      <c r="T17" s="1" t="s">
        <v>216</v>
      </c>
      <c r="U17" s="1" t="s">
        <v>216</v>
      </c>
      <c r="V17" s="1" t="s">
        <v>216</v>
      </c>
      <c r="W17" s="1" t="s">
        <v>217</v>
      </c>
      <c r="X17" s="1" t="s">
        <v>217</v>
      </c>
      <c r="Y17" s="1" t="s">
        <v>217</v>
      </c>
      <c r="Z17" s="1" t="s">
        <v>217</v>
      </c>
      <c r="AA17" s="1" t="s">
        <v>217</v>
      </c>
      <c r="AB17" s="1" t="s">
        <v>217</v>
      </c>
      <c r="AC17" s="1" t="s">
        <v>218</v>
      </c>
      <c r="AD17" s="1" t="s">
        <v>218</v>
      </c>
      <c r="AE17" s="1" t="s">
        <v>218</v>
      </c>
      <c r="AH17" s="1" t="s">
        <v>216</v>
      </c>
      <c r="AI17" s="1" t="s">
        <v>216</v>
      </c>
      <c r="AJ17" s="1" t="s">
        <v>216</v>
      </c>
      <c r="AK17" s="1" t="s">
        <v>216</v>
      </c>
      <c r="AL17" s="1" t="s">
        <v>217</v>
      </c>
      <c r="AM17" s="1" t="s">
        <v>219</v>
      </c>
      <c r="AN17" s="1" t="s">
        <v>219</v>
      </c>
      <c r="AO17" s="1" t="s">
        <v>219</v>
      </c>
      <c r="AP17" s="1" t="s">
        <v>220</v>
      </c>
      <c r="AQ17" s="1" t="s">
        <v>221</v>
      </c>
    </row>
    <row r="18" spans="1:44" x14ac:dyDescent="0.2">
      <c r="A18" s="1" t="s">
        <v>222</v>
      </c>
      <c r="B18" s="1" t="s">
        <v>223</v>
      </c>
      <c r="C18" s="1" t="s">
        <v>224</v>
      </c>
      <c r="D18" s="1" t="s">
        <v>225</v>
      </c>
      <c r="E18" s="1" t="s">
        <v>226</v>
      </c>
      <c r="F18" s="1" t="s">
        <v>227</v>
      </c>
      <c r="G18" s="1" t="s">
        <v>228</v>
      </c>
      <c r="H18" s="1" t="s">
        <v>229</v>
      </c>
      <c r="I18" s="1" t="s">
        <v>230</v>
      </c>
      <c r="J18" s="1" t="s">
        <v>231</v>
      </c>
      <c r="K18" s="1" t="s">
        <v>232</v>
      </c>
      <c r="L18" s="1" t="s">
        <v>233</v>
      </c>
      <c r="M18" s="1" t="s">
        <v>234</v>
      </c>
      <c r="N18" s="1" t="s">
        <v>235</v>
      </c>
      <c r="O18" s="1" t="s">
        <v>236</v>
      </c>
      <c r="P18" s="1" t="s">
        <v>237</v>
      </c>
      <c r="Q18" s="1" t="s">
        <v>238</v>
      </c>
      <c r="R18" s="1" t="s">
        <v>239</v>
      </c>
      <c r="S18" s="1" t="s">
        <v>240</v>
      </c>
      <c r="T18" s="1" t="s">
        <v>241</v>
      </c>
      <c r="U18" s="1" t="s">
        <v>242</v>
      </c>
      <c r="V18" s="1" t="s">
        <v>243</v>
      </c>
      <c r="W18" s="1" t="s">
        <v>234</v>
      </c>
      <c r="X18" s="1" t="s">
        <v>244</v>
      </c>
      <c r="Y18" s="1" t="s">
        <v>236</v>
      </c>
      <c r="Z18" s="1" t="s">
        <v>237</v>
      </c>
      <c r="AA18" s="1" t="s">
        <v>239</v>
      </c>
      <c r="AB18" s="1" t="s">
        <v>240</v>
      </c>
      <c r="AC18" s="1" t="s">
        <v>245</v>
      </c>
      <c r="AD18" s="1" t="s">
        <v>246</v>
      </c>
      <c r="AE18" s="1" t="s">
        <v>247</v>
      </c>
      <c r="AF18" s="1" t="s">
        <v>431</v>
      </c>
      <c r="AG18" s="1" t="s">
        <v>432</v>
      </c>
      <c r="AH18" s="1" t="s">
        <v>248</v>
      </c>
      <c r="AI18" s="1" t="s">
        <v>249</v>
      </c>
      <c r="AJ18" s="1" t="s">
        <v>250</v>
      </c>
      <c r="AK18" s="1" t="s">
        <v>251</v>
      </c>
      <c r="AL18" s="1" t="s">
        <v>251</v>
      </c>
      <c r="AM18" s="1" t="s">
        <v>252</v>
      </c>
      <c r="AN18" s="1" t="s">
        <v>253</v>
      </c>
      <c r="AO18" s="1" t="s">
        <v>254</v>
      </c>
      <c r="AP18" s="1" t="s">
        <v>255</v>
      </c>
      <c r="AQ18" s="1" t="s">
        <v>256</v>
      </c>
      <c r="AR18" s="1" t="s">
        <v>257</v>
      </c>
    </row>
    <row r="19" spans="1:44" x14ac:dyDescent="0.2">
      <c r="A19" s="1" t="s">
        <v>258</v>
      </c>
      <c r="B19" s="1" t="s">
        <v>258</v>
      </c>
      <c r="C19" s="1" t="s">
        <v>259</v>
      </c>
      <c r="D19" s="1" t="s">
        <v>258</v>
      </c>
      <c r="E19" s="1" t="s">
        <v>258</v>
      </c>
      <c r="F19" s="1" t="s">
        <v>259</v>
      </c>
      <c r="G19" s="1" t="s">
        <v>259</v>
      </c>
      <c r="H19" s="1" t="s">
        <v>259</v>
      </c>
      <c r="I19" s="1" t="s">
        <v>259</v>
      </c>
      <c r="J19" s="1" t="s">
        <v>260</v>
      </c>
      <c r="K19" s="1" t="s">
        <v>259</v>
      </c>
      <c r="L19" s="1" t="s">
        <v>259</v>
      </c>
      <c r="M19" s="1" t="s">
        <v>261</v>
      </c>
      <c r="N19" s="1" t="s">
        <v>259</v>
      </c>
      <c r="O19" s="1" t="s">
        <v>259</v>
      </c>
      <c r="P19" s="1" t="s">
        <v>259</v>
      </c>
      <c r="Q19" s="1" t="s">
        <v>258</v>
      </c>
      <c r="R19" s="1" t="s">
        <v>262</v>
      </c>
      <c r="S19" s="1" t="s">
        <v>262</v>
      </c>
      <c r="T19" s="1" t="s">
        <v>258</v>
      </c>
      <c r="U19" s="1" t="s">
        <v>259</v>
      </c>
      <c r="V19" s="1" t="s">
        <v>259</v>
      </c>
      <c r="W19" s="1" t="s">
        <v>261</v>
      </c>
      <c r="X19" s="1" t="s">
        <v>259</v>
      </c>
      <c r="Y19" s="1" t="s">
        <v>259</v>
      </c>
      <c r="Z19" s="1" t="s">
        <v>259</v>
      </c>
      <c r="AA19" s="1" t="s">
        <v>262</v>
      </c>
      <c r="AB19" s="1" t="s">
        <v>262</v>
      </c>
      <c r="AC19" s="1" t="s">
        <v>263</v>
      </c>
      <c r="AD19" s="1" t="s">
        <v>263</v>
      </c>
      <c r="AE19" s="1" t="s">
        <v>263</v>
      </c>
      <c r="AF19" s="1" t="s">
        <v>259</v>
      </c>
      <c r="AG19" s="1" t="s">
        <v>259</v>
      </c>
      <c r="AH19" s="1" t="s">
        <v>264</v>
      </c>
      <c r="AI19" s="1" t="s">
        <v>264</v>
      </c>
      <c r="AJ19" s="1" t="s">
        <v>264</v>
      </c>
      <c r="AK19" s="1" t="s">
        <v>262</v>
      </c>
      <c r="AL19" s="1" t="s">
        <v>262</v>
      </c>
      <c r="AM19" s="1" t="s">
        <v>258</v>
      </c>
      <c r="AN19" s="1" t="s">
        <v>258</v>
      </c>
      <c r="AO19" s="1" t="s">
        <v>258</v>
      </c>
      <c r="AP19" s="1" t="s">
        <v>258</v>
      </c>
      <c r="AQ19" s="1" t="s">
        <v>258</v>
      </c>
      <c r="AR19" s="1" t="s">
        <v>258</v>
      </c>
    </row>
    <row r="20" spans="1:44" x14ac:dyDescent="0.2">
      <c r="A20" s="1" t="s">
        <v>123</v>
      </c>
      <c r="B20" s="1" t="s">
        <v>265</v>
      </c>
      <c r="C20" s="1">
        <v>-32.6</v>
      </c>
      <c r="D20" s="1">
        <v>460123</v>
      </c>
      <c r="E20" s="1">
        <v>5962757</v>
      </c>
      <c r="F20" s="1">
        <v>0</v>
      </c>
      <c r="G20" s="1">
        <v>-0.6</v>
      </c>
      <c r="H20" s="1">
        <v>0</v>
      </c>
      <c r="I20" s="1">
        <v>2</v>
      </c>
      <c r="J20" s="1">
        <v>0</v>
      </c>
      <c r="K20" s="1">
        <v>-61</v>
      </c>
      <c r="L20" s="1">
        <v>28.4</v>
      </c>
      <c r="M20" s="1">
        <v>1506.9570000000001</v>
      </c>
      <c r="N20" s="1">
        <v>86.4</v>
      </c>
      <c r="O20" s="1">
        <v>8</v>
      </c>
      <c r="P20" s="1">
        <v>10</v>
      </c>
      <c r="Q20" s="1">
        <v>2.78</v>
      </c>
      <c r="R20" s="1">
        <v>68</v>
      </c>
      <c r="S20" s="1">
        <v>110</v>
      </c>
      <c r="T20" s="1">
        <v>147</v>
      </c>
      <c r="U20" s="1">
        <v>1295.92</v>
      </c>
      <c r="V20" s="1">
        <v>555.52200000000005</v>
      </c>
      <c r="W20" s="1">
        <v>752.85199999999998</v>
      </c>
      <c r="X20" s="1">
        <v>132.18100000000001</v>
      </c>
      <c r="Y20" s="1">
        <v>4.9400000000000004</v>
      </c>
      <c r="Z20" s="1">
        <v>8.0150000000000006</v>
      </c>
      <c r="AA20" s="1">
        <v>21.7</v>
      </c>
      <c r="AB20" s="1">
        <v>290.5</v>
      </c>
      <c r="AC20" s="1">
        <v>12362</v>
      </c>
      <c r="AD20" s="1">
        <v>3037</v>
      </c>
      <c r="AE20" s="1">
        <v>268</v>
      </c>
      <c r="AF20" s="1">
        <v>17</v>
      </c>
      <c r="AG20" s="1">
        <v>17</v>
      </c>
      <c r="AH20" s="1">
        <v>36</v>
      </c>
      <c r="AI20" s="1">
        <v>50.8</v>
      </c>
      <c r="AJ20" s="1">
        <v>13.2</v>
      </c>
      <c r="AK20" s="1">
        <v>78.900000000000006</v>
      </c>
      <c r="AL20" s="1">
        <v>31.9</v>
      </c>
      <c r="AM20" s="1">
        <v>8</v>
      </c>
      <c r="AN20" s="1">
        <v>0</v>
      </c>
      <c r="AO20" s="1">
        <v>0</v>
      </c>
      <c r="AP20" s="1" t="s">
        <v>266</v>
      </c>
      <c r="AQ20" s="1" t="s">
        <v>267</v>
      </c>
      <c r="AR20" s="1" t="s">
        <v>268</v>
      </c>
    </row>
    <row r="21" spans="1:44" x14ac:dyDescent="0.2">
      <c r="A21" s="1" t="s">
        <v>117</v>
      </c>
      <c r="B21" s="1" t="s">
        <v>265</v>
      </c>
      <c r="C21" s="1">
        <v>-33.700000000000003</v>
      </c>
      <c r="D21" s="1">
        <v>461361</v>
      </c>
      <c r="E21" s="1">
        <v>5962314</v>
      </c>
      <c r="F21" s="1">
        <v>0</v>
      </c>
      <c r="G21" s="1">
        <v>-0.6</v>
      </c>
      <c r="H21" s="1">
        <v>0</v>
      </c>
      <c r="I21" s="1">
        <v>2</v>
      </c>
      <c r="J21" s="1">
        <v>0</v>
      </c>
      <c r="K21" s="1">
        <v>-61.5</v>
      </c>
      <c r="L21" s="1">
        <v>27.8</v>
      </c>
      <c r="M21" s="1">
        <v>1541.789</v>
      </c>
      <c r="N21" s="1">
        <v>86.9</v>
      </c>
      <c r="O21" s="1">
        <v>8</v>
      </c>
      <c r="P21" s="1">
        <v>10</v>
      </c>
      <c r="Q21" s="1">
        <v>2.72</v>
      </c>
      <c r="R21" s="1">
        <v>68</v>
      </c>
      <c r="S21" s="1">
        <v>110</v>
      </c>
      <c r="T21" s="1">
        <v>147</v>
      </c>
      <c r="U21" s="1">
        <v>1295.7439999999999</v>
      </c>
      <c r="V21" s="1">
        <v>521.70500000000004</v>
      </c>
      <c r="W21" s="1">
        <v>752.85199999999998</v>
      </c>
      <c r="X21" s="1">
        <v>132.18100000000001</v>
      </c>
      <c r="Y21" s="1">
        <v>4.9400000000000004</v>
      </c>
      <c r="Z21" s="1">
        <v>8.0150000000000006</v>
      </c>
      <c r="AA21" s="1">
        <v>21.7</v>
      </c>
      <c r="AB21" s="1">
        <v>290.5</v>
      </c>
      <c r="AC21" s="1">
        <v>12393</v>
      </c>
      <c r="AD21" s="1">
        <v>3105</v>
      </c>
      <c r="AE21" s="1">
        <v>268</v>
      </c>
      <c r="AF21" s="1">
        <v>17</v>
      </c>
      <c r="AG21" s="1">
        <v>17</v>
      </c>
      <c r="AH21" s="1">
        <v>35.299999999999997</v>
      </c>
      <c r="AI21" s="1">
        <v>51.3</v>
      </c>
      <c r="AJ21" s="1">
        <v>13.4</v>
      </c>
      <c r="AK21" s="1">
        <v>80.099999999999994</v>
      </c>
      <c r="AL21" s="1">
        <v>31.9</v>
      </c>
      <c r="AM21" s="1">
        <v>8</v>
      </c>
      <c r="AN21" s="1">
        <v>0</v>
      </c>
      <c r="AO21" s="1">
        <v>0</v>
      </c>
      <c r="AP21" s="1" t="s">
        <v>266</v>
      </c>
      <c r="AQ21" s="1" t="s">
        <v>267</v>
      </c>
      <c r="AR21" s="1" t="s">
        <v>268</v>
      </c>
    </row>
    <row r="22" spans="1:44" x14ac:dyDescent="0.2">
      <c r="A22" s="1" t="s">
        <v>139</v>
      </c>
      <c r="B22" s="1" t="s">
        <v>269</v>
      </c>
      <c r="C22" s="1">
        <v>-32.799999999999997</v>
      </c>
      <c r="D22" s="1">
        <v>462778</v>
      </c>
      <c r="E22" s="1">
        <v>5961590</v>
      </c>
      <c r="F22" s="1">
        <v>0</v>
      </c>
      <c r="G22" s="1">
        <v>-0.6</v>
      </c>
      <c r="H22" s="1">
        <v>0</v>
      </c>
      <c r="I22" s="1">
        <v>2</v>
      </c>
      <c r="J22" s="1">
        <v>0</v>
      </c>
      <c r="K22" s="1">
        <v>-60</v>
      </c>
      <c r="L22" s="1">
        <v>27.2</v>
      </c>
      <c r="M22" s="1">
        <v>1486.3869999999999</v>
      </c>
      <c r="N22" s="1">
        <v>85.4</v>
      </c>
      <c r="O22" s="1">
        <v>8</v>
      </c>
      <c r="P22" s="1">
        <v>10</v>
      </c>
      <c r="Q22" s="1">
        <v>2.66</v>
      </c>
      <c r="R22" s="1">
        <v>68</v>
      </c>
      <c r="S22" s="1">
        <v>110</v>
      </c>
      <c r="T22" s="1">
        <v>147</v>
      </c>
      <c r="U22" s="1">
        <v>1295.9449999999999</v>
      </c>
      <c r="V22" s="1">
        <v>580.61699999999996</v>
      </c>
      <c r="W22" s="1">
        <v>752.85199999999998</v>
      </c>
      <c r="X22" s="1">
        <v>132.18100000000001</v>
      </c>
      <c r="Y22" s="1">
        <v>4.9400000000000004</v>
      </c>
      <c r="Z22" s="1">
        <v>8.0150000000000006</v>
      </c>
      <c r="AA22" s="1">
        <v>21.7</v>
      </c>
      <c r="AB22" s="1">
        <v>290.5</v>
      </c>
      <c r="AC22" s="1">
        <v>12300</v>
      </c>
      <c r="AD22" s="1">
        <v>3050</v>
      </c>
      <c r="AE22" s="1">
        <v>268</v>
      </c>
      <c r="AF22" s="1">
        <v>17</v>
      </c>
      <c r="AG22" s="1">
        <v>17</v>
      </c>
      <c r="AH22" s="1">
        <v>36.4</v>
      </c>
      <c r="AI22" s="1">
        <v>50.3</v>
      </c>
      <c r="AJ22" s="1">
        <v>13.2</v>
      </c>
      <c r="AK22" s="1">
        <v>78.8</v>
      </c>
      <c r="AL22" s="1">
        <v>31.9</v>
      </c>
      <c r="AM22" s="1">
        <v>8</v>
      </c>
      <c r="AN22" s="1">
        <v>0</v>
      </c>
      <c r="AO22" s="1">
        <v>0</v>
      </c>
      <c r="AP22" s="1" t="s">
        <v>266</v>
      </c>
      <c r="AQ22" s="1" t="s">
        <v>267</v>
      </c>
      <c r="AR22" s="1" t="s">
        <v>268</v>
      </c>
    </row>
    <row r="23" spans="1:44" x14ac:dyDescent="0.2">
      <c r="A23" s="1" t="s">
        <v>154</v>
      </c>
      <c r="B23" s="1" t="s">
        <v>265</v>
      </c>
      <c r="C23" s="1">
        <v>-31.3</v>
      </c>
      <c r="D23" s="1">
        <v>464232</v>
      </c>
      <c r="E23" s="1">
        <v>5960830</v>
      </c>
      <c r="F23" s="1">
        <v>0</v>
      </c>
      <c r="G23" s="1">
        <v>-0.7</v>
      </c>
      <c r="H23" s="1">
        <v>0</v>
      </c>
      <c r="I23" s="1">
        <v>2</v>
      </c>
      <c r="J23" s="1">
        <v>0</v>
      </c>
      <c r="K23" s="1">
        <v>-58.7</v>
      </c>
      <c r="L23" s="1">
        <v>27.4</v>
      </c>
      <c r="M23" s="1">
        <v>1457</v>
      </c>
      <c r="N23" s="1">
        <v>84.1</v>
      </c>
      <c r="O23" s="1">
        <v>8</v>
      </c>
      <c r="P23" s="1">
        <v>10</v>
      </c>
      <c r="Q23" s="1">
        <v>2.67</v>
      </c>
      <c r="R23" s="1">
        <v>68</v>
      </c>
      <c r="S23" s="1">
        <v>110</v>
      </c>
      <c r="T23" s="1">
        <v>147</v>
      </c>
      <c r="U23" s="1">
        <v>1233.7159999999999</v>
      </c>
      <c r="V23" s="1">
        <v>555.63499999999999</v>
      </c>
      <c r="W23" s="1">
        <v>752.85199999999998</v>
      </c>
      <c r="X23" s="1">
        <v>132.18100000000001</v>
      </c>
      <c r="Y23" s="1">
        <v>4.9400000000000004</v>
      </c>
      <c r="Z23" s="1">
        <v>8.0150000000000006</v>
      </c>
      <c r="AA23" s="1">
        <v>21.7</v>
      </c>
      <c r="AB23" s="1">
        <v>290.5</v>
      </c>
      <c r="AC23" s="1">
        <v>12219</v>
      </c>
      <c r="AD23" s="1">
        <v>2957</v>
      </c>
      <c r="AE23" s="1">
        <v>268</v>
      </c>
      <c r="AF23" s="1">
        <v>17</v>
      </c>
      <c r="AG23" s="1">
        <v>17</v>
      </c>
      <c r="AH23" s="1">
        <v>36.799999999999997</v>
      </c>
      <c r="AI23" s="1">
        <v>50.4</v>
      </c>
      <c r="AJ23" s="1">
        <v>12.8</v>
      </c>
      <c r="AK23" s="1">
        <v>78.5</v>
      </c>
      <c r="AL23" s="1">
        <v>31.9</v>
      </c>
      <c r="AM23" s="1">
        <v>8</v>
      </c>
      <c r="AN23" s="1">
        <v>0</v>
      </c>
      <c r="AO23" s="1">
        <v>0</v>
      </c>
      <c r="AP23" s="1" t="s">
        <v>266</v>
      </c>
      <c r="AQ23" s="1" t="s">
        <v>267</v>
      </c>
      <c r="AR23" s="1" t="s">
        <v>268</v>
      </c>
    </row>
    <row r="24" spans="1:44" x14ac:dyDescent="0.2">
      <c r="A24" s="1" t="s">
        <v>156</v>
      </c>
      <c r="B24" s="1" t="s">
        <v>265</v>
      </c>
      <c r="C24" s="1">
        <v>-28.8</v>
      </c>
      <c r="D24" s="1">
        <v>467232</v>
      </c>
      <c r="E24" s="1">
        <v>5959260</v>
      </c>
      <c r="F24" s="1">
        <v>0</v>
      </c>
      <c r="G24" s="1">
        <v>-0.6</v>
      </c>
      <c r="H24" s="1">
        <v>0</v>
      </c>
      <c r="I24" s="1">
        <v>2</v>
      </c>
      <c r="J24" s="1">
        <v>0</v>
      </c>
      <c r="K24" s="1">
        <v>-58.4</v>
      </c>
      <c r="L24" s="1">
        <v>29.6</v>
      </c>
      <c r="M24" s="1">
        <v>1429.8009999999999</v>
      </c>
      <c r="N24" s="1">
        <v>83.8</v>
      </c>
      <c r="O24" s="1">
        <v>8</v>
      </c>
      <c r="P24" s="1">
        <v>10</v>
      </c>
      <c r="Q24" s="1">
        <v>2.9</v>
      </c>
      <c r="R24" s="1">
        <v>64</v>
      </c>
      <c r="S24" s="1">
        <v>110</v>
      </c>
      <c r="T24" s="1">
        <v>147</v>
      </c>
      <c r="U24" s="1">
        <v>1233.7909999999999</v>
      </c>
      <c r="V24" s="1">
        <v>430.87599999999998</v>
      </c>
      <c r="W24" s="1">
        <v>752.85199999999998</v>
      </c>
      <c r="X24" s="1">
        <v>132.18100000000001</v>
      </c>
      <c r="Y24" s="1">
        <v>4.9400000000000004</v>
      </c>
      <c r="Z24" s="1">
        <v>8.0150000000000006</v>
      </c>
      <c r="AA24" s="1">
        <v>21.7</v>
      </c>
      <c r="AB24" s="1">
        <v>290.5</v>
      </c>
      <c r="AC24" s="1">
        <v>12201</v>
      </c>
      <c r="AD24" s="1">
        <v>2801</v>
      </c>
      <c r="AE24" s="1">
        <v>268</v>
      </c>
      <c r="AF24" s="1">
        <v>19</v>
      </c>
      <c r="AG24" s="1">
        <v>19</v>
      </c>
      <c r="AH24" s="1">
        <v>37.299999999999997</v>
      </c>
      <c r="AI24" s="1">
        <v>50.1</v>
      </c>
      <c r="AJ24" s="1">
        <v>12.6</v>
      </c>
      <c r="AK24" s="1">
        <v>77.3</v>
      </c>
      <c r="AL24" s="1">
        <v>31.9</v>
      </c>
      <c r="AM24" s="1">
        <v>8</v>
      </c>
      <c r="AN24" s="1">
        <v>0</v>
      </c>
      <c r="AO24" s="1">
        <v>0</v>
      </c>
      <c r="AP24" s="1" t="s">
        <v>266</v>
      </c>
      <c r="AQ24" s="1" t="s">
        <v>267</v>
      </c>
      <c r="AR24" s="1" t="s">
        <v>268</v>
      </c>
    </row>
    <row r="25" spans="1:44" x14ac:dyDescent="0.2">
      <c r="A25" s="1" t="s">
        <v>160</v>
      </c>
      <c r="B25" s="1" t="s">
        <v>265</v>
      </c>
      <c r="C25" s="1">
        <v>-29.5</v>
      </c>
      <c r="D25" s="1">
        <v>468749</v>
      </c>
      <c r="E25" s="1">
        <v>5958460</v>
      </c>
      <c r="F25" s="1">
        <v>0</v>
      </c>
      <c r="G25" s="1">
        <v>-0.7</v>
      </c>
      <c r="H25" s="1">
        <v>0</v>
      </c>
      <c r="I25" s="1">
        <v>2</v>
      </c>
      <c r="J25" s="1">
        <v>0</v>
      </c>
      <c r="K25" s="1">
        <v>-57.9</v>
      </c>
      <c r="L25" s="1">
        <v>28.4</v>
      </c>
      <c r="M25" s="1">
        <v>1416.742</v>
      </c>
      <c r="N25" s="1">
        <v>83.3</v>
      </c>
      <c r="O25" s="1">
        <v>8</v>
      </c>
      <c r="P25" s="1">
        <v>10</v>
      </c>
      <c r="Q25" s="1">
        <v>2.77</v>
      </c>
      <c r="R25" s="1">
        <v>64</v>
      </c>
      <c r="S25" s="1">
        <v>110</v>
      </c>
      <c r="T25" s="1">
        <v>147</v>
      </c>
      <c r="U25" s="1">
        <v>1233.8040000000001</v>
      </c>
      <c r="V25" s="1">
        <v>430.87599999999998</v>
      </c>
      <c r="W25" s="1">
        <v>752.85199999999998</v>
      </c>
      <c r="X25" s="1">
        <v>132.18100000000001</v>
      </c>
      <c r="Y25" s="1">
        <v>4.9400000000000004</v>
      </c>
      <c r="Z25" s="1">
        <v>8.0150000000000006</v>
      </c>
      <c r="AA25" s="1">
        <v>21.7</v>
      </c>
      <c r="AB25" s="1">
        <v>290.5</v>
      </c>
      <c r="AC25" s="1">
        <v>12170</v>
      </c>
      <c r="AD25" s="1">
        <v>2845</v>
      </c>
      <c r="AE25" s="1">
        <v>268</v>
      </c>
      <c r="AF25" s="1">
        <v>17</v>
      </c>
      <c r="AG25" s="1">
        <v>17</v>
      </c>
      <c r="AH25" s="1">
        <v>37.700000000000003</v>
      </c>
      <c r="AI25" s="1">
        <v>49.6</v>
      </c>
      <c r="AJ25" s="1">
        <v>12.7</v>
      </c>
      <c r="AK25" s="1">
        <v>77.099999999999994</v>
      </c>
      <c r="AL25" s="1">
        <v>31.9</v>
      </c>
      <c r="AM25" s="1">
        <v>8</v>
      </c>
      <c r="AN25" s="1">
        <v>0</v>
      </c>
      <c r="AO25" s="1">
        <v>0</v>
      </c>
      <c r="AP25" s="1" t="s">
        <v>266</v>
      </c>
      <c r="AQ25" s="1" t="s">
        <v>267</v>
      </c>
      <c r="AR25" s="1" t="s">
        <v>268</v>
      </c>
    </row>
    <row r="26" spans="1:44" x14ac:dyDescent="0.2">
      <c r="A26" s="1" t="s">
        <v>157</v>
      </c>
      <c r="B26" s="1" t="s">
        <v>265</v>
      </c>
      <c r="C26" s="1">
        <v>-29.6</v>
      </c>
      <c r="D26" s="1">
        <v>470269</v>
      </c>
      <c r="E26" s="1">
        <v>5957660</v>
      </c>
      <c r="F26" s="1">
        <v>0</v>
      </c>
      <c r="G26" s="1">
        <v>-0.6</v>
      </c>
      <c r="H26" s="1">
        <v>0</v>
      </c>
      <c r="I26" s="1">
        <v>2</v>
      </c>
      <c r="J26" s="1">
        <v>0</v>
      </c>
      <c r="K26" s="1">
        <v>-58.5</v>
      </c>
      <c r="L26" s="1">
        <v>28.9</v>
      </c>
      <c r="M26" s="1">
        <v>1430.37</v>
      </c>
      <c r="N26" s="1">
        <v>83.9</v>
      </c>
      <c r="O26" s="1">
        <v>8</v>
      </c>
      <c r="P26" s="1">
        <v>10</v>
      </c>
      <c r="Q26" s="1">
        <v>2.83</v>
      </c>
      <c r="R26" s="1">
        <v>64</v>
      </c>
      <c r="S26" s="1">
        <v>110</v>
      </c>
      <c r="T26" s="1">
        <v>147</v>
      </c>
      <c r="U26" s="1">
        <v>1233.8040000000001</v>
      </c>
      <c r="V26" s="1">
        <v>430.87599999999998</v>
      </c>
      <c r="W26" s="1">
        <v>752.85199999999998</v>
      </c>
      <c r="X26" s="1">
        <v>132.18100000000001</v>
      </c>
      <c r="Y26" s="1">
        <v>4.9400000000000004</v>
      </c>
      <c r="Z26" s="1">
        <v>8.0150000000000006</v>
      </c>
      <c r="AA26" s="1">
        <v>21.7</v>
      </c>
      <c r="AB26" s="1">
        <v>290.5</v>
      </c>
      <c r="AC26" s="1">
        <v>12207</v>
      </c>
      <c r="AD26" s="1">
        <v>2851</v>
      </c>
      <c r="AE26" s="1">
        <v>268</v>
      </c>
      <c r="AF26" s="1">
        <v>19</v>
      </c>
      <c r="AG26" s="1">
        <v>19</v>
      </c>
      <c r="AH26" s="1">
        <v>37.299999999999997</v>
      </c>
      <c r="AI26" s="1">
        <v>50.1</v>
      </c>
      <c r="AJ26" s="1">
        <v>12.6</v>
      </c>
      <c r="AK26" s="1">
        <v>77.3</v>
      </c>
      <c r="AL26" s="1">
        <v>31.9</v>
      </c>
      <c r="AM26" s="1">
        <v>8</v>
      </c>
      <c r="AN26" s="1">
        <v>0</v>
      </c>
      <c r="AO26" s="1">
        <v>0</v>
      </c>
      <c r="AP26" s="1" t="s">
        <v>266</v>
      </c>
      <c r="AQ26" s="1" t="s">
        <v>267</v>
      </c>
      <c r="AR26" s="1" t="s">
        <v>268</v>
      </c>
    </row>
    <row r="27" spans="1:44" x14ac:dyDescent="0.2">
      <c r="A27" s="1" t="s">
        <v>13</v>
      </c>
      <c r="B27" s="1" t="s">
        <v>265</v>
      </c>
      <c r="C27" s="1">
        <v>-29.5</v>
      </c>
      <c r="D27" s="1">
        <v>471829</v>
      </c>
      <c r="E27" s="1">
        <v>5956840</v>
      </c>
      <c r="F27" s="1">
        <v>0</v>
      </c>
      <c r="G27" s="1">
        <v>-0.6</v>
      </c>
      <c r="H27" s="1">
        <v>0</v>
      </c>
      <c r="I27" s="1">
        <v>2</v>
      </c>
      <c r="J27" s="1">
        <v>0</v>
      </c>
      <c r="K27" s="1">
        <v>-60.2</v>
      </c>
      <c r="L27" s="1">
        <v>30.7</v>
      </c>
      <c r="M27" s="1">
        <v>1493.6559999999999</v>
      </c>
      <c r="N27" s="1">
        <v>85.6</v>
      </c>
      <c r="O27" s="1">
        <v>8</v>
      </c>
      <c r="P27" s="1">
        <v>10</v>
      </c>
      <c r="Q27" s="1">
        <v>3.01</v>
      </c>
      <c r="R27" s="1">
        <v>64</v>
      </c>
      <c r="S27" s="1">
        <v>110</v>
      </c>
      <c r="T27" s="1">
        <v>147</v>
      </c>
      <c r="U27" s="1">
        <v>1295.9570000000001</v>
      </c>
      <c r="V27" s="1">
        <v>461.274</v>
      </c>
      <c r="W27" s="1">
        <v>752.85199999999998</v>
      </c>
      <c r="X27" s="1">
        <v>132.18100000000001</v>
      </c>
      <c r="Y27" s="1">
        <v>4.9400000000000004</v>
      </c>
      <c r="Z27" s="1">
        <v>8.0150000000000006</v>
      </c>
      <c r="AA27" s="1">
        <v>21.7</v>
      </c>
      <c r="AB27" s="1">
        <v>290.5</v>
      </c>
      <c r="AC27" s="1">
        <v>12313</v>
      </c>
      <c r="AD27" s="1">
        <v>2844</v>
      </c>
      <c r="AE27" s="1">
        <v>268</v>
      </c>
      <c r="AF27" s="1">
        <v>21</v>
      </c>
      <c r="AG27" s="1">
        <v>21</v>
      </c>
      <c r="AH27" s="1">
        <v>35.700000000000003</v>
      </c>
      <c r="AI27" s="1">
        <v>52.2</v>
      </c>
      <c r="AJ27" s="1">
        <v>12</v>
      </c>
      <c r="AK27" s="1">
        <v>78.8</v>
      </c>
      <c r="AL27" s="1">
        <v>31.9</v>
      </c>
      <c r="AM27" s="1">
        <v>8</v>
      </c>
      <c r="AN27" s="1">
        <v>0</v>
      </c>
      <c r="AO27" s="1">
        <v>0</v>
      </c>
      <c r="AP27" s="1" t="s">
        <v>266</v>
      </c>
      <c r="AQ27" s="1" t="s">
        <v>267</v>
      </c>
      <c r="AR27" s="1" t="s">
        <v>268</v>
      </c>
    </row>
    <row r="28" spans="1:44" x14ac:dyDescent="0.2">
      <c r="A28" s="1" t="s">
        <v>140</v>
      </c>
      <c r="B28" s="1" t="s">
        <v>265</v>
      </c>
      <c r="C28" s="1">
        <v>-30.2</v>
      </c>
      <c r="D28" s="1">
        <v>473388</v>
      </c>
      <c r="E28" s="1">
        <v>5956030</v>
      </c>
      <c r="F28" s="1">
        <v>0</v>
      </c>
      <c r="G28" s="1">
        <v>-0.7</v>
      </c>
      <c r="H28" s="1">
        <v>0</v>
      </c>
      <c r="I28" s="1">
        <v>2</v>
      </c>
      <c r="J28" s="1">
        <v>0</v>
      </c>
      <c r="K28" s="1">
        <v>-60.4</v>
      </c>
      <c r="L28" s="1">
        <v>30.2</v>
      </c>
      <c r="M28" s="1">
        <v>1467.4380000000001</v>
      </c>
      <c r="N28" s="1">
        <v>85.8</v>
      </c>
      <c r="O28" s="1">
        <v>8</v>
      </c>
      <c r="P28" s="1">
        <v>10</v>
      </c>
      <c r="Q28" s="1">
        <v>2.95</v>
      </c>
      <c r="R28" s="1">
        <v>68</v>
      </c>
      <c r="S28" s="1">
        <v>110</v>
      </c>
      <c r="T28" s="1">
        <v>147</v>
      </c>
      <c r="U28" s="1">
        <v>1296.183</v>
      </c>
      <c r="V28" s="1">
        <v>549.80399999999997</v>
      </c>
      <c r="W28" s="1">
        <v>752.85199999999998</v>
      </c>
      <c r="X28" s="1">
        <v>132.18100000000001</v>
      </c>
      <c r="Y28" s="1">
        <v>4.9400000000000004</v>
      </c>
      <c r="Z28" s="1">
        <v>8.0150000000000006</v>
      </c>
      <c r="AA28" s="1">
        <v>21.7</v>
      </c>
      <c r="AB28" s="1">
        <v>290.5</v>
      </c>
      <c r="AC28" s="1">
        <v>12326</v>
      </c>
      <c r="AD28" s="1">
        <v>2889</v>
      </c>
      <c r="AE28" s="1">
        <v>268</v>
      </c>
      <c r="AF28" s="1">
        <v>19</v>
      </c>
      <c r="AG28" s="1">
        <v>19</v>
      </c>
      <c r="AH28" s="1">
        <v>36.4</v>
      </c>
      <c r="AI28" s="1">
        <v>51.1</v>
      </c>
      <c r="AJ28" s="1">
        <v>12.5</v>
      </c>
      <c r="AK28" s="1">
        <v>77.3</v>
      </c>
      <c r="AL28" s="1">
        <v>31.9</v>
      </c>
      <c r="AM28" s="1">
        <v>8</v>
      </c>
      <c r="AN28" s="1">
        <v>0</v>
      </c>
      <c r="AO28" s="1">
        <v>0</v>
      </c>
      <c r="AP28" s="1" t="s">
        <v>266</v>
      </c>
      <c r="AQ28" s="1" t="s">
        <v>267</v>
      </c>
      <c r="AR28" s="1" t="s">
        <v>268</v>
      </c>
    </row>
    <row r="29" spans="1:44" x14ac:dyDescent="0.2">
      <c r="A29" s="1" t="s">
        <v>150</v>
      </c>
      <c r="B29" s="1" t="s">
        <v>265</v>
      </c>
      <c r="C29" s="1">
        <v>-31.4</v>
      </c>
      <c r="D29" s="1">
        <v>474937</v>
      </c>
      <c r="E29" s="1">
        <v>5955210</v>
      </c>
      <c r="F29" s="1">
        <v>0</v>
      </c>
      <c r="G29" s="1">
        <v>-0.7</v>
      </c>
      <c r="H29" s="1">
        <v>0</v>
      </c>
      <c r="I29" s="1">
        <v>2</v>
      </c>
      <c r="J29" s="1">
        <v>0</v>
      </c>
      <c r="K29" s="1">
        <v>-59.6</v>
      </c>
      <c r="L29" s="1">
        <v>28.2</v>
      </c>
      <c r="M29" s="1">
        <v>1456.664</v>
      </c>
      <c r="N29" s="1">
        <v>85</v>
      </c>
      <c r="O29" s="1">
        <v>8</v>
      </c>
      <c r="P29" s="1">
        <v>10</v>
      </c>
      <c r="Q29" s="1">
        <v>2.75</v>
      </c>
      <c r="R29" s="1">
        <v>68</v>
      </c>
      <c r="S29" s="1">
        <v>110</v>
      </c>
      <c r="T29" s="1">
        <v>147</v>
      </c>
      <c r="U29" s="1">
        <v>1296.1079999999999</v>
      </c>
      <c r="V29" s="1">
        <v>549.33900000000006</v>
      </c>
      <c r="W29" s="1">
        <v>752.85199999999998</v>
      </c>
      <c r="X29" s="1">
        <v>132.18100000000001</v>
      </c>
      <c r="Y29" s="1">
        <v>4.9400000000000004</v>
      </c>
      <c r="Z29" s="1">
        <v>8.0150000000000006</v>
      </c>
      <c r="AA29" s="1">
        <v>21.7</v>
      </c>
      <c r="AB29" s="1">
        <v>290.5</v>
      </c>
      <c r="AC29" s="1">
        <v>12276</v>
      </c>
      <c r="AD29" s="1">
        <v>2963</v>
      </c>
      <c r="AE29" s="1">
        <v>268</v>
      </c>
      <c r="AF29" s="1">
        <v>17</v>
      </c>
      <c r="AG29" s="1">
        <v>17</v>
      </c>
      <c r="AH29" s="1">
        <v>36.9</v>
      </c>
      <c r="AI29" s="1">
        <v>50.2</v>
      </c>
      <c r="AJ29" s="1">
        <v>12.9</v>
      </c>
      <c r="AK29" s="1">
        <v>77.599999999999994</v>
      </c>
      <c r="AL29" s="1">
        <v>31.9</v>
      </c>
      <c r="AM29" s="1">
        <v>8</v>
      </c>
      <c r="AN29" s="1">
        <v>0</v>
      </c>
      <c r="AO29" s="1">
        <v>0</v>
      </c>
      <c r="AP29" s="1" t="s">
        <v>266</v>
      </c>
      <c r="AQ29" s="1" t="s">
        <v>267</v>
      </c>
      <c r="AR29" s="1" t="s">
        <v>268</v>
      </c>
    </row>
    <row r="30" spans="1:44" x14ac:dyDescent="0.2">
      <c r="A30" s="1" t="s">
        <v>119</v>
      </c>
      <c r="B30" s="1" t="s">
        <v>265</v>
      </c>
      <c r="C30" s="1">
        <v>-33.799999999999997</v>
      </c>
      <c r="D30" s="1">
        <v>476497</v>
      </c>
      <c r="E30" s="1">
        <v>5954390</v>
      </c>
      <c r="F30" s="1">
        <v>0</v>
      </c>
      <c r="G30" s="1">
        <v>-0.7</v>
      </c>
      <c r="H30" s="1">
        <v>0</v>
      </c>
      <c r="I30" s="1">
        <v>2</v>
      </c>
      <c r="J30" s="1">
        <v>0</v>
      </c>
      <c r="K30" s="1">
        <v>-61.5</v>
      </c>
      <c r="L30" s="1">
        <v>27.7</v>
      </c>
      <c r="M30" s="1">
        <v>1529.1079999999999</v>
      </c>
      <c r="N30" s="1">
        <v>86.9</v>
      </c>
      <c r="O30" s="1">
        <v>8</v>
      </c>
      <c r="P30" s="1">
        <v>10</v>
      </c>
      <c r="Q30" s="1">
        <v>2.7</v>
      </c>
      <c r="R30" s="1">
        <v>68</v>
      </c>
      <c r="S30" s="1">
        <v>110</v>
      </c>
      <c r="T30" s="1">
        <v>147</v>
      </c>
      <c r="U30" s="1">
        <v>1295.8320000000001</v>
      </c>
      <c r="V30" s="1">
        <v>553.76199999999994</v>
      </c>
      <c r="W30" s="1">
        <v>752.85199999999998</v>
      </c>
      <c r="X30" s="1">
        <v>132.18100000000001</v>
      </c>
      <c r="Y30" s="1">
        <v>4.9400000000000004</v>
      </c>
      <c r="Z30" s="1">
        <v>8.0150000000000006</v>
      </c>
      <c r="AA30" s="1">
        <v>21.7</v>
      </c>
      <c r="AB30" s="1">
        <v>290.5</v>
      </c>
      <c r="AC30" s="1">
        <v>12393</v>
      </c>
      <c r="AD30" s="1">
        <v>3112</v>
      </c>
      <c r="AE30" s="1">
        <v>268</v>
      </c>
      <c r="AF30" s="1">
        <v>17</v>
      </c>
      <c r="AG30" s="1">
        <v>17</v>
      </c>
      <c r="AH30" s="1">
        <v>35.5</v>
      </c>
      <c r="AI30" s="1">
        <v>51.3</v>
      </c>
      <c r="AJ30" s="1">
        <v>13.2</v>
      </c>
      <c r="AK30" s="1">
        <v>79.5</v>
      </c>
      <c r="AL30" s="1">
        <v>31.9</v>
      </c>
      <c r="AM30" s="1">
        <v>8</v>
      </c>
      <c r="AN30" s="1">
        <v>0</v>
      </c>
      <c r="AO30" s="1">
        <v>0</v>
      </c>
      <c r="AP30" s="1" t="s">
        <v>266</v>
      </c>
      <c r="AQ30" s="1" t="s">
        <v>267</v>
      </c>
      <c r="AR30" s="1" t="s">
        <v>268</v>
      </c>
    </row>
    <row r="31" spans="1:44" x14ac:dyDescent="0.2">
      <c r="A31" s="1" t="s">
        <v>53</v>
      </c>
      <c r="B31" s="1" t="s">
        <v>265</v>
      </c>
      <c r="C31" s="1">
        <v>-36.200000000000003</v>
      </c>
      <c r="D31" s="1">
        <v>478064</v>
      </c>
      <c r="E31" s="1">
        <v>5953570</v>
      </c>
      <c r="F31" s="1">
        <v>0</v>
      </c>
      <c r="G31" s="1">
        <v>-0.7</v>
      </c>
      <c r="H31" s="1">
        <v>0</v>
      </c>
      <c r="I31" s="1">
        <v>2</v>
      </c>
      <c r="J31" s="1">
        <v>0</v>
      </c>
      <c r="K31" s="1">
        <v>-64.8</v>
      </c>
      <c r="L31" s="1">
        <v>28.6</v>
      </c>
      <c r="M31" s="1">
        <v>1666.5830000000001</v>
      </c>
      <c r="N31" s="1">
        <v>90.2</v>
      </c>
      <c r="O31" s="1">
        <v>8</v>
      </c>
      <c r="P31" s="1">
        <v>10</v>
      </c>
      <c r="Q31" s="1">
        <v>2.79</v>
      </c>
      <c r="R31" s="1">
        <v>68</v>
      </c>
      <c r="S31" s="1">
        <v>110</v>
      </c>
      <c r="T31" s="1">
        <v>147</v>
      </c>
      <c r="U31" s="1">
        <v>1357.6959999999999</v>
      </c>
      <c r="V31" s="1">
        <v>422.00400000000002</v>
      </c>
      <c r="W31" s="1">
        <v>752.85199999999998</v>
      </c>
      <c r="X31" s="1">
        <v>132.18100000000001</v>
      </c>
      <c r="Y31" s="1">
        <v>4.9400000000000004</v>
      </c>
      <c r="Z31" s="1">
        <v>8.0150000000000006</v>
      </c>
      <c r="AA31" s="1">
        <v>21.7</v>
      </c>
      <c r="AB31" s="1">
        <v>290.5</v>
      </c>
      <c r="AC31" s="1">
        <v>12597</v>
      </c>
      <c r="AD31" s="1">
        <v>3260</v>
      </c>
      <c r="AE31" s="1">
        <v>268</v>
      </c>
      <c r="AF31" s="1">
        <v>19</v>
      </c>
      <c r="AG31" s="1">
        <v>19</v>
      </c>
      <c r="AH31" s="1">
        <v>32.9</v>
      </c>
      <c r="AI31" s="1">
        <v>54.3</v>
      </c>
      <c r="AJ31" s="1">
        <v>12.8</v>
      </c>
      <c r="AK31" s="1">
        <v>83</v>
      </c>
      <c r="AL31" s="1">
        <v>31.9</v>
      </c>
      <c r="AM31" s="1">
        <v>8</v>
      </c>
      <c r="AN31" s="1">
        <v>0</v>
      </c>
      <c r="AO31" s="1">
        <v>0</v>
      </c>
      <c r="AP31" s="1" t="s">
        <v>266</v>
      </c>
      <c r="AQ31" s="1" t="s">
        <v>267</v>
      </c>
      <c r="AR31" s="1" t="s">
        <v>268</v>
      </c>
    </row>
    <row r="32" spans="1:44" x14ac:dyDescent="0.2">
      <c r="A32" s="1" t="s">
        <v>40</v>
      </c>
      <c r="B32" s="1" t="s">
        <v>265</v>
      </c>
      <c r="C32" s="1">
        <v>-36.1</v>
      </c>
      <c r="D32" s="1">
        <v>479604</v>
      </c>
      <c r="E32" s="1">
        <v>5952760</v>
      </c>
      <c r="F32" s="1">
        <v>0</v>
      </c>
      <c r="G32" s="1">
        <v>-0.6</v>
      </c>
      <c r="H32" s="1">
        <v>0</v>
      </c>
      <c r="I32" s="1">
        <v>2</v>
      </c>
      <c r="J32" s="1">
        <v>0</v>
      </c>
      <c r="K32" s="1">
        <v>-65.3</v>
      </c>
      <c r="L32" s="1">
        <v>29.2</v>
      </c>
      <c r="M32" s="1">
        <v>1673.229</v>
      </c>
      <c r="N32" s="1">
        <v>90.7</v>
      </c>
      <c r="O32" s="1">
        <v>8</v>
      </c>
      <c r="P32" s="1">
        <v>10</v>
      </c>
      <c r="Q32" s="1">
        <v>2.86</v>
      </c>
      <c r="R32" s="1">
        <v>68</v>
      </c>
      <c r="S32" s="1">
        <v>110</v>
      </c>
      <c r="T32" s="1">
        <v>147</v>
      </c>
      <c r="U32" s="1">
        <v>1357.7080000000001</v>
      </c>
      <c r="V32" s="1">
        <v>427.75900000000001</v>
      </c>
      <c r="W32" s="1">
        <v>752.85199999999998</v>
      </c>
      <c r="X32" s="1">
        <v>132.18100000000001</v>
      </c>
      <c r="Y32" s="1">
        <v>4.9400000000000004</v>
      </c>
      <c r="Z32" s="1">
        <v>8.0150000000000006</v>
      </c>
      <c r="AA32" s="1">
        <v>21.7</v>
      </c>
      <c r="AB32" s="1">
        <v>290.5</v>
      </c>
      <c r="AC32" s="1">
        <v>12628</v>
      </c>
      <c r="AD32" s="1">
        <v>3254</v>
      </c>
      <c r="AE32" s="1">
        <v>268</v>
      </c>
      <c r="AF32" s="1">
        <v>19</v>
      </c>
      <c r="AG32" s="1">
        <v>19</v>
      </c>
      <c r="AH32" s="1">
        <v>32.700000000000003</v>
      </c>
      <c r="AI32" s="1">
        <v>54.4</v>
      </c>
      <c r="AJ32" s="1">
        <v>12.9</v>
      </c>
      <c r="AK32" s="1">
        <v>82.8</v>
      </c>
      <c r="AL32" s="1">
        <v>31.9</v>
      </c>
      <c r="AM32" s="1">
        <v>8</v>
      </c>
      <c r="AN32" s="1">
        <v>0</v>
      </c>
      <c r="AO32" s="1">
        <v>0</v>
      </c>
      <c r="AP32" s="1" t="s">
        <v>266</v>
      </c>
      <c r="AQ32" s="1" t="s">
        <v>267</v>
      </c>
      <c r="AR32" s="1" t="s">
        <v>268</v>
      </c>
    </row>
    <row r="33" spans="1:44" x14ac:dyDescent="0.2">
      <c r="A33" s="1" t="s">
        <v>183</v>
      </c>
      <c r="B33" s="1" t="s">
        <v>265</v>
      </c>
      <c r="C33" s="1">
        <v>-36.200000000000003</v>
      </c>
      <c r="D33" s="1">
        <v>481173</v>
      </c>
      <c r="E33" s="1">
        <v>5951940</v>
      </c>
      <c r="F33" s="1">
        <v>0</v>
      </c>
      <c r="G33" s="1">
        <v>-0.6</v>
      </c>
      <c r="H33" s="1">
        <v>0</v>
      </c>
      <c r="I33" s="1">
        <v>2</v>
      </c>
      <c r="J33" s="1">
        <v>0</v>
      </c>
      <c r="K33" s="1">
        <v>-66.7</v>
      </c>
      <c r="L33" s="1">
        <v>30.5</v>
      </c>
      <c r="M33" s="1">
        <v>1682.5050000000001</v>
      </c>
      <c r="N33" s="1">
        <v>92.1</v>
      </c>
      <c r="O33" s="1">
        <v>8</v>
      </c>
      <c r="P33" s="1">
        <v>10.5</v>
      </c>
      <c r="Q33" s="1">
        <v>2.8475999999999999</v>
      </c>
      <c r="R33" s="1">
        <v>68</v>
      </c>
      <c r="S33" s="1">
        <v>112</v>
      </c>
      <c r="T33" s="1">
        <v>146</v>
      </c>
      <c r="U33" s="1">
        <v>1406.51</v>
      </c>
      <c r="V33" s="1">
        <v>388.74099999999999</v>
      </c>
      <c r="W33" s="1">
        <v>752.85199999999998</v>
      </c>
      <c r="X33" s="1">
        <v>132.18100000000001</v>
      </c>
      <c r="Y33" s="1">
        <v>4.9400000000000004</v>
      </c>
      <c r="Z33" s="1">
        <v>8.0150000000000006</v>
      </c>
      <c r="AA33" s="1">
        <v>21.7</v>
      </c>
      <c r="AB33" s="1">
        <v>290.5</v>
      </c>
      <c r="AC33" s="1">
        <v>12867</v>
      </c>
      <c r="AD33" s="1">
        <v>3323</v>
      </c>
      <c r="AE33" s="1">
        <v>268</v>
      </c>
      <c r="AF33" s="1">
        <v>19</v>
      </c>
      <c r="AG33" s="1">
        <v>19</v>
      </c>
      <c r="AH33" s="1">
        <v>32.799999999999997</v>
      </c>
      <c r="AI33" s="1">
        <v>52.7</v>
      </c>
      <c r="AJ33" s="1">
        <v>14.6</v>
      </c>
      <c r="AK33" s="1">
        <v>79.900000000000006</v>
      </c>
      <c r="AL33" s="1">
        <v>31.9</v>
      </c>
      <c r="AM33" s="1">
        <v>8</v>
      </c>
      <c r="AN33" s="1">
        <v>0</v>
      </c>
      <c r="AO33" s="1">
        <v>0</v>
      </c>
      <c r="AP33" s="1" t="s">
        <v>270</v>
      </c>
      <c r="AQ33" s="1" t="s">
        <v>267</v>
      </c>
      <c r="AR33" s="1" t="s">
        <v>268</v>
      </c>
    </row>
    <row r="34" spans="1:44" x14ac:dyDescent="0.2">
      <c r="A34" s="1" t="s">
        <v>176</v>
      </c>
      <c r="B34" s="1" t="s">
        <v>265</v>
      </c>
      <c r="C34" s="1">
        <v>-37.200000000000003</v>
      </c>
      <c r="D34" s="1">
        <v>482709</v>
      </c>
      <c r="E34" s="1">
        <v>5951130</v>
      </c>
      <c r="F34" s="1">
        <v>0</v>
      </c>
      <c r="G34" s="1">
        <v>-0.6</v>
      </c>
      <c r="H34" s="1">
        <v>0</v>
      </c>
      <c r="I34" s="1">
        <v>2</v>
      </c>
      <c r="J34" s="1">
        <v>0</v>
      </c>
      <c r="K34" s="1">
        <v>-69</v>
      </c>
      <c r="L34" s="1">
        <v>31.8</v>
      </c>
      <c r="M34" s="1">
        <v>1754.989</v>
      </c>
      <c r="N34" s="1">
        <v>94.4</v>
      </c>
      <c r="O34" s="1">
        <v>8</v>
      </c>
      <c r="P34" s="1">
        <v>10.5</v>
      </c>
      <c r="Q34" s="1">
        <v>2.9714</v>
      </c>
      <c r="R34" s="1">
        <v>72</v>
      </c>
      <c r="S34" s="1">
        <v>112</v>
      </c>
      <c r="T34" s="1">
        <v>146</v>
      </c>
      <c r="U34" s="1">
        <v>1406.2840000000001</v>
      </c>
      <c r="V34" s="1">
        <v>454.17399999999998</v>
      </c>
      <c r="W34" s="1">
        <v>752.85199999999998</v>
      </c>
      <c r="X34" s="1">
        <v>132.18100000000001</v>
      </c>
      <c r="Y34" s="1">
        <v>4.9400000000000004</v>
      </c>
      <c r="Z34" s="1">
        <v>8.0150000000000006</v>
      </c>
      <c r="AA34" s="1">
        <v>21.7</v>
      </c>
      <c r="AB34" s="1">
        <v>290.5</v>
      </c>
      <c r="AC34" s="1">
        <v>13016</v>
      </c>
      <c r="AD34" s="1">
        <v>3388</v>
      </c>
      <c r="AE34" s="1">
        <v>268</v>
      </c>
      <c r="AF34" s="1">
        <v>21</v>
      </c>
      <c r="AG34" s="1">
        <v>21</v>
      </c>
      <c r="AH34" s="1">
        <v>32.299999999999997</v>
      </c>
      <c r="AI34" s="1">
        <v>53</v>
      </c>
      <c r="AJ34" s="1">
        <v>14.7</v>
      </c>
      <c r="AK34" s="1">
        <v>81.3</v>
      </c>
      <c r="AL34" s="1">
        <v>31.9</v>
      </c>
      <c r="AM34" s="1">
        <v>8</v>
      </c>
      <c r="AN34" s="1">
        <v>0</v>
      </c>
      <c r="AO34" s="1">
        <v>0</v>
      </c>
      <c r="AP34" s="1" t="s">
        <v>270</v>
      </c>
      <c r="AQ34" s="1" t="s">
        <v>267</v>
      </c>
      <c r="AR34" s="1" t="s">
        <v>268</v>
      </c>
    </row>
    <row r="35" spans="1:44" x14ac:dyDescent="0.2">
      <c r="A35" s="1" t="s">
        <v>211</v>
      </c>
      <c r="B35" s="1" t="s">
        <v>265</v>
      </c>
      <c r="C35" s="1">
        <v>-39.1</v>
      </c>
      <c r="D35" s="1">
        <v>484249</v>
      </c>
      <c r="E35" s="1">
        <v>5950333</v>
      </c>
      <c r="F35" s="1">
        <v>0</v>
      </c>
      <c r="G35" s="1">
        <v>-0.7</v>
      </c>
      <c r="H35" s="1">
        <v>0</v>
      </c>
      <c r="I35" s="1">
        <v>2</v>
      </c>
      <c r="J35" s="1">
        <v>0</v>
      </c>
      <c r="K35" s="1">
        <v>-72.599999999999994</v>
      </c>
      <c r="L35" s="1">
        <v>33.5</v>
      </c>
      <c r="M35" s="1">
        <v>1903.4459999999999</v>
      </c>
      <c r="N35" s="1">
        <v>98</v>
      </c>
      <c r="O35" s="1">
        <v>8</v>
      </c>
      <c r="P35" s="1">
        <v>11</v>
      </c>
      <c r="Q35" s="1">
        <v>2.9817999999999998</v>
      </c>
      <c r="R35" s="1">
        <v>70</v>
      </c>
      <c r="S35" s="1">
        <v>117</v>
      </c>
      <c r="T35" s="1">
        <v>149</v>
      </c>
      <c r="U35" s="1">
        <v>1507.223</v>
      </c>
      <c r="V35" s="1">
        <v>327.68700000000001</v>
      </c>
      <c r="W35" s="1">
        <v>752.85199999999998</v>
      </c>
      <c r="X35" s="1">
        <v>132.18100000000001</v>
      </c>
      <c r="Y35" s="1">
        <v>4.9400000000000004</v>
      </c>
      <c r="Z35" s="1">
        <v>8.0150000000000006</v>
      </c>
      <c r="AA35" s="1">
        <v>21.7</v>
      </c>
      <c r="AB35" s="1">
        <v>290.5</v>
      </c>
      <c r="AC35" s="1">
        <v>13410</v>
      </c>
      <c r="AD35" s="1">
        <v>3574</v>
      </c>
      <c r="AE35" s="1">
        <v>268</v>
      </c>
      <c r="AF35" s="1">
        <v>23</v>
      </c>
      <c r="AG35" s="1">
        <v>23</v>
      </c>
      <c r="AH35" s="1">
        <v>29.9</v>
      </c>
      <c r="AI35" s="1">
        <v>53.8</v>
      </c>
      <c r="AJ35" s="1">
        <v>16.3</v>
      </c>
      <c r="AK35" s="1">
        <v>82.3</v>
      </c>
      <c r="AL35" s="1">
        <v>31.9</v>
      </c>
      <c r="AM35" s="1">
        <v>8</v>
      </c>
      <c r="AN35" s="1">
        <v>0</v>
      </c>
      <c r="AO35" s="1">
        <v>0</v>
      </c>
      <c r="AP35" s="1" t="s">
        <v>270</v>
      </c>
      <c r="AQ35" s="1" t="s">
        <v>267</v>
      </c>
      <c r="AR35" s="1" t="s">
        <v>268</v>
      </c>
    </row>
    <row r="36" spans="1:44" x14ac:dyDescent="0.2">
      <c r="A36" s="1" t="s">
        <v>174</v>
      </c>
      <c r="B36" s="1" t="s">
        <v>271</v>
      </c>
      <c r="C36" s="1">
        <v>-38.6</v>
      </c>
      <c r="D36" s="1">
        <v>484978.2</v>
      </c>
      <c r="E36" s="1">
        <v>5952440.2000000002</v>
      </c>
      <c r="F36" s="1">
        <v>0</v>
      </c>
      <c r="G36" s="1">
        <v>-0.6</v>
      </c>
      <c r="H36" s="1">
        <v>0</v>
      </c>
      <c r="I36" s="1">
        <v>2</v>
      </c>
      <c r="J36" s="1">
        <v>0</v>
      </c>
      <c r="K36" s="1">
        <v>-70.400000000000006</v>
      </c>
      <c r="L36" s="1">
        <v>31.8</v>
      </c>
      <c r="M36" s="1">
        <v>1795.5440000000001</v>
      </c>
      <c r="N36" s="1">
        <v>95.8</v>
      </c>
      <c r="O36" s="1">
        <v>8</v>
      </c>
      <c r="P36" s="1">
        <v>10.5</v>
      </c>
      <c r="Q36" s="1">
        <v>2.9714</v>
      </c>
      <c r="R36" s="1">
        <v>72</v>
      </c>
      <c r="S36" s="1">
        <v>112</v>
      </c>
      <c r="T36" s="1">
        <v>146</v>
      </c>
      <c r="U36" s="1">
        <v>1471.6790000000001</v>
      </c>
      <c r="V36" s="1">
        <v>448.714</v>
      </c>
      <c r="W36" s="1">
        <v>752.85199999999998</v>
      </c>
      <c r="X36" s="1">
        <v>132.18100000000001</v>
      </c>
      <c r="Y36" s="1">
        <v>4.9400000000000004</v>
      </c>
      <c r="Z36" s="1">
        <v>8.0150000000000006</v>
      </c>
      <c r="AA36" s="1">
        <v>21.7</v>
      </c>
      <c r="AB36" s="1">
        <v>290.5</v>
      </c>
      <c r="AC36" s="1">
        <v>13108</v>
      </c>
      <c r="AD36" s="1">
        <v>3479</v>
      </c>
      <c r="AE36" s="1">
        <v>268</v>
      </c>
      <c r="AF36" s="1">
        <v>21</v>
      </c>
      <c r="AG36" s="1">
        <v>21</v>
      </c>
      <c r="AH36" s="1">
        <v>32.1</v>
      </c>
      <c r="AI36" s="1">
        <v>53.3</v>
      </c>
      <c r="AJ36" s="1">
        <v>14.6</v>
      </c>
      <c r="AK36" s="1">
        <v>81.900000000000006</v>
      </c>
      <c r="AL36" s="1">
        <v>31.9</v>
      </c>
      <c r="AM36" s="1">
        <v>8</v>
      </c>
      <c r="AN36" s="1">
        <v>0</v>
      </c>
      <c r="AO36" s="1">
        <v>0</v>
      </c>
      <c r="AP36" s="1" t="s">
        <v>270</v>
      </c>
      <c r="AQ36" s="1" t="s">
        <v>267</v>
      </c>
      <c r="AR36" s="1" t="s">
        <v>268</v>
      </c>
    </row>
    <row r="37" spans="1:44" x14ac:dyDescent="0.2">
      <c r="A37" s="1" t="s">
        <v>90</v>
      </c>
      <c r="B37" s="1" t="s">
        <v>271</v>
      </c>
      <c r="C37" s="1">
        <v>-34.5</v>
      </c>
      <c r="D37" s="1">
        <v>484662</v>
      </c>
      <c r="E37" s="1">
        <v>5956140</v>
      </c>
      <c r="F37" s="1">
        <v>0</v>
      </c>
      <c r="G37" s="1">
        <v>-0.6</v>
      </c>
      <c r="H37" s="1">
        <v>0</v>
      </c>
      <c r="I37" s="1">
        <v>2</v>
      </c>
      <c r="J37" s="1">
        <v>0</v>
      </c>
      <c r="K37" s="1">
        <v>-63.6</v>
      </c>
      <c r="L37" s="1">
        <v>29.1</v>
      </c>
      <c r="M37" s="1">
        <v>1593.9269999999999</v>
      </c>
      <c r="N37" s="1">
        <v>89</v>
      </c>
      <c r="O37" s="1">
        <v>8</v>
      </c>
      <c r="P37" s="1">
        <v>10</v>
      </c>
      <c r="Q37" s="1">
        <v>2.85</v>
      </c>
      <c r="R37" s="1">
        <v>68</v>
      </c>
      <c r="S37" s="1">
        <v>110</v>
      </c>
      <c r="T37" s="1">
        <v>147</v>
      </c>
      <c r="U37" s="1">
        <v>1358.0229999999999</v>
      </c>
      <c r="V37" s="1">
        <v>459.28800000000001</v>
      </c>
      <c r="W37" s="1">
        <v>752.85199999999998</v>
      </c>
      <c r="X37" s="1">
        <v>132.18100000000001</v>
      </c>
      <c r="Y37" s="1">
        <v>4.9400000000000004</v>
      </c>
      <c r="Z37" s="1">
        <v>8.0150000000000006</v>
      </c>
      <c r="AA37" s="1">
        <v>21.7</v>
      </c>
      <c r="AB37" s="1">
        <v>290.5</v>
      </c>
      <c r="AC37" s="1">
        <v>12523</v>
      </c>
      <c r="AD37" s="1">
        <v>3155</v>
      </c>
      <c r="AE37" s="1">
        <v>268</v>
      </c>
      <c r="AF37" s="1">
        <v>19</v>
      </c>
      <c r="AG37" s="1">
        <v>19</v>
      </c>
      <c r="AH37" s="1">
        <v>34.4</v>
      </c>
      <c r="AI37" s="1">
        <v>52.4</v>
      </c>
      <c r="AJ37" s="1">
        <v>13.3</v>
      </c>
      <c r="AK37" s="1">
        <v>80.7</v>
      </c>
      <c r="AL37" s="1">
        <v>31.9</v>
      </c>
      <c r="AM37" s="1">
        <v>8</v>
      </c>
      <c r="AN37" s="1">
        <v>0</v>
      </c>
      <c r="AO37" s="1">
        <v>0</v>
      </c>
      <c r="AP37" s="1" t="s">
        <v>266</v>
      </c>
      <c r="AQ37" s="1" t="s">
        <v>267</v>
      </c>
      <c r="AR37" s="1" t="s">
        <v>268</v>
      </c>
    </row>
    <row r="38" spans="1:44" x14ac:dyDescent="0.2">
      <c r="A38" s="1" t="s">
        <v>25</v>
      </c>
      <c r="B38" s="1" t="s">
        <v>265</v>
      </c>
      <c r="C38" s="1">
        <v>-36.9</v>
      </c>
      <c r="D38" s="1">
        <v>483697.2</v>
      </c>
      <c r="E38" s="1">
        <v>5960783.0999999996</v>
      </c>
      <c r="F38" s="1">
        <v>0</v>
      </c>
      <c r="G38" s="1">
        <v>-0.6</v>
      </c>
      <c r="H38" s="1">
        <v>0</v>
      </c>
      <c r="I38" s="1">
        <v>2</v>
      </c>
      <c r="J38" s="1">
        <v>0</v>
      </c>
      <c r="K38" s="1">
        <v>-66.7</v>
      </c>
      <c r="L38" s="1">
        <v>29.8</v>
      </c>
      <c r="M38" s="1">
        <v>1742.712</v>
      </c>
      <c r="N38" s="1">
        <v>92.1</v>
      </c>
      <c r="O38" s="1">
        <v>8</v>
      </c>
      <c r="P38" s="1">
        <v>10</v>
      </c>
      <c r="Q38" s="1">
        <v>2.92</v>
      </c>
      <c r="R38" s="1">
        <v>68</v>
      </c>
      <c r="S38" s="1">
        <v>110</v>
      </c>
      <c r="T38" s="1">
        <v>147</v>
      </c>
      <c r="U38" s="1">
        <v>1357.4570000000001</v>
      </c>
      <c r="V38" s="1">
        <v>483.66699999999997</v>
      </c>
      <c r="W38" s="1">
        <v>752.85199999999998</v>
      </c>
      <c r="X38" s="1">
        <v>132.18100000000001</v>
      </c>
      <c r="Y38" s="1">
        <v>4.9400000000000004</v>
      </c>
      <c r="Z38" s="1">
        <v>8.0150000000000006</v>
      </c>
      <c r="AA38" s="1">
        <v>21.7</v>
      </c>
      <c r="AB38" s="1">
        <v>290.5</v>
      </c>
      <c r="AC38" s="1">
        <v>12714</v>
      </c>
      <c r="AD38" s="1">
        <v>3303</v>
      </c>
      <c r="AE38" s="1">
        <v>268</v>
      </c>
      <c r="AF38" s="1">
        <v>19</v>
      </c>
      <c r="AG38" s="1">
        <v>19</v>
      </c>
      <c r="AH38" s="1">
        <v>31.4</v>
      </c>
      <c r="AI38" s="1">
        <v>56.3</v>
      </c>
      <c r="AJ38" s="1">
        <v>12.2</v>
      </c>
      <c r="AK38" s="1">
        <v>84.7</v>
      </c>
      <c r="AL38" s="1">
        <v>31.9</v>
      </c>
      <c r="AM38" s="1">
        <v>8</v>
      </c>
      <c r="AN38" s="1">
        <v>0</v>
      </c>
      <c r="AO38" s="1">
        <v>0</v>
      </c>
      <c r="AP38" s="1" t="s">
        <v>266</v>
      </c>
      <c r="AQ38" s="1" t="s">
        <v>267</v>
      </c>
      <c r="AR38" s="1" t="s">
        <v>268</v>
      </c>
    </row>
    <row r="39" spans="1:44" x14ac:dyDescent="0.2">
      <c r="A39" s="1" t="s">
        <v>29</v>
      </c>
      <c r="B39" s="1" t="s">
        <v>265</v>
      </c>
      <c r="C39" s="1">
        <v>-34.4</v>
      </c>
      <c r="D39" s="1">
        <v>482774.7</v>
      </c>
      <c r="E39" s="1">
        <v>5965224.7999999998</v>
      </c>
      <c r="F39" s="1">
        <v>0</v>
      </c>
      <c r="G39" s="1">
        <v>-0.7</v>
      </c>
      <c r="H39" s="1">
        <v>0</v>
      </c>
      <c r="I39" s="1">
        <v>2</v>
      </c>
      <c r="J39" s="1">
        <v>0</v>
      </c>
      <c r="K39" s="1">
        <v>-66.599999999999994</v>
      </c>
      <c r="L39" s="1">
        <v>32.200000000000003</v>
      </c>
      <c r="M39" s="1">
        <v>1672.625</v>
      </c>
      <c r="N39" s="1">
        <v>92</v>
      </c>
      <c r="O39" s="1">
        <v>8</v>
      </c>
      <c r="P39" s="1">
        <v>10</v>
      </c>
      <c r="Q39" s="1">
        <v>3.15</v>
      </c>
      <c r="R39" s="1">
        <v>68</v>
      </c>
      <c r="S39" s="1">
        <v>110</v>
      </c>
      <c r="T39" s="1">
        <v>147</v>
      </c>
      <c r="U39" s="1">
        <v>1357.8589999999999</v>
      </c>
      <c r="V39" s="1">
        <v>609.04200000000003</v>
      </c>
      <c r="W39" s="1">
        <v>752.85199999999998</v>
      </c>
      <c r="X39" s="1">
        <v>132.18100000000001</v>
      </c>
      <c r="Y39" s="1">
        <v>4.9400000000000004</v>
      </c>
      <c r="Z39" s="1">
        <v>8.0150000000000006</v>
      </c>
      <c r="AA39" s="1">
        <v>21.7</v>
      </c>
      <c r="AB39" s="1">
        <v>290.5</v>
      </c>
      <c r="AC39" s="1">
        <v>12710</v>
      </c>
      <c r="AD39" s="1">
        <v>3148</v>
      </c>
      <c r="AE39" s="1">
        <v>268</v>
      </c>
      <c r="AF39" s="1">
        <v>21</v>
      </c>
      <c r="AG39" s="1">
        <v>21</v>
      </c>
      <c r="AH39" s="1">
        <v>32.799999999999997</v>
      </c>
      <c r="AI39" s="1">
        <v>54.3</v>
      </c>
      <c r="AJ39" s="1">
        <v>12.9</v>
      </c>
      <c r="AK39" s="1">
        <v>81.599999999999994</v>
      </c>
      <c r="AL39" s="1">
        <v>31.9</v>
      </c>
      <c r="AM39" s="1">
        <v>8</v>
      </c>
      <c r="AN39" s="1">
        <v>0</v>
      </c>
      <c r="AO39" s="1">
        <v>0</v>
      </c>
      <c r="AP39" s="1" t="s">
        <v>266</v>
      </c>
      <c r="AQ39" s="1" t="s">
        <v>267</v>
      </c>
      <c r="AR39" s="1" t="s">
        <v>268</v>
      </c>
    </row>
    <row r="40" spans="1:44" x14ac:dyDescent="0.2">
      <c r="A40" s="1" t="s">
        <v>11</v>
      </c>
      <c r="B40" s="1" t="s">
        <v>271</v>
      </c>
      <c r="C40" s="1">
        <v>-30.9</v>
      </c>
      <c r="D40" s="1">
        <v>481884</v>
      </c>
      <c r="E40" s="1">
        <v>5969460</v>
      </c>
      <c r="F40" s="1">
        <v>0</v>
      </c>
      <c r="G40" s="1">
        <v>-0.6</v>
      </c>
      <c r="H40" s="1">
        <v>0</v>
      </c>
      <c r="I40" s="1">
        <v>2</v>
      </c>
      <c r="J40" s="1">
        <v>0</v>
      </c>
      <c r="K40" s="1">
        <v>-59.3</v>
      </c>
      <c r="L40" s="1">
        <v>28.4</v>
      </c>
      <c r="M40" s="1">
        <v>1517.1890000000001</v>
      </c>
      <c r="N40" s="1">
        <v>84.7</v>
      </c>
      <c r="O40" s="1">
        <v>8</v>
      </c>
      <c r="P40" s="1">
        <v>10</v>
      </c>
      <c r="Q40" s="1">
        <v>2.78</v>
      </c>
      <c r="R40" s="1">
        <v>64</v>
      </c>
      <c r="S40" s="1">
        <v>110</v>
      </c>
      <c r="T40" s="1">
        <v>147</v>
      </c>
      <c r="U40" s="1">
        <v>1358.06</v>
      </c>
      <c r="V40" s="1">
        <v>399.46</v>
      </c>
      <c r="W40" s="1">
        <v>752.85199999999998</v>
      </c>
      <c r="X40" s="1">
        <v>132.18100000000001</v>
      </c>
      <c r="Y40" s="1">
        <v>4.9400000000000004</v>
      </c>
      <c r="Z40" s="1">
        <v>8.0150000000000006</v>
      </c>
      <c r="AA40" s="1">
        <v>21.7</v>
      </c>
      <c r="AB40" s="1">
        <v>290.5</v>
      </c>
      <c r="AC40" s="1">
        <v>12255</v>
      </c>
      <c r="AD40" s="1">
        <v>2932</v>
      </c>
      <c r="AE40" s="1">
        <v>268</v>
      </c>
      <c r="AF40" s="1">
        <v>17</v>
      </c>
      <c r="AG40" s="1">
        <v>17</v>
      </c>
      <c r="AH40" s="1">
        <v>35.200000000000003</v>
      </c>
      <c r="AI40" s="1">
        <v>53</v>
      </c>
      <c r="AJ40" s="1">
        <v>11.8</v>
      </c>
      <c r="AK40" s="1">
        <v>80.7</v>
      </c>
      <c r="AL40" s="1">
        <v>31.9</v>
      </c>
      <c r="AM40" s="1">
        <v>8</v>
      </c>
      <c r="AN40" s="1">
        <v>0</v>
      </c>
      <c r="AO40" s="1">
        <v>0</v>
      </c>
      <c r="AP40" s="1" t="s">
        <v>266</v>
      </c>
      <c r="AQ40" s="1" t="s">
        <v>267</v>
      </c>
      <c r="AR40" s="1" t="s">
        <v>268</v>
      </c>
    </row>
    <row r="41" spans="1:44" x14ac:dyDescent="0.2">
      <c r="A41" s="1" t="s">
        <v>79</v>
      </c>
      <c r="B41" s="1" t="s">
        <v>265</v>
      </c>
      <c r="C41" s="1">
        <v>-33.299999999999997</v>
      </c>
      <c r="D41" s="1">
        <v>459408</v>
      </c>
      <c r="E41" s="1">
        <v>5963900</v>
      </c>
      <c r="F41" s="1">
        <v>0</v>
      </c>
      <c r="G41" s="1">
        <v>-0.6</v>
      </c>
      <c r="H41" s="1">
        <v>0</v>
      </c>
      <c r="I41" s="1">
        <v>2</v>
      </c>
      <c r="J41" s="1">
        <v>0</v>
      </c>
      <c r="K41" s="1">
        <v>-64</v>
      </c>
      <c r="L41" s="1">
        <v>30.7</v>
      </c>
      <c r="M41" s="1">
        <v>1611.4169999999999</v>
      </c>
      <c r="N41" s="1">
        <v>89.4</v>
      </c>
      <c r="O41" s="1">
        <v>8</v>
      </c>
      <c r="P41" s="1">
        <v>10</v>
      </c>
      <c r="Q41" s="1">
        <v>3.01</v>
      </c>
      <c r="R41" s="1">
        <v>68</v>
      </c>
      <c r="S41" s="1">
        <v>110</v>
      </c>
      <c r="T41" s="1">
        <v>147</v>
      </c>
      <c r="U41" s="1">
        <v>1357.9469999999999</v>
      </c>
      <c r="V41" s="1">
        <v>490.17599999999999</v>
      </c>
      <c r="W41" s="1">
        <v>752.85199999999998</v>
      </c>
      <c r="X41" s="1">
        <v>132.18100000000001</v>
      </c>
      <c r="Y41" s="1">
        <v>4.9400000000000004</v>
      </c>
      <c r="Z41" s="1">
        <v>8.0150000000000006</v>
      </c>
      <c r="AA41" s="1">
        <v>21.7</v>
      </c>
      <c r="AB41" s="1">
        <v>290.5</v>
      </c>
      <c r="AC41" s="1">
        <v>12548</v>
      </c>
      <c r="AD41" s="1">
        <v>3080</v>
      </c>
      <c r="AE41" s="1">
        <v>268</v>
      </c>
      <c r="AF41" s="1">
        <v>21</v>
      </c>
      <c r="AG41" s="1">
        <v>21</v>
      </c>
      <c r="AH41" s="1">
        <v>34.1</v>
      </c>
      <c r="AI41" s="1">
        <v>52.4</v>
      </c>
      <c r="AJ41" s="1">
        <v>13.6</v>
      </c>
      <c r="AK41" s="1">
        <v>81.2</v>
      </c>
      <c r="AL41" s="1">
        <v>31.9</v>
      </c>
      <c r="AM41" s="1">
        <v>8</v>
      </c>
      <c r="AN41" s="1">
        <v>0</v>
      </c>
      <c r="AO41" s="1">
        <v>0</v>
      </c>
      <c r="AP41" s="1" t="s">
        <v>266</v>
      </c>
      <c r="AQ41" s="1" t="s">
        <v>267</v>
      </c>
      <c r="AR41" s="1" t="s">
        <v>268</v>
      </c>
    </row>
    <row r="42" spans="1:44" x14ac:dyDescent="0.2">
      <c r="A42" s="1" t="s">
        <v>110</v>
      </c>
      <c r="B42" s="1" t="s">
        <v>265</v>
      </c>
      <c r="C42" s="1">
        <v>-34.4</v>
      </c>
      <c r="D42" s="1">
        <v>461577.5</v>
      </c>
      <c r="E42" s="1">
        <v>5963523</v>
      </c>
      <c r="F42" s="1">
        <v>0</v>
      </c>
      <c r="G42" s="1">
        <v>-0.6</v>
      </c>
      <c r="H42" s="1">
        <v>0</v>
      </c>
      <c r="I42" s="1">
        <v>2</v>
      </c>
      <c r="J42" s="1">
        <v>0</v>
      </c>
      <c r="K42" s="1">
        <v>-62</v>
      </c>
      <c r="L42" s="1">
        <v>27.6</v>
      </c>
      <c r="M42" s="1">
        <v>1558.5940000000001</v>
      </c>
      <c r="N42" s="1">
        <v>87.4</v>
      </c>
      <c r="O42" s="1">
        <v>8</v>
      </c>
      <c r="P42" s="1">
        <v>10</v>
      </c>
      <c r="Q42" s="1">
        <v>2.7</v>
      </c>
      <c r="R42" s="1">
        <v>68</v>
      </c>
      <c r="S42" s="1">
        <v>110</v>
      </c>
      <c r="T42" s="1">
        <v>147</v>
      </c>
      <c r="U42" s="1">
        <v>1295.693</v>
      </c>
      <c r="V42" s="1">
        <v>521.67999999999995</v>
      </c>
      <c r="W42" s="1">
        <v>752.85199999999998</v>
      </c>
      <c r="X42" s="1">
        <v>132.18100000000001</v>
      </c>
      <c r="Y42" s="1">
        <v>4.9400000000000004</v>
      </c>
      <c r="Z42" s="1">
        <v>8.0150000000000006</v>
      </c>
      <c r="AA42" s="1">
        <v>21.7</v>
      </c>
      <c r="AB42" s="1">
        <v>290.5</v>
      </c>
      <c r="AC42" s="1">
        <v>12424</v>
      </c>
      <c r="AD42" s="1">
        <v>3149</v>
      </c>
      <c r="AE42" s="1">
        <v>268</v>
      </c>
      <c r="AF42" s="1">
        <v>17</v>
      </c>
      <c r="AG42" s="1">
        <v>17</v>
      </c>
      <c r="AH42" s="1">
        <v>35</v>
      </c>
      <c r="AI42" s="1">
        <v>51.6</v>
      </c>
      <c r="AJ42" s="1">
        <v>13.4</v>
      </c>
      <c r="AK42" s="1">
        <v>80.5</v>
      </c>
      <c r="AL42" s="1">
        <v>31.9</v>
      </c>
      <c r="AM42" s="1">
        <v>8</v>
      </c>
      <c r="AN42" s="1">
        <v>0</v>
      </c>
      <c r="AO42" s="1">
        <v>0</v>
      </c>
      <c r="AP42" s="1" t="s">
        <v>266</v>
      </c>
      <c r="AQ42" s="1" t="s">
        <v>267</v>
      </c>
      <c r="AR42" s="1" t="s">
        <v>268</v>
      </c>
    </row>
    <row r="43" spans="1:44" x14ac:dyDescent="0.2">
      <c r="A43" s="1" t="s">
        <v>112</v>
      </c>
      <c r="B43" s="1" t="s">
        <v>265</v>
      </c>
      <c r="C43" s="1">
        <v>-32.799999999999997</v>
      </c>
      <c r="D43" s="1">
        <v>464508.1</v>
      </c>
      <c r="E43" s="1">
        <v>5962000.0999999996</v>
      </c>
      <c r="F43" s="1">
        <v>0</v>
      </c>
      <c r="G43" s="1">
        <v>-0.6</v>
      </c>
      <c r="H43" s="1">
        <v>0</v>
      </c>
      <c r="I43" s="1">
        <v>2</v>
      </c>
      <c r="J43" s="1">
        <v>0</v>
      </c>
      <c r="K43" s="1">
        <v>-62.2</v>
      </c>
      <c r="L43" s="1">
        <v>29.4</v>
      </c>
      <c r="M43" s="1">
        <v>1547.806</v>
      </c>
      <c r="N43" s="1">
        <v>87.6</v>
      </c>
      <c r="O43" s="1">
        <v>8</v>
      </c>
      <c r="P43" s="1">
        <v>10</v>
      </c>
      <c r="Q43" s="1">
        <v>2.88</v>
      </c>
      <c r="R43" s="1">
        <v>68</v>
      </c>
      <c r="S43" s="1">
        <v>110</v>
      </c>
      <c r="T43" s="1">
        <v>147</v>
      </c>
      <c r="U43" s="1">
        <v>1295.7940000000001</v>
      </c>
      <c r="V43" s="1">
        <v>459.351</v>
      </c>
      <c r="W43" s="1">
        <v>752.85199999999998</v>
      </c>
      <c r="X43" s="1">
        <v>132.18100000000001</v>
      </c>
      <c r="Y43" s="1">
        <v>4.9400000000000004</v>
      </c>
      <c r="Z43" s="1">
        <v>8.0150000000000006</v>
      </c>
      <c r="AA43" s="1">
        <v>21.7</v>
      </c>
      <c r="AB43" s="1">
        <v>290.5</v>
      </c>
      <c r="AC43" s="1">
        <v>12437</v>
      </c>
      <c r="AD43" s="1">
        <v>3050</v>
      </c>
      <c r="AE43" s="1">
        <v>268</v>
      </c>
      <c r="AF43" s="1">
        <v>19</v>
      </c>
      <c r="AG43" s="1">
        <v>19</v>
      </c>
      <c r="AH43" s="1">
        <v>35.200000000000003</v>
      </c>
      <c r="AI43" s="1">
        <v>51.6</v>
      </c>
      <c r="AJ43" s="1">
        <v>13.3</v>
      </c>
      <c r="AK43" s="1">
        <v>79.8</v>
      </c>
      <c r="AL43" s="1">
        <v>31.9</v>
      </c>
      <c r="AM43" s="1">
        <v>8</v>
      </c>
      <c r="AN43" s="1">
        <v>0</v>
      </c>
      <c r="AO43" s="1">
        <v>0</v>
      </c>
      <c r="AP43" s="1" t="s">
        <v>266</v>
      </c>
      <c r="AQ43" s="1" t="s">
        <v>267</v>
      </c>
      <c r="AR43" s="1" t="s">
        <v>268</v>
      </c>
    </row>
    <row r="44" spans="1:44" x14ac:dyDescent="0.2">
      <c r="A44" s="1" t="s">
        <v>155</v>
      </c>
      <c r="B44" s="1" t="s">
        <v>265</v>
      </c>
      <c r="C44" s="1">
        <v>-29.4</v>
      </c>
      <c r="D44" s="1">
        <v>467528.6</v>
      </c>
      <c r="E44" s="1">
        <v>5960419.7000000002</v>
      </c>
      <c r="F44" s="1">
        <v>0</v>
      </c>
      <c r="G44" s="1">
        <v>-0.6</v>
      </c>
      <c r="H44" s="1">
        <v>0</v>
      </c>
      <c r="I44" s="1">
        <v>2</v>
      </c>
      <c r="J44" s="1">
        <v>0</v>
      </c>
      <c r="K44" s="1">
        <v>-58.6</v>
      </c>
      <c r="L44" s="1">
        <v>29.2</v>
      </c>
      <c r="M44" s="1">
        <v>1432.7070000000001</v>
      </c>
      <c r="N44" s="1">
        <v>84</v>
      </c>
      <c r="O44" s="1">
        <v>8</v>
      </c>
      <c r="P44" s="1">
        <v>10</v>
      </c>
      <c r="Q44" s="1">
        <v>2.86</v>
      </c>
      <c r="R44" s="1">
        <v>64</v>
      </c>
      <c r="S44" s="1">
        <v>110</v>
      </c>
      <c r="T44" s="1">
        <v>147</v>
      </c>
      <c r="U44" s="1">
        <v>1233.8040000000001</v>
      </c>
      <c r="V44" s="1">
        <v>430.87599999999998</v>
      </c>
      <c r="W44" s="1">
        <v>752.85199999999998</v>
      </c>
      <c r="X44" s="1">
        <v>132.18100000000001</v>
      </c>
      <c r="Y44" s="1">
        <v>4.9400000000000004</v>
      </c>
      <c r="Z44" s="1">
        <v>8.0150000000000006</v>
      </c>
      <c r="AA44" s="1">
        <v>21.7</v>
      </c>
      <c r="AB44" s="1">
        <v>290.5</v>
      </c>
      <c r="AC44" s="1">
        <v>12214</v>
      </c>
      <c r="AD44" s="1">
        <v>2839</v>
      </c>
      <c r="AE44" s="1">
        <v>268</v>
      </c>
      <c r="AF44" s="1">
        <v>19</v>
      </c>
      <c r="AG44" s="1">
        <v>19</v>
      </c>
      <c r="AH44" s="1">
        <v>37.200000000000003</v>
      </c>
      <c r="AI44" s="1">
        <v>50.2</v>
      </c>
      <c r="AJ44" s="1">
        <v>12.5</v>
      </c>
      <c r="AK44" s="1">
        <v>77.3</v>
      </c>
      <c r="AL44" s="1">
        <v>31.9</v>
      </c>
      <c r="AM44" s="1">
        <v>8</v>
      </c>
      <c r="AN44" s="1">
        <v>0</v>
      </c>
      <c r="AO44" s="1">
        <v>0</v>
      </c>
      <c r="AP44" s="1" t="s">
        <v>266</v>
      </c>
      <c r="AQ44" s="1" t="s">
        <v>267</v>
      </c>
      <c r="AR44" s="1" t="s">
        <v>268</v>
      </c>
    </row>
    <row r="45" spans="1:44" x14ac:dyDescent="0.2">
      <c r="A45" s="1" t="s">
        <v>22</v>
      </c>
      <c r="B45" s="1" t="s">
        <v>265</v>
      </c>
      <c r="C45" s="1">
        <v>-37.4</v>
      </c>
      <c r="D45" s="1">
        <v>483031.5</v>
      </c>
      <c r="E45" s="1">
        <v>5952290.2999999998</v>
      </c>
      <c r="F45" s="1">
        <v>0</v>
      </c>
      <c r="G45" s="1">
        <v>-0.6</v>
      </c>
      <c r="H45" s="1">
        <v>0</v>
      </c>
      <c r="I45" s="1">
        <v>2</v>
      </c>
      <c r="J45" s="1">
        <v>0</v>
      </c>
      <c r="K45" s="1">
        <v>-68.2</v>
      </c>
      <c r="L45" s="1">
        <v>30.8</v>
      </c>
      <c r="M45" s="1">
        <v>1764.319</v>
      </c>
      <c r="N45" s="1">
        <v>93.6</v>
      </c>
      <c r="O45" s="1">
        <v>8</v>
      </c>
      <c r="P45" s="1">
        <v>10</v>
      </c>
      <c r="Q45" s="1">
        <v>3.02</v>
      </c>
      <c r="R45" s="1">
        <v>68</v>
      </c>
      <c r="S45" s="1">
        <v>110</v>
      </c>
      <c r="T45" s="1">
        <v>147</v>
      </c>
      <c r="U45" s="1">
        <v>1419.8489999999999</v>
      </c>
      <c r="V45" s="1">
        <v>489.52300000000002</v>
      </c>
      <c r="W45" s="1">
        <v>752.85199999999998</v>
      </c>
      <c r="X45" s="1">
        <v>132.18100000000001</v>
      </c>
      <c r="Y45" s="1">
        <v>4.9400000000000004</v>
      </c>
      <c r="Z45" s="1">
        <v>8.0150000000000006</v>
      </c>
      <c r="AA45" s="1">
        <v>21.7</v>
      </c>
      <c r="AB45" s="1">
        <v>290.5</v>
      </c>
      <c r="AC45" s="1">
        <v>12808</v>
      </c>
      <c r="AD45" s="1">
        <v>3334</v>
      </c>
      <c r="AE45" s="1">
        <v>268</v>
      </c>
      <c r="AF45" s="1">
        <v>21</v>
      </c>
      <c r="AG45" s="1">
        <v>21</v>
      </c>
      <c r="AH45" s="1">
        <v>31</v>
      </c>
      <c r="AI45" s="1">
        <v>56.9</v>
      </c>
      <c r="AJ45" s="1">
        <v>12.1</v>
      </c>
      <c r="AK45" s="1">
        <v>84.2</v>
      </c>
      <c r="AL45" s="1">
        <v>31.9</v>
      </c>
      <c r="AM45" s="1">
        <v>8</v>
      </c>
      <c r="AN45" s="1">
        <v>0</v>
      </c>
      <c r="AO45" s="1">
        <v>0</v>
      </c>
      <c r="AP45" s="1" t="s">
        <v>266</v>
      </c>
      <c r="AQ45" s="1" t="s">
        <v>267</v>
      </c>
      <c r="AR45" s="1" t="s">
        <v>268</v>
      </c>
    </row>
    <row r="46" spans="1:44" x14ac:dyDescent="0.2">
      <c r="A46" s="1" t="s">
        <v>32</v>
      </c>
      <c r="B46" s="1" t="s">
        <v>265</v>
      </c>
      <c r="C46" s="1">
        <v>-35.700000000000003</v>
      </c>
      <c r="D46" s="1">
        <v>483981.9</v>
      </c>
      <c r="E46" s="1">
        <v>5954052.2999999998</v>
      </c>
      <c r="F46" s="1">
        <v>0</v>
      </c>
      <c r="G46" s="1">
        <v>-0.6</v>
      </c>
      <c r="H46" s="1">
        <v>0</v>
      </c>
      <c r="I46" s="1">
        <v>2</v>
      </c>
      <c r="J46" s="1">
        <v>0</v>
      </c>
      <c r="K46" s="1">
        <v>-66.900000000000006</v>
      </c>
      <c r="L46" s="1">
        <v>31.2</v>
      </c>
      <c r="M46" s="1">
        <v>1704.413</v>
      </c>
      <c r="N46" s="1">
        <v>92.3</v>
      </c>
      <c r="O46" s="1">
        <v>8</v>
      </c>
      <c r="P46" s="1">
        <v>10</v>
      </c>
      <c r="Q46" s="1">
        <v>3.06</v>
      </c>
      <c r="R46" s="1">
        <v>68</v>
      </c>
      <c r="S46" s="1">
        <v>110</v>
      </c>
      <c r="T46" s="1">
        <v>147</v>
      </c>
      <c r="U46" s="1">
        <v>1420.0630000000001</v>
      </c>
      <c r="V46" s="1">
        <v>421.96600000000001</v>
      </c>
      <c r="W46" s="1">
        <v>752.85199999999998</v>
      </c>
      <c r="X46" s="1">
        <v>132.18100000000001</v>
      </c>
      <c r="Y46" s="1">
        <v>4.9400000000000004</v>
      </c>
      <c r="Z46" s="1">
        <v>8.0150000000000006</v>
      </c>
      <c r="AA46" s="1">
        <v>21.7</v>
      </c>
      <c r="AB46" s="1">
        <v>290.5</v>
      </c>
      <c r="AC46" s="1">
        <v>12728</v>
      </c>
      <c r="AD46" s="1">
        <v>3229</v>
      </c>
      <c r="AE46" s="1">
        <v>268</v>
      </c>
      <c r="AF46" s="1">
        <v>21</v>
      </c>
      <c r="AG46" s="1">
        <v>21</v>
      </c>
      <c r="AH46" s="1">
        <v>32.200000000000003</v>
      </c>
      <c r="AI46" s="1">
        <v>55.1</v>
      </c>
      <c r="AJ46" s="1">
        <v>12.7</v>
      </c>
      <c r="AK46" s="1">
        <v>82.8</v>
      </c>
      <c r="AL46" s="1">
        <v>31.9</v>
      </c>
      <c r="AM46" s="1">
        <v>8</v>
      </c>
      <c r="AN46" s="1">
        <v>0</v>
      </c>
      <c r="AO46" s="1">
        <v>0</v>
      </c>
      <c r="AP46" s="1" t="s">
        <v>266</v>
      </c>
      <c r="AQ46" s="1" t="s">
        <v>267</v>
      </c>
      <c r="AR46" s="1" t="s">
        <v>268</v>
      </c>
    </row>
    <row r="47" spans="1:44" x14ac:dyDescent="0.2">
      <c r="A47" s="1" t="s">
        <v>101</v>
      </c>
      <c r="B47" s="1" t="s">
        <v>265</v>
      </c>
      <c r="C47" s="1">
        <v>-34.200000000000003</v>
      </c>
      <c r="D47" s="1">
        <v>483871</v>
      </c>
      <c r="E47" s="1">
        <v>5957410</v>
      </c>
      <c r="F47" s="1">
        <v>0</v>
      </c>
      <c r="G47" s="1">
        <v>-0.6</v>
      </c>
      <c r="H47" s="1">
        <v>0</v>
      </c>
      <c r="I47" s="1">
        <v>2</v>
      </c>
      <c r="J47" s="1">
        <v>0</v>
      </c>
      <c r="K47" s="1">
        <v>-62.5</v>
      </c>
      <c r="L47" s="1">
        <v>28.3</v>
      </c>
      <c r="M47" s="1">
        <v>1565.038</v>
      </c>
      <c r="N47" s="1">
        <v>87.9</v>
      </c>
      <c r="O47" s="1">
        <v>8</v>
      </c>
      <c r="P47" s="1">
        <v>10</v>
      </c>
      <c r="Q47" s="1">
        <v>2.77</v>
      </c>
      <c r="R47" s="1">
        <v>68</v>
      </c>
      <c r="S47" s="1">
        <v>110</v>
      </c>
      <c r="T47" s="1">
        <v>147</v>
      </c>
      <c r="U47" s="1">
        <v>1295.7180000000001</v>
      </c>
      <c r="V47" s="1">
        <v>542.25099999999998</v>
      </c>
      <c r="W47" s="1">
        <v>752.85199999999998</v>
      </c>
      <c r="X47" s="1">
        <v>132.18100000000001</v>
      </c>
      <c r="Y47" s="1">
        <v>4.9400000000000004</v>
      </c>
      <c r="Z47" s="1">
        <v>8.0150000000000006</v>
      </c>
      <c r="AA47" s="1">
        <v>21.7</v>
      </c>
      <c r="AB47" s="1">
        <v>290.5</v>
      </c>
      <c r="AC47" s="1">
        <v>12455</v>
      </c>
      <c r="AD47" s="1">
        <v>3137</v>
      </c>
      <c r="AE47" s="1">
        <v>268</v>
      </c>
      <c r="AF47" s="1">
        <v>17</v>
      </c>
      <c r="AG47" s="1">
        <v>17</v>
      </c>
      <c r="AH47" s="1">
        <v>34.9</v>
      </c>
      <c r="AI47" s="1">
        <v>51.9</v>
      </c>
      <c r="AJ47" s="1">
        <v>13.2</v>
      </c>
      <c r="AK47" s="1">
        <v>80.3</v>
      </c>
      <c r="AL47" s="1">
        <v>31.9</v>
      </c>
      <c r="AM47" s="1">
        <v>8</v>
      </c>
      <c r="AN47" s="1">
        <v>0</v>
      </c>
      <c r="AO47" s="1">
        <v>0</v>
      </c>
      <c r="AP47" s="1" t="s">
        <v>266</v>
      </c>
      <c r="AQ47" s="1" t="s">
        <v>267</v>
      </c>
      <c r="AR47" s="1" t="s">
        <v>268</v>
      </c>
    </row>
    <row r="48" spans="1:44" x14ac:dyDescent="0.2">
      <c r="A48" s="1" t="s">
        <v>192</v>
      </c>
      <c r="B48" s="1" t="s">
        <v>271</v>
      </c>
      <c r="C48" s="1">
        <v>-48.7</v>
      </c>
      <c r="D48" s="1">
        <v>483074</v>
      </c>
      <c r="E48" s="1">
        <v>5961784</v>
      </c>
      <c r="F48" s="1">
        <v>0</v>
      </c>
      <c r="G48" s="1">
        <v>-0.7</v>
      </c>
      <c r="H48" s="1">
        <v>0</v>
      </c>
      <c r="I48" s="1">
        <v>2</v>
      </c>
      <c r="J48" s="1">
        <v>0</v>
      </c>
      <c r="K48" s="1">
        <v>-80.5</v>
      </c>
      <c r="L48" s="1">
        <v>31.8</v>
      </c>
      <c r="M48" s="1">
        <v>2316.0819999999999</v>
      </c>
      <c r="N48" s="1">
        <v>105.9</v>
      </c>
      <c r="O48" s="1">
        <v>8</v>
      </c>
      <c r="P48" s="1">
        <v>11</v>
      </c>
      <c r="Q48" s="1">
        <v>2.8273000000000001</v>
      </c>
      <c r="R48" s="1">
        <v>70</v>
      </c>
      <c r="S48" s="1">
        <v>117</v>
      </c>
      <c r="T48" s="1">
        <v>149</v>
      </c>
      <c r="U48" s="1">
        <v>1711.489</v>
      </c>
      <c r="V48" s="1">
        <v>335.19499999999999</v>
      </c>
      <c r="W48" s="1">
        <v>752.85199999999998</v>
      </c>
      <c r="X48" s="1">
        <v>132.18100000000001</v>
      </c>
      <c r="Y48" s="1">
        <v>4.9400000000000004</v>
      </c>
      <c r="Z48" s="1">
        <v>8.0150000000000006</v>
      </c>
      <c r="AA48" s="1">
        <v>21.7</v>
      </c>
      <c r="AB48" s="1">
        <v>290.5</v>
      </c>
      <c r="AC48" s="1">
        <v>13946</v>
      </c>
      <c r="AD48" s="1">
        <v>4229</v>
      </c>
      <c r="AE48" s="1">
        <v>268</v>
      </c>
      <c r="AF48" s="1">
        <v>21</v>
      </c>
      <c r="AG48" s="1">
        <v>21</v>
      </c>
      <c r="AH48" s="1">
        <v>25.3</v>
      </c>
      <c r="AI48" s="1">
        <v>60.8</v>
      </c>
      <c r="AJ48" s="1">
        <v>13.8</v>
      </c>
      <c r="AK48" s="1">
        <v>91</v>
      </c>
      <c r="AL48" s="1">
        <v>31.9</v>
      </c>
      <c r="AM48" s="1">
        <v>8</v>
      </c>
      <c r="AN48" s="1">
        <v>0</v>
      </c>
      <c r="AO48" s="1">
        <v>0</v>
      </c>
      <c r="AP48" s="1" t="s">
        <v>270</v>
      </c>
      <c r="AQ48" s="1" t="s">
        <v>267</v>
      </c>
      <c r="AR48" s="1" t="s">
        <v>268</v>
      </c>
    </row>
    <row r="49" spans="1:44" x14ac:dyDescent="0.2">
      <c r="A49" s="1" t="s">
        <v>130</v>
      </c>
      <c r="B49" s="1" t="s">
        <v>271</v>
      </c>
      <c r="C49" s="1">
        <v>-31.9</v>
      </c>
      <c r="D49" s="1">
        <v>481864.2</v>
      </c>
      <c r="E49" s="1">
        <v>5966688</v>
      </c>
      <c r="F49" s="1">
        <v>0</v>
      </c>
      <c r="G49" s="1">
        <v>-0.6</v>
      </c>
      <c r="H49" s="1">
        <v>0</v>
      </c>
      <c r="I49" s="1">
        <v>2</v>
      </c>
      <c r="J49" s="1">
        <v>0</v>
      </c>
      <c r="K49" s="1">
        <v>-60.7</v>
      </c>
      <c r="L49" s="1">
        <v>28.8</v>
      </c>
      <c r="M49" s="1">
        <v>1486.3489999999999</v>
      </c>
      <c r="N49" s="1">
        <v>86.1</v>
      </c>
      <c r="O49" s="1">
        <v>8</v>
      </c>
      <c r="P49" s="1">
        <v>10</v>
      </c>
      <c r="Q49" s="1">
        <v>2.82</v>
      </c>
      <c r="R49" s="1">
        <v>68</v>
      </c>
      <c r="S49" s="1">
        <v>110</v>
      </c>
      <c r="T49" s="1">
        <v>147</v>
      </c>
      <c r="U49" s="1">
        <v>1296.0329999999999</v>
      </c>
      <c r="V49" s="1">
        <v>555.572</v>
      </c>
      <c r="W49" s="1">
        <v>752.85199999999998</v>
      </c>
      <c r="X49" s="1">
        <v>132.18100000000001</v>
      </c>
      <c r="Y49" s="1">
        <v>4.9400000000000004</v>
      </c>
      <c r="Z49" s="1">
        <v>8.0150000000000006</v>
      </c>
      <c r="AA49" s="1">
        <v>21.7</v>
      </c>
      <c r="AB49" s="1">
        <v>290.5</v>
      </c>
      <c r="AC49" s="1">
        <v>12344</v>
      </c>
      <c r="AD49" s="1">
        <v>2994</v>
      </c>
      <c r="AE49" s="1">
        <v>268</v>
      </c>
      <c r="AF49" s="1">
        <v>19</v>
      </c>
      <c r="AG49" s="1">
        <v>19</v>
      </c>
      <c r="AH49" s="1">
        <v>36.299999999999997</v>
      </c>
      <c r="AI49" s="1">
        <v>50.5</v>
      </c>
      <c r="AJ49" s="1">
        <v>13.1</v>
      </c>
      <c r="AK49" s="1">
        <v>78.099999999999994</v>
      </c>
      <c r="AL49" s="1">
        <v>31.9</v>
      </c>
      <c r="AM49" s="1">
        <v>8</v>
      </c>
      <c r="AN49" s="1">
        <v>0</v>
      </c>
      <c r="AO49" s="1">
        <v>0</v>
      </c>
      <c r="AP49" s="1" t="s">
        <v>266</v>
      </c>
      <c r="AQ49" s="1" t="s">
        <v>267</v>
      </c>
      <c r="AR49" s="1" t="s">
        <v>268</v>
      </c>
    </row>
    <row r="50" spans="1:44" x14ac:dyDescent="0.2">
      <c r="A50" s="1" t="s">
        <v>92</v>
      </c>
      <c r="B50" s="1" t="s">
        <v>265</v>
      </c>
      <c r="C50" s="1">
        <v>-34.4</v>
      </c>
      <c r="D50" s="1">
        <v>480966.6</v>
      </c>
      <c r="E50" s="1">
        <v>5970941.2999999998</v>
      </c>
      <c r="F50" s="1">
        <v>0</v>
      </c>
      <c r="G50" s="1">
        <v>-0.7</v>
      </c>
      <c r="H50" s="1">
        <v>0</v>
      </c>
      <c r="I50" s="1">
        <v>2</v>
      </c>
      <c r="J50" s="1">
        <v>0</v>
      </c>
      <c r="K50" s="1">
        <v>-63.3</v>
      </c>
      <c r="L50" s="1">
        <v>28.9</v>
      </c>
      <c r="M50" s="1">
        <v>1604.5740000000001</v>
      </c>
      <c r="N50" s="1">
        <v>88.7</v>
      </c>
      <c r="O50" s="1">
        <v>8</v>
      </c>
      <c r="P50" s="1">
        <v>10</v>
      </c>
      <c r="Q50" s="1">
        <v>2.82</v>
      </c>
      <c r="R50" s="1">
        <v>68</v>
      </c>
      <c r="S50" s="1">
        <v>110</v>
      </c>
      <c r="T50" s="1">
        <v>147</v>
      </c>
      <c r="U50" s="1">
        <v>1295.5930000000001</v>
      </c>
      <c r="V50" s="1">
        <v>546.76300000000003</v>
      </c>
      <c r="W50" s="1">
        <v>752.85199999999998</v>
      </c>
      <c r="X50" s="1">
        <v>132.18100000000001</v>
      </c>
      <c r="Y50" s="1">
        <v>4.9400000000000004</v>
      </c>
      <c r="Z50" s="1">
        <v>8.0150000000000006</v>
      </c>
      <c r="AA50" s="1">
        <v>21.7</v>
      </c>
      <c r="AB50" s="1">
        <v>290.5</v>
      </c>
      <c r="AC50" s="1">
        <v>12504</v>
      </c>
      <c r="AD50" s="1">
        <v>3149</v>
      </c>
      <c r="AE50" s="1">
        <v>268</v>
      </c>
      <c r="AF50" s="1">
        <v>19</v>
      </c>
      <c r="AG50" s="1">
        <v>19</v>
      </c>
      <c r="AH50" s="1">
        <v>34.1</v>
      </c>
      <c r="AI50" s="1">
        <v>52.6</v>
      </c>
      <c r="AJ50" s="1">
        <v>13.3</v>
      </c>
      <c r="AK50" s="1">
        <v>81.5</v>
      </c>
      <c r="AL50" s="1">
        <v>31.9</v>
      </c>
      <c r="AM50" s="1">
        <v>8</v>
      </c>
      <c r="AN50" s="1">
        <v>0</v>
      </c>
      <c r="AO50" s="1">
        <v>0</v>
      </c>
      <c r="AP50" s="1" t="s">
        <v>266</v>
      </c>
      <c r="AQ50" s="1" t="s">
        <v>267</v>
      </c>
      <c r="AR50" s="1" t="s">
        <v>268</v>
      </c>
    </row>
    <row r="51" spans="1:44" x14ac:dyDescent="0.2">
      <c r="A51" s="1" t="s">
        <v>83</v>
      </c>
      <c r="B51" s="1" t="s">
        <v>269</v>
      </c>
      <c r="C51" s="1">
        <v>-35.700000000000003</v>
      </c>
      <c r="D51" s="1">
        <v>458281.5</v>
      </c>
      <c r="E51" s="1">
        <v>5965690.2000000002</v>
      </c>
      <c r="F51" s="1">
        <v>0</v>
      </c>
      <c r="G51" s="1">
        <v>-0.7</v>
      </c>
      <c r="H51" s="1">
        <v>0</v>
      </c>
      <c r="I51" s="1">
        <v>2</v>
      </c>
      <c r="J51" s="1">
        <v>0</v>
      </c>
      <c r="K51" s="1">
        <v>-63.2</v>
      </c>
      <c r="L51" s="1">
        <v>27.5</v>
      </c>
      <c r="M51" s="1">
        <v>1633.6990000000001</v>
      </c>
      <c r="N51" s="1">
        <v>88.6</v>
      </c>
      <c r="O51" s="1">
        <v>8</v>
      </c>
      <c r="P51" s="1">
        <v>10</v>
      </c>
      <c r="Q51" s="1">
        <v>2.68</v>
      </c>
      <c r="R51" s="1">
        <v>68</v>
      </c>
      <c r="S51" s="1">
        <v>110</v>
      </c>
      <c r="T51" s="1">
        <v>147</v>
      </c>
      <c r="U51" s="1">
        <v>1295.4169999999999</v>
      </c>
      <c r="V51" s="1">
        <v>490.12599999999998</v>
      </c>
      <c r="W51" s="1">
        <v>752.85199999999998</v>
      </c>
      <c r="X51" s="1">
        <v>132.18100000000001</v>
      </c>
      <c r="Y51" s="1">
        <v>4.9400000000000004</v>
      </c>
      <c r="Z51" s="1">
        <v>8.0150000000000006</v>
      </c>
      <c r="AA51" s="1">
        <v>21.7</v>
      </c>
      <c r="AB51" s="1">
        <v>290.5</v>
      </c>
      <c r="AC51" s="1">
        <v>12497</v>
      </c>
      <c r="AD51" s="1">
        <v>3229</v>
      </c>
      <c r="AE51" s="1">
        <v>268</v>
      </c>
      <c r="AF51" s="1">
        <v>17</v>
      </c>
      <c r="AG51" s="1">
        <v>17</v>
      </c>
      <c r="AH51" s="1">
        <v>33.6</v>
      </c>
      <c r="AI51" s="1">
        <v>53.1</v>
      </c>
      <c r="AJ51" s="1">
        <v>13.3</v>
      </c>
      <c r="AK51" s="1">
        <v>83</v>
      </c>
      <c r="AL51" s="1">
        <v>31.9</v>
      </c>
      <c r="AM51" s="1">
        <v>8</v>
      </c>
      <c r="AN51" s="1">
        <v>0</v>
      </c>
      <c r="AO51" s="1">
        <v>0</v>
      </c>
      <c r="AP51" s="1" t="s">
        <v>266</v>
      </c>
      <c r="AQ51" s="1" t="s">
        <v>267</v>
      </c>
      <c r="AR51" s="1" t="s">
        <v>268</v>
      </c>
    </row>
    <row r="52" spans="1:44" x14ac:dyDescent="0.2">
      <c r="A52" s="1" t="s">
        <v>178</v>
      </c>
      <c r="B52" s="1" t="s">
        <v>265</v>
      </c>
      <c r="C52" s="1">
        <v>-36.5</v>
      </c>
      <c r="D52" s="1">
        <v>460741</v>
      </c>
      <c r="E52" s="1">
        <v>5964870</v>
      </c>
      <c r="F52" s="1">
        <v>0</v>
      </c>
      <c r="G52" s="1">
        <v>-0.7</v>
      </c>
      <c r="H52" s="1">
        <v>0</v>
      </c>
      <c r="I52" s="1">
        <v>2</v>
      </c>
      <c r="J52" s="1">
        <v>0</v>
      </c>
      <c r="K52" s="1">
        <v>-69.2</v>
      </c>
      <c r="L52" s="1">
        <v>32.700000000000003</v>
      </c>
      <c r="M52" s="1">
        <v>1737.62</v>
      </c>
      <c r="N52" s="1">
        <v>94.6</v>
      </c>
      <c r="O52" s="1">
        <v>8</v>
      </c>
      <c r="P52" s="1">
        <v>10.5</v>
      </c>
      <c r="Q52" s="1">
        <v>3.0476000000000001</v>
      </c>
      <c r="R52" s="1">
        <v>70</v>
      </c>
      <c r="S52" s="1">
        <v>112</v>
      </c>
      <c r="T52" s="1">
        <v>146</v>
      </c>
      <c r="U52" s="1">
        <v>1406.46</v>
      </c>
      <c r="V52" s="1">
        <v>388.72800000000001</v>
      </c>
      <c r="W52" s="1">
        <v>752.85199999999998</v>
      </c>
      <c r="X52" s="1">
        <v>132.18100000000001</v>
      </c>
      <c r="Y52" s="1">
        <v>4.9400000000000004</v>
      </c>
      <c r="Z52" s="1">
        <v>8.0150000000000006</v>
      </c>
      <c r="AA52" s="1">
        <v>21.7</v>
      </c>
      <c r="AB52" s="1">
        <v>290.5</v>
      </c>
      <c r="AC52" s="1">
        <v>13030</v>
      </c>
      <c r="AD52" s="1">
        <v>3343</v>
      </c>
      <c r="AE52" s="1">
        <v>268</v>
      </c>
      <c r="AF52" s="1">
        <v>23</v>
      </c>
      <c r="AG52" s="1">
        <v>23</v>
      </c>
      <c r="AH52" s="1">
        <v>31.9</v>
      </c>
      <c r="AI52" s="1">
        <v>53.8</v>
      </c>
      <c r="AJ52" s="1">
        <v>14.3</v>
      </c>
      <c r="AK52" s="1">
        <v>80.099999999999994</v>
      </c>
      <c r="AL52" s="1">
        <v>31.9</v>
      </c>
      <c r="AM52" s="1">
        <v>8</v>
      </c>
      <c r="AN52" s="1">
        <v>0</v>
      </c>
      <c r="AO52" s="1">
        <v>0</v>
      </c>
      <c r="AP52" s="1" t="s">
        <v>270</v>
      </c>
      <c r="AQ52" s="1" t="s">
        <v>267</v>
      </c>
      <c r="AR52" s="1" t="s">
        <v>268</v>
      </c>
    </row>
    <row r="53" spans="1:44" x14ac:dyDescent="0.2">
      <c r="A53" s="1" t="s">
        <v>47</v>
      </c>
      <c r="B53" s="1" t="s">
        <v>269</v>
      </c>
      <c r="C53" s="1">
        <v>-35</v>
      </c>
      <c r="D53" s="1">
        <v>463727.4</v>
      </c>
      <c r="E53" s="1">
        <v>5963253.4000000004</v>
      </c>
      <c r="F53" s="1">
        <v>0</v>
      </c>
      <c r="G53" s="1">
        <v>-0.6</v>
      </c>
      <c r="H53" s="1">
        <v>0</v>
      </c>
      <c r="I53" s="1">
        <v>2</v>
      </c>
      <c r="J53" s="1">
        <v>0</v>
      </c>
      <c r="K53" s="1">
        <v>-66.099999999999994</v>
      </c>
      <c r="L53" s="1">
        <v>31.1</v>
      </c>
      <c r="M53" s="1">
        <v>1664.336</v>
      </c>
      <c r="N53" s="1">
        <v>91.5</v>
      </c>
      <c r="O53" s="1">
        <v>8</v>
      </c>
      <c r="P53" s="1">
        <v>10</v>
      </c>
      <c r="Q53" s="1">
        <v>3.05</v>
      </c>
      <c r="R53" s="1">
        <v>68</v>
      </c>
      <c r="S53" s="1">
        <v>110</v>
      </c>
      <c r="T53" s="1">
        <v>147</v>
      </c>
      <c r="U53" s="1">
        <v>1420.2260000000001</v>
      </c>
      <c r="V53" s="1">
        <v>453.43200000000002</v>
      </c>
      <c r="W53" s="1">
        <v>752.85199999999998</v>
      </c>
      <c r="X53" s="1">
        <v>132.18100000000001</v>
      </c>
      <c r="Y53" s="1">
        <v>4.9400000000000004</v>
      </c>
      <c r="Z53" s="1">
        <v>8.0150000000000006</v>
      </c>
      <c r="AA53" s="1">
        <v>21.7</v>
      </c>
      <c r="AB53" s="1">
        <v>290.5</v>
      </c>
      <c r="AC53" s="1">
        <v>12679</v>
      </c>
      <c r="AD53" s="1">
        <v>3186</v>
      </c>
      <c r="AE53" s="1">
        <v>268</v>
      </c>
      <c r="AF53" s="1">
        <v>21</v>
      </c>
      <c r="AG53" s="1">
        <v>21</v>
      </c>
      <c r="AH53" s="1">
        <v>32.9</v>
      </c>
      <c r="AI53" s="1">
        <v>54.1</v>
      </c>
      <c r="AJ53" s="1">
        <v>13</v>
      </c>
      <c r="AK53" s="1">
        <v>81.7</v>
      </c>
      <c r="AL53" s="1">
        <v>31.9</v>
      </c>
      <c r="AM53" s="1">
        <v>8</v>
      </c>
      <c r="AN53" s="1">
        <v>0</v>
      </c>
      <c r="AO53" s="1">
        <v>0</v>
      </c>
      <c r="AP53" s="1" t="s">
        <v>266</v>
      </c>
      <c r="AQ53" s="1" t="s">
        <v>267</v>
      </c>
      <c r="AR53" s="1" t="s">
        <v>268</v>
      </c>
    </row>
    <row r="54" spans="1:44" x14ac:dyDescent="0.2">
      <c r="A54" s="1" t="s">
        <v>138</v>
      </c>
      <c r="B54" s="1" t="s">
        <v>269</v>
      </c>
      <c r="C54" s="1">
        <v>-31.1</v>
      </c>
      <c r="D54" s="1">
        <v>466748.9</v>
      </c>
      <c r="E54" s="1">
        <v>5961671.7999999998</v>
      </c>
      <c r="F54" s="1">
        <v>0</v>
      </c>
      <c r="G54" s="1">
        <v>-0.7</v>
      </c>
      <c r="H54" s="1">
        <v>0</v>
      </c>
      <c r="I54" s="1">
        <v>2</v>
      </c>
      <c r="J54" s="1">
        <v>0</v>
      </c>
      <c r="K54" s="1">
        <v>-60.7</v>
      </c>
      <c r="L54" s="1">
        <v>29.6</v>
      </c>
      <c r="M54" s="1">
        <v>1474.922</v>
      </c>
      <c r="N54" s="1">
        <v>86.1</v>
      </c>
      <c r="O54" s="1">
        <v>8</v>
      </c>
      <c r="P54" s="1">
        <v>10</v>
      </c>
      <c r="Q54" s="1">
        <v>2.89</v>
      </c>
      <c r="R54" s="1">
        <v>68</v>
      </c>
      <c r="S54" s="1">
        <v>110</v>
      </c>
      <c r="T54" s="1">
        <v>147</v>
      </c>
      <c r="U54" s="1">
        <v>1296.1210000000001</v>
      </c>
      <c r="V54" s="1">
        <v>549.351</v>
      </c>
      <c r="W54" s="1">
        <v>752.85199999999998</v>
      </c>
      <c r="X54" s="1">
        <v>132.18100000000001</v>
      </c>
      <c r="Y54" s="1">
        <v>4.9400000000000004</v>
      </c>
      <c r="Z54" s="1">
        <v>8.0150000000000006</v>
      </c>
      <c r="AA54" s="1">
        <v>21.7</v>
      </c>
      <c r="AB54" s="1">
        <v>290.5</v>
      </c>
      <c r="AC54" s="1">
        <v>12344</v>
      </c>
      <c r="AD54" s="1">
        <v>2945</v>
      </c>
      <c r="AE54" s="1">
        <v>268</v>
      </c>
      <c r="AF54" s="1">
        <v>19</v>
      </c>
      <c r="AG54" s="1">
        <v>19</v>
      </c>
      <c r="AH54" s="1">
        <v>36.4</v>
      </c>
      <c r="AI54" s="1">
        <v>51</v>
      </c>
      <c r="AJ54" s="1">
        <v>12.6</v>
      </c>
      <c r="AK54" s="1">
        <v>77.5</v>
      </c>
      <c r="AL54" s="1">
        <v>31.9</v>
      </c>
      <c r="AM54" s="1">
        <v>8</v>
      </c>
      <c r="AN54" s="1">
        <v>0</v>
      </c>
      <c r="AO54" s="1">
        <v>0</v>
      </c>
      <c r="AP54" s="1" t="s">
        <v>266</v>
      </c>
      <c r="AQ54" s="1" t="s">
        <v>267</v>
      </c>
      <c r="AR54" s="1" t="s">
        <v>268</v>
      </c>
    </row>
    <row r="55" spans="1:44" x14ac:dyDescent="0.2">
      <c r="A55" s="1" t="s">
        <v>161</v>
      </c>
      <c r="B55" s="1" t="s">
        <v>265</v>
      </c>
      <c r="C55" s="1">
        <v>-28.9</v>
      </c>
      <c r="D55" s="1">
        <v>470584.2</v>
      </c>
      <c r="E55" s="1">
        <v>5958839.5999999996</v>
      </c>
      <c r="F55" s="1">
        <v>0</v>
      </c>
      <c r="G55" s="1">
        <v>-0.7</v>
      </c>
      <c r="H55" s="1">
        <v>0</v>
      </c>
      <c r="I55" s="1">
        <v>2</v>
      </c>
      <c r="J55" s="1">
        <v>0</v>
      </c>
      <c r="K55" s="1">
        <v>-57.8</v>
      </c>
      <c r="L55" s="1">
        <v>28.9</v>
      </c>
      <c r="M55" s="1">
        <v>1416.875</v>
      </c>
      <c r="N55" s="1">
        <v>83.2</v>
      </c>
      <c r="O55" s="1">
        <v>8</v>
      </c>
      <c r="P55" s="1">
        <v>10</v>
      </c>
      <c r="Q55" s="1">
        <v>2.82</v>
      </c>
      <c r="R55" s="1">
        <v>64</v>
      </c>
      <c r="S55" s="1">
        <v>110</v>
      </c>
      <c r="T55" s="1">
        <v>147</v>
      </c>
      <c r="U55" s="1">
        <v>1233.7909999999999</v>
      </c>
      <c r="V55" s="1">
        <v>430.87599999999998</v>
      </c>
      <c r="W55" s="1">
        <v>752.85199999999998</v>
      </c>
      <c r="X55" s="1">
        <v>132.18100000000001</v>
      </c>
      <c r="Y55" s="1">
        <v>4.9400000000000004</v>
      </c>
      <c r="Z55" s="1">
        <v>8.0150000000000006</v>
      </c>
      <c r="AA55" s="1">
        <v>21.7</v>
      </c>
      <c r="AB55" s="1">
        <v>290.5</v>
      </c>
      <c r="AC55" s="1">
        <v>12164</v>
      </c>
      <c r="AD55" s="1">
        <v>2808</v>
      </c>
      <c r="AE55" s="1">
        <v>268</v>
      </c>
      <c r="AF55" s="1">
        <v>19</v>
      </c>
      <c r="AG55" s="1">
        <v>19</v>
      </c>
      <c r="AH55" s="1">
        <v>37.700000000000003</v>
      </c>
      <c r="AI55" s="1">
        <v>49.6</v>
      </c>
      <c r="AJ55" s="1">
        <v>12.7</v>
      </c>
      <c r="AK55" s="1">
        <v>77.2</v>
      </c>
      <c r="AL55" s="1">
        <v>31.9</v>
      </c>
      <c r="AM55" s="1">
        <v>8</v>
      </c>
      <c r="AN55" s="1">
        <v>0</v>
      </c>
      <c r="AO55" s="1">
        <v>0</v>
      </c>
      <c r="AP55" s="1" t="s">
        <v>266</v>
      </c>
      <c r="AQ55" s="1" t="s">
        <v>267</v>
      </c>
      <c r="AR55" s="1" t="s">
        <v>268</v>
      </c>
    </row>
    <row r="56" spans="1:44" x14ac:dyDescent="0.2">
      <c r="A56" s="1" t="s">
        <v>124</v>
      </c>
      <c r="B56" s="1" t="s">
        <v>265</v>
      </c>
      <c r="C56" s="1">
        <v>-31</v>
      </c>
      <c r="D56" s="1">
        <v>473709.7</v>
      </c>
      <c r="E56" s="1">
        <v>5957180.4000000004</v>
      </c>
      <c r="F56" s="1">
        <v>0</v>
      </c>
      <c r="G56" s="1">
        <v>-0.7</v>
      </c>
      <c r="H56" s="1">
        <v>0</v>
      </c>
      <c r="I56" s="1">
        <v>2</v>
      </c>
      <c r="J56" s="1">
        <v>0</v>
      </c>
      <c r="K56" s="1">
        <v>-61.4</v>
      </c>
      <c r="L56" s="1">
        <v>30.4</v>
      </c>
      <c r="M56" s="1">
        <v>1497.2449999999999</v>
      </c>
      <c r="N56" s="1">
        <v>86.8</v>
      </c>
      <c r="O56" s="1">
        <v>8</v>
      </c>
      <c r="P56" s="1">
        <v>10</v>
      </c>
      <c r="Q56" s="1">
        <v>2.97</v>
      </c>
      <c r="R56" s="1">
        <v>68</v>
      </c>
      <c r="S56" s="1">
        <v>110</v>
      </c>
      <c r="T56" s="1">
        <v>147</v>
      </c>
      <c r="U56" s="1">
        <v>1296.1210000000001</v>
      </c>
      <c r="V56" s="1">
        <v>611.75599999999997</v>
      </c>
      <c r="W56" s="1">
        <v>752.85199999999998</v>
      </c>
      <c r="X56" s="1">
        <v>132.18100000000001</v>
      </c>
      <c r="Y56" s="1">
        <v>4.9400000000000004</v>
      </c>
      <c r="Z56" s="1">
        <v>8.0150000000000006</v>
      </c>
      <c r="AA56" s="1">
        <v>21.7</v>
      </c>
      <c r="AB56" s="1">
        <v>290.5</v>
      </c>
      <c r="AC56" s="1">
        <v>12388</v>
      </c>
      <c r="AD56" s="1">
        <v>2938</v>
      </c>
      <c r="AE56" s="1">
        <v>268</v>
      </c>
      <c r="AF56" s="1">
        <v>19</v>
      </c>
      <c r="AG56" s="1">
        <v>19</v>
      </c>
      <c r="AH56" s="1">
        <v>35.9</v>
      </c>
      <c r="AI56" s="1">
        <v>51.7</v>
      </c>
      <c r="AJ56" s="1">
        <v>12.5</v>
      </c>
      <c r="AK56" s="1">
        <v>77.900000000000006</v>
      </c>
      <c r="AL56" s="1">
        <v>31.9</v>
      </c>
      <c r="AM56" s="1">
        <v>8</v>
      </c>
      <c r="AN56" s="1">
        <v>0</v>
      </c>
      <c r="AO56" s="1">
        <v>0</v>
      </c>
      <c r="AP56" s="1" t="s">
        <v>266</v>
      </c>
      <c r="AQ56" s="1" t="s">
        <v>267</v>
      </c>
      <c r="AR56" s="1" t="s">
        <v>268</v>
      </c>
    </row>
    <row r="57" spans="1:44" x14ac:dyDescent="0.2">
      <c r="A57" s="1" t="s">
        <v>30</v>
      </c>
      <c r="B57" s="1" t="s">
        <v>265</v>
      </c>
      <c r="C57" s="1">
        <v>-36.4</v>
      </c>
      <c r="D57" s="1">
        <v>476832.1</v>
      </c>
      <c r="E57" s="1">
        <v>5955548.2000000002</v>
      </c>
      <c r="F57" s="1">
        <v>0</v>
      </c>
      <c r="G57" s="1">
        <v>-0.6</v>
      </c>
      <c r="H57" s="1">
        <v>0</v>
      </c>
      <c r="I57" s="1">
        <v>2</v>
      </c>
      <c r="J57" s="1">
        <v>0</v>
      </c>
      <c r="K57" s="1">
        <v>-65.400000000000006</v>
      </c>
      <c r="L57" s="1">
        <v>29</v>
      </c>
      <c r="M57" s="1">
        <v>1700.2819999999999</v>
      </c>
      <c r="N57" s="1">
        <v>90.8</v>
      </c>
      <c r="O57" s="1">
        <v>8</v>
      </c>
      <c r="P57" s="1">
        <v>10</v>
      </c>
      <c r="Q57" s="1">
        <v>2.84</v>
      </c>
      <c r="R57" s="1">
        <v>68</v>
      </c>
      <c r="S57" s="1">
        <v>110</v>
      </c>
      <c r="T57" s="1">
        <v>147</v>
      </c>
      <c r="U57" s="1">
        <v>1357.5450000000001</v>
      </c>
      <c r="V57" s="1">
        <v>483.642</v>
      </c>
      <c r="W57" s="1">
        <v>752.85199999999998</v>
      </c>
      <c r="X57" s="1">
        <v>132.18100000000001</v>
      </c>
      <c r="Y57" s="1">
        <v>4.9400000000000004</v>
      </c>
      <c r="Z57" s="1">
        <v>8.0150000000000006</v>
      </c>
      <c r="AA57" s="1">
        <v>21.7</v>
      </c>
      <c r="AB57" s="1">
        <v>290.5</v>
      </c>
      <c r="AC57" s="1">
        <v>12634</v>
      </c>
      <c r="AD57" s="1">
        <v>3272</v>
      </c>
      <c r="AE57" s="1">
        <v>268</v>
      </c>
      <c r="AF57" s="1">
        <v>19</v>
      </c>
      <c r="AG57" s="1">
        <v>19</v>
      </c>
      <c r="AH57" s="1">
        <v>32.299999999999997</v>
      </c>
      <c r="AI57" s="1">
        <v>54.8</v>
      </c>
      <c r="AJ57" s="1">
        <v>12.8</v>
      </c>
      <c r="AK57" s="1">
        <v>84</v>
      </c>
      <c r="AL57" s="1">
        <v>31.9</v>
      </c>
      <c r="AM57" s="1">
        <v>8</v>
      </c>
      <c r="AN57" s="1">
        <v>0</v>
      </c>
      <c r="AO57" s="1">
        <v>0</v>
      </c>
      <c r="AP57" s="1" t="s">
        <v>266</v>
      </c>
      <c r="AQ57" s="1" t="s">
        <v>267</v>
      </c>
      <c r="AR57" s="1" t="s">
        <v>268</v>
      </c>
    </row>
    <row r="58" spans="1:44" x14ac:dyDescent="0.2">
      <c r="A58" s="1" t="s">
        <v>58</v>
      </c>
      <c r="B58" s="1" t="s">
        <v>265</v>
      </c>
      <c r="C58" s="1">
        <v>-36</v>
      </c>
      <c r="D58" s="1">
        <v>479945.7</v>
      </c>
      <c r="E58" s="1">
        <v>5953911</v>
      </c>
      <c r="F58" s="1">
        <v>0</v>
      </c>
      <c r="G58" s="1">
        <v>-0.6</v>
      </c>
      <c r="H58" s="1">
        <v>0</v>
      </c>
      <c r="I58" s="1">
        <v>2</v>
      </c>
      <c r="J58" s="1">
        <v>0</v>
      </c>
      <c r="K58" s="1">
        <v>-65.3</v>
      </c>
      <c r="L58" s="1">
        <v>29.3</v>
      </c>
      <c r="M58" s="1">
        <v>1652.8969999999999</v>
      </c>
      <c r="N58" s="1">
        <v>90.7</v>
      </c>
      <c r="O58" s="1">
        <v>8</v>
      </c>
      <c r="P58" s="1">
        <v>10</v>
      </c>
      <c r="Q58" s="1">
        <v>2.87</v>
      </c>
      <c r="R58" s="1">
        <v>68</v>
      </c>
      <c r="S58" s="1">
        <v>110</v>
      </c>
      <c r="T58" s="1">
        <v>147</v>
      </c>
      <c r="U58" s="1">
        <v>1357.8340000000001</v>
      </c>
      <c r="V58" s="1">
        <v>459.22500000000002</v>
      </c>
      <c r="W58" s="1">
        <v>752.85199999999998</v>
      </c>
      <c r="X58" s="1">
        <v>132.18100000000001</v>
      </c>
      <c r="Y58" s="1">
        <v>4.9400000000000004</v>
      </c>
      <c r="Z58" s="1">
        <v>8.0150000000000006</v>
      </c>
      <c r="AA58" s="1">
        <v>21.7</v>
      </c>
      <c r="AB58" s="1">
        <v>290.5</v>
      </c>
      <c r="AC58" s="1">
        <v>12629</v>
      </c>
      <c r="AD58" s="1">
        <v>3248</v>
      </c>
      <c r="AE58" s="1">
        <v>268</v>
      </c>
      <c r="AF58" s="1">
        <v>19</v>
      </c>
      <c r="AG58" s="1">
        <v>19</v>
      </c>
      <c r="AH58" s="1">
        <v>33.1</v>
      </c>
      <c r="AI58" s="1">
        <v>53.8</v>
      </c>
      <c r="AJ58" s="1">
        <v>13</v>
      </c>
      <c r="AK58" s="1">
        <v>81.900000000000006</v>
      </c>
      <c r="AL58" s="1">
        <v>31.9</v>
      </c>
      <c r="AM58" s="1">
        <v>8</v>
      </c>
      <c r="AN58" s="1">
        <v>0</v>
      </c>
      <c r="AO58" s="1">
        <v>0</v>
      </c>
      <c r="AP58" s="1" t="s">
        <v>266</v>
      </c>
      <c r="AQ58" s="1" t="s">
        <v>267</v>
      </c>
      <c r="AR58" s="1" t="s">
        <v>268</v>
      </c>
    </row>
    <row r="59" spans="1:44" x14ac:dyDescent="0.2">
      <c r="A59" s="1" t="s">
        <v>38</v>
      </c>
      <c r="B59" s="1" t="s">
        <v>265</v>
      </c>
      <c r="C59" s="1">
        <v>-35.700000000000003</v>
      </c>
      <c r="D59" s="1">
        <v>482214.3</v>
      </c>
      <c r="E59" s="1">
        <v>5953603.5999999996</v>
      </c>
      <c r="F59" s="1">
        <v>0</v>
      </c>
      <c r="G59" s="1">
        <v>-0.6</v>
      </c>
      <c r="H59" s="1">
        <v>0</v>
      </c>
      <c r="I59" s="1">
        <v>2</v>
      </c>
      <c r="J59" s="1">
        <v>0</v>
      </c>
      <c r="K59" s="1">
        <v>-66.400000000000006</v>
      </c>
      <c r="L59" s="1">
        <v>30.7</v>
      </c>
      <c r="M59" s="1">
        <v>1699.905</v>
      </c>
      <c r="N59" s="1">
        <v>91.8</v>
      </c>
      <c r="O59" s="1">
        <v>8</v>
      </c>
      <c r="P59" s="1">
        <v>10</v>
      </c>
      <c r="Q59" s="1">
        <v>3.01</v>
      </c>
      <c r="R59" s="1">
        <v>68</v>
      </c>
      <c r="S59" s="1">
        <v>110</v>
      </c>
      <c r="T59" s="1">
        <v>147</v>
      </c>
      <c r="U59" s="1">
        <v>1420.05</v>
      </c>
      <c r="V59" s="1">
        <v>427.84699999999998</v>
      </c>
      <c r="W59" s="1">
        <v>752.85199999999998</v>
      </c>
      <c r="X59" s="1">
        <v>132.18100000000001</v>
      </c>
      <c r="Y59" s="1">
        <v>4.9400000000000004</v>
      </c>
      <c r="Z59" s="1">
        <v>8.0150000000000006</v>
      </c>
      <c r="AA59" s="1">
        <v>21.7</v>
      </c>
      <c r="AB59" s="1">
        <v>290.5</v>
      </c>
      <c r="AC59" s="1">
        <v>12697</v>
      </c>
      <c r="AD59" s="1">
        <v>3229</v>
      </c>
      <c r="AE59" s="1">
        <v>268</v>
      </c>
      <c r="AF59" s="1">
        <v>21</v>
      </c>
      <c r="AG59" s="1">
        <v>21</v>
      </c>
      <c r="AH59" s="1">
        <v>32.200000000000003</v>
      </c>
      <c r="AI59" s="1">
        <v>55.2</v>
      </c>
      <c r="AJ59" s="1">
        <v>12.6</v>
      </c>
      <c r="AK59" s="1">
        <v>83</v>
      </c>
      <c r="AL59" s="1">
        <v>31.9</v>
      </c>
      <c r="AM59" s="1">
        <v>8</v>
      </c>
      <c r="AN59" s="1">
        <v>0</v>
      </c>
      <c r="AO59" s="1">
        <v>0</v>
      </c>
      <c r="AP59" s="1" t="s">
        <v>266</v>
      </c>
      <c r="AQ59" s="1" t="s">
        <v>267</v>
      </c>
      <c r="AR59" s="1" t="s">
        <v>268</v>
      </c>
    </row>
    <row r="60" spans="1:44" x14ac:dyDescent="0.2">
      <c r="A60" s="1" t="s">
        <v>82</v>
      </c>
      <c r="B60" s="1" t="s">
        <v>269</v>
      </c>
      <c r="C60" s="1">
        <v>-33.799999999999997</v>
      </c>
      <c r="D60" s="1">
        <v>483010</v>
      </c>
      <c r="E60" s="1">
        <v>5955625</v>
      </c>
      <c r="F60" s="1">
        <v>0</v>
      </c>
      <c r="G60" s="1">
        <v>-0.6</v>
      </c>
      <c r="H60" s="1">
        <v>0</v>
      </c>
      <c r="I60" s="1">
        <v>2</v>
      </c>
      <c r="J60" s="1">
        <v>0</v>
      </c>
      <c r="K60" s="1">
        <v>-64</v>
      </c>
      <c r="L60" s="1">
        <v>30.2</v>
      </c>
      <c r="M60" s="1">
        <v>1592.0340000000001</v>
      </c>
      <c r="N60" s="1">
        <v>89.4</v>
      </c>
      <c r="O60" s="1">
        <v>8</v>
      </c>
      <c r="P60" s="1">
        <v>10</v>
      </c>
      <c r="Q60" s="1">
        <v>2.96</v>
      </c>
      <c r="R60" s="1">
        <v>68</v>
      </c>
      <c r="S60" s="1">
        <v>110</v>
      </c>
      <c r="T60" s="1">
        <v>147</v>
      </c>
      <c r="U60" s="1">
        <v>1358.085</v>
      </c>
      <c r="V60" s="1">
        <v>484.43400000000003</v>
      </c>
      <c r="W60" s="1">
        <v>752.85199999999998</v>
      </c>
      <c r="X60" s="1">
        <v>132.18100000000001</v>
      </c>
      <c r="Y60" s="1">
        <v>4.9400000000000004</v>
      </c>
      <c r="Z60" s="1">
        <v>8.0150000000000006</v>
      </c>
      <c r="AA60" s="1">
        <v>21.7</v>
      </c>
      <c r="AB60" s="1">
        <v>290.5</v>
      </c>
      <c r="AC60" s="1">
        <v>12549</v>
      </c>
      <c r="AD60" s="1">
        <v>3111</v>
      </c>
      <c r="AE60" s="1">
        <v>268</v>
      </c>
      <c r="AF60" s="1">
        <v>19</v>
      </c>
      <c r="AG60" s="1">
        <v>19</v>
      </c>
      <c r="AH60" s="1">
        <v>34.299999999999997</v>
      </c>
      <c r="AI60" s="1">
        <v>52.6</v>
      </c>
      <c r="AJ60" s="1">
        <v>13.1</v>
      </c>
      <c r="AK60" s="1">
        <v>80.2</v>
      </c>
      <c r="AL60" s="1">
        <v>31.9</v>
      </c>
      <c r="AM60" s="1">
        <v>8</v>
      </c>
      <c r="AN60" s="1">
        <v>0</v>
      </c>
      <c r="AO60" s="1">
        <v>0</v>
      </c>
      <c r="AP60" s="1" t="s">
        <v>266</v>
      </c>
      <c r="AQ60" s="1" t="s">
        <v>267</v>
      </c>
      <c r="AR60" s="1" t="s">
        <v>268</v>
      </c>
    </row>
    <row r="61" spans="1:44" x14ac:dyDescent="0.2">
      <c r="A61" s="1" t="s">
        <v>118</v>
      </c>
      <c r="B61" s="1" t="s">
        <v>271</v>
      </c>
      <c r="C61" s="1">
        <v>-31.7</v>
      </c>
      <c r="D61" s="1">
        <v>483080</v>
      </c>
      <c r="E61" s="1">
        <v>5958680</v>
      </c>
      <c r="F61" s="1">
        <v>0</v>
      </c>
      <c r="G61" s="1">
        <v>-0.7</v>
      </c>
      <c r="H61" s="1">
        <v>0</v>
      </c>
      <c r="I61" s="1">
        <v>2</v>
      </c>
      <c r="J61" s="1">
        <v>0</v>
      </c>
      <c r="K61" s="1">
        <v>-61.6</v>
      </c>
      <c r="L61" s="1">
        <v>29.9</v>
      </c>
      <c r="M61" s="1">
        <v>1505.12</v>
      </c>
      <c r="N61" s="1">
        <v>87</v>
      </c>
      <c r="O61" s="1">
        <v>8</v>
      </c>
      <c r="P61" s="1">
        <v>10</v>
      </c>
      <c r="Q61" s="1">
        <v>2.92</v>
      </c>
      <c r="R61" s="1">
        <v>68</v>
      </c>
      <c r="S61" s="1">
        <v>110</v>
      </c>
      <c r="T61" s="1">
        <v>147</v>
      </c>
      <c r="U61" s="1">
        <v>1296.02</v>
      </c>
      <c r="V61" s="1">
        <v>555.572</v>
      </c>
      <c r="W61" s="1">
        <v>752.85199999999998</v>
      </c>
      <c r="X61" s="1">
        <v>132.18100000000001</v>
      </c>
      <c r="Y61" s="1">
        <v>4.9400000000000004</v>
      </c>
      <c r="Z61" s="1">
        <v>8.0150000000000006</v>
      </c>
      <c r="AA61" s="1">
        <v>21.7</v>
      </c>
      <c r="AB61" s="1">
        <v>290.5</v>
      </c>
      <c r="AC61" s="1">
        <v>12400</v>
      </c>
      <c r="AD61" s="1">
        <v>2982</v>
      </c>
      <c r="AE61" s="1">
        <v>268</v>
      </c>
      <c r="AF61" s="1">
        <v>19</v>
      </c>
      <c r="AG61" s="1">
        <v>19</v>
      </c>
      <c r="AH61" s="1">
        <v>35.9</v>
      </c>
      <c r="AI61" s="1">
        <v>51.3</v>
      </c>
      <c r="AJ61" s="1">
        <v>12.8</v>
      </c>
      <c r="AK61" s="1">
        <v>78.2</v>
      </c>
      <c r="AL61" s="1">
        <v>31.9</v>
      </c>
      <c r="AM61" s="1">
        <v>8</v>
      </c>
      <c r="AN61" s="1">
        <v>0</v>
      </c>
      <c r="AO61" s="1">
        <v>0</v>
      </c>
      <c r="AP61" s="1" t="s">
        <v>266</v>
      </c>
      <c r="AQ61" s="1" t="s">
        <v>267</v>
      </c>
      <c r="AR61" s="1" t="s">
        <v>268</v>
      </c>
    </row>
    <row r="62" spans="1:44" x14ac:dyDescent="0.2">
      <c r="A62" s="1" t="s">
        <v>74</v>
      </c>
      <c r="B62" s="1" t="s">
        <v>271</v>
      </c>
      <c r="C62" s="1">
        <v>-35.4</v>
      </c>
      <c r="D62" s="1">
        <v>481215.8</v>
      </c>
      <c r="E62" s="1">
        <v>5964770</v>
      </c>
      <c r="F62" s="1">
        <v>0</v>
      </c>
      <c r="G62" s="1">
        <v>-0.6</v>
      </c>
      <c r="H62" s="1">
        <v>0</v>
      </c>
      <c r="I62" s="1">
        <v>2</v>
      </c>
      <c r="J62" s="1">
        <v>0</v>
      </c>
      <c r="K62" s="1">
        <v>-64</v>
      </c>
      <c r="L62" s="1">
        <v>28.6</v>
      </c>
      <c r="M62" s="1">
        <v>1620.414</v>
      </c>
      <c r="N62" s="1">
        <v>89.4</v>
      </c>
      <c r="O62" s="1">
        <v>8</v>
      </c>
      <c r="P62" s="1">
        <v>10</v>
      </c>
      <c r="Q62" s="1">
        <v>2.8</v>
      </c>
      <c r="R62" s="1">
        <v>68</v>
      </c>
      <c r="S62" s="1">
        <v>110</v>
      </c>
      <c r="T62" s="1">
        <v>147</v>
      </c>
      <c r="U62" s="1">
        <v>1357.884</v>
      </c>
      <c r="V62" s="1">
        <v>521.59199999999998</v>
      </c>
      <c r="W62" s="1">
        <v>752.85199999999998</v>
      </c>
      <c r="X62" s="1">
        <v>132.18100000000001</v>
      </c>
      <c r="Y62" s="1">
        <v>4.9400000000000004</v>
      </c>
      <c r="Z62" s="1">
        <v>8.0150000000000006</v>
      </c>
      <c r="AA62" s="1">
        <v>21.7</v>
      </c>
      <c r="AB62" s="1">
        <v>290.5</v>
      </c>
      <c r="AC62" s="1">
        <v>12548</v>
      </c>
      <c r="AD62" s="1">
        <v>3211</v>
      </c>
      <c r="AE62" s="1">
        <v>268</v>
      </c>
      <c r="AF62" s="1">
        <v>19</v>
      </c>
      <c r="AG62" s="1">
        <v>19</v>
      </c>
      <c r="AH62" s="1">
        <v>33.799999999999997</v>
      </c>
      <c r="AI62" s="1">
        <v>52.9</v>
      </c>
      <c r="AJ62" s="1">
        <v>13.3</v>
      </c>
      <c r="AK62" s="1">
        <v>81.599999999999994</v>
      </c>
      <c r="AL62" s="1">
        <v>31.9</v>
      </c>
      <c r="AM62" s="1">
        <v>8</v>
      </c>
      <c r="AN62" s="1">
        <v>0</v>
      </c>
      <c r="AO62" s="1">
        <v>0</v>
      </c>
      <c r="AP62" s="1" t="s">
        <v>266</v>
      </c>
      <c r="AQ62" s="1" t="s">
        <v>267</v>
      </c>
      <c r="AR62" s="1" t="s">
        <v>268</v>
      </c>
    </row>
    <row r="63" spans="1:44" x14ac:dyDescent="0.2">
      <c r="A63" s="1" t="s">
        <v>141</v>
      </c>
      <c r="B63" s="1" t="s">
        <v>265</v>
      </c>
      <c r="C63" s="1">
        <v>-30.1</v>
      </c>
      <c r="D63" s="1">
        <v>480956.4</v>
      </c>
      <c r="E63" s="1">
        <v>5968146</v>
      </c>
      <c r="F63" s="1">
        <v>0</v>
      </c>
      <c r="G63" s="1">
        <v>-0.6</v>
      </c>
      <c r="H63" s="1">
        <v>0</v>
      </c>
      <c r="I63" s="1">
        <v>2</v>
      </c>
      <c r="J63" s="1">
        <v>0</v>
      </c>
      <c r="K63" s="1">
        <v>-60</v>
      </c>
      <c r="L63" s="1">
        <v>29.9</v>
      </c>
      <c r="M63" s="1">
        <v>1449.6030000000001</v>
      </c>
      <c r="N63" s="1">
        <v>85.4</v>
      </c>
      <c r="O63" s="1">
        <v>8</v>
      </c>
      <c r="P63" s="1">
        <v>10</v>
      </c>
      <c r="Q63" s="1">
        <v>2.93</v>
      </c>
      <c r="R63" s="1">
        <v>64</v>
      </c>
      <c r="S63" s="1">
        <v>110</v>
      </c>
      <c r="T63" s="1">
        <v>147</v>
      </c>
      <c r="U63" s="1">
        <v>1296.2090000000001</v>
      </c>
      <c r="V63" s="1">
        <v>549.82899999999995</v>
      </c>
      <c r="W63" s="1">
        <v>752.85199999999998</v>
      </c>
      <c r="X63" s="1">
        <v>132.18100000000001</v>
      </c>
      <c r="Y63" s="1">
        <v>4.9400000000000004</v>
      </c>
      <c r="Z63" s="1">
        <v>8.0150000000000006</v>
      </c>
      <c r="AA63" s="1">
        <v>21.7</v>
      </c>
      <c r="AB63" s="1">
        <v>290.5</v>
      </c>
      <c r="AC63" s="1">
        <v>12301</v>
      </c>
      <c r="AD63" s="1">
        <v>2883</v>
      </c>
      <c r="AE63" s="1">
        <v>268</v>
      </c>
      <c r="AF63" s="1">
        <v>19</v>
      </c>
      <c r="AG63" s="1">
        <v>19</v>
      </c>
      <c r="AH63" s="1">
        <v>36.799999999999997</v>
      </c>
      <c r="AI63" s="1">
        <v>50.8</v>
      </c>
      <c r="AJ63" s="1">
        <v>12.4</v>
      </c>
      <c r="AK63" s="1">
        <v>76.8</v>
      </c>
      <c r="AL63" s="1">
        <v>31.9</v>
      </c>
      <c r="AM63" s="1">
        <v>8</v>
      </c>
      <c r="AN63" s="1">
        <v>0</v>
      </c>
      <c r="AO63" s="1">
        <v>0</v>
      </c>
      <c r="AP63" s="1" t="s">
        <v>266</v>
      </c>
      <c r="AQ63" s="1" t="s">
        <v>267</v>
      </c>
      <c r="AR63" s="1" t="s">
        <v>268</v>
      </c>
    </row>
    <row r="64" spans="1:44" x14ac:dyDescent="0.2">
      <c r="A64" s="1" t="s">
        <v>87</v>
      </c>
      <c r="B64" s="1" t="s">
        <v>265</v>
      </c>
      <c r="C64" s="1">
        <v>-37.299999999999997</v>
      </c>
      <c r="D64" s="1">
        <v>480018</v>
      </c>
      <c r="E64" s="1">
        <v>5972470</v>
      </c>
      <c r="F64" s="1">
        <v>0</v>
      </c>
      <c r="G64" s="1">
        <v>-0.6</v>
      </c>
      <c r="H64" s="1">
        <v>0</v>
      </c>
      <c r="I64" s="1">
        <v>2</v>
      </c>
      <c r="J64" s="1">
        <v>0</v>
      </c>
      <c r="K64" s="1">
        <v>-62.8</v>
      </c>
      <c r="L64" s="1">
        <v>25.5</v>
      </c>
      <c r="M64" s="1">
        <v>1623.779</v>
      </c>
      <c r="N64" s="1">
        <v>88.2</v>
      </c>
      <c r="O64" s="1">
        <v>8</v>
      </c>
      <c r="P64" s="1">
        <v>10</v>
      </c>
      <c r="Q64" s="1">
        <v>2.4900000000000002</v>
      </c>
      <c r="R64" s="1">
        <v>68</v>
      </c>
      <c r="S64" s="1">
        <v>110</v>
      </c>
      <c r="T64" s="1">
        <v>147</v>
      </c>
      <c r="U64" s="1">
        <v>1295.3920000000001</v>
      </c>
      <c r="V64" s="1">
        <v>452.86700000000002</v>
      </c>
      <c r="W64" s="1">
        <v>752.85199999999998</v>
      </c>
      <c r="X64" s="1">
        <v>132.18100000000001</v>
      </c>
      <c r="Y64" s="1">
        <v>4.9400000000000004</v>
      </c>
      <c r="Z64" s="1">
        <v>8.0150000000000006</v>
      </c>
      <c r="AA64" s="1">
        <v>21.7</v>
      </c>
      <c r="AB64" s="1">
        <v>290.5</v>
      </c>
      <c r="AC64" s="1">
        <v>12472</v>
      </c>
      <c r="AD64" s="1">
        <v>3329</v>
      </c>
      <c r="AE64" s="1">
        <v>268</v>
      </c>
      <c r="AF64" s="1">
        <v>15</v>
      </c>
      <c r="AG64" s="1">
        <v>15</v>
      </c>
      <c r="AH64" s="1">
        <v>33.700000000000003</v>
      </c>
      <c r="AI64" s="1">
        <v>53.1</v>
      </c>
      <c r="AJ64" s="1">
        <v>13.1</v>
      </c>
      <c r="AK64" s="1">
        <v>82.9</v>
      </c>
      <c r="AL64" s="1">
        <v>31.9</v>
      </c>
      <c r="AM64" s="1">
        <v>8</v>
      </c>
      <c r="AN64" s="1">
        <v>0</v>
      </c>
      <c r="AO64" s="1">
        <v>0</v>
      </c>
      <c r="AP64" s="1" t="s">
        <v>266</v>
      </c>
      <c r="AQ64" s="1" t="s">
        <v>267</v>
      </c>
      <c r="AR64" s="1" t="s">
        <v>268</v>
      </c>
    </row>
    <row r="65" spans="1:44" x14ac:dyDescent="0.2">
      <c r="A65" s="1" t="s">
        <v>186</v>
      </c>
      <c r="B65" s="1" t="s">
        <v>265</v>
      </c>
      <c r="C65" s="1">
        <v>-36.5</v>
      </c>
      <c r="D65" s="1">
        <v>457556</v>
      </c>
      <c r="E65" s="1">
        <v>5966844.7999999998</v>
      </c>
      <c r="F65" s="1">
        <v>0</v>
      </c>
      <c r="G65" s="1">
        <v>-0.6</v>
      </c>
      <c r="H65" s="1">
        <v>0</v>
      </c>
      <c r="I65" s="1">
        <v>2</v>
      </c>
      <c r="J65" s="1">
        <v>0</v>
      </c>
      <c r="K65" s="1">
        <v>-67</v>
      </c>
      <c r="L65" s="1">
        <v>30.5</v>
      </c>
      <c r="M65" s="1">
        <v>1708.25</v>
      </c>
      <c r="N65" s="1">
        <v>92.4</v>
      </c>
      <c r="O65" s="1">
        <v>8</v>
      </c>
      <c r="P65" s="1">
        <v>10.5</v>
      </c>
      <c r="Q65" s="1">
        <v>2.8475999999999999</v>
      </c>
      <c r="R65" s="1">
        <v>70</v>
      </c>
      <c r="S65" s="1">
        <v>112</v>
      </c>
      <c r="T65" s="1">
        <v>146</v>
      </c>
      <c r="U65" s="1">
        <v>1406.347</v>
      </c>
      <c r="V65" s="1">
        <v>356.14400000000001</v>
      </c>
      <c r="W65" s="1">
        <v>752.85199999999998</v>
      </c>
      <c r="X65" s="1">
        <v>132.18100000000001</v>
      </c>
      <c r="Y65" s="1">
        <v>4.9400000000000004</v>
      </c>
      <c r="Z65" s="1">
        <v>8.0150000000000006</v>
      </c>
      <c r="AA65" s="1">
        <v>21.7</v>
      </c>
      <c r="AB65" s="1">
        <v>290.5</v>
      </c>
      <c r="AC65" s="1">
        <v>12886</v>
      </c>
      <c r="AD65" s="1">
        <v>3342</v>
      </c>
      <c r="AE65" s="1">
        <v>268</v>
      </c>
      <c r="AF65" s="1">
        <v>19</v>
      </c>
      <c r="AG65" s="1">
        <v>19</v>
      </c>
      <c r="AH65" s="1">
        <v>33</v>
      </c>
      <c r="AI65" s="1">
        <v>52.2</v>
      </c>
      <c r="AJ65" s="1">
        <v>14.8</v>
      </c>
      <c r="AK65" s="1">
        <v>81</v>
      </c>
      <c r="AL65" s="1">
        <v>31.9</v>
      </c>
      <c r="AM65" s="1">
        <v>8</v>
      </c>
      <c r="AN65" s="1">
        <v>0</v>
      </c>
      <c r="AO65" s="1">
        <v>0</v>
      </c>
      <c r="AP65" s="1" t="s">
        <v>270</v>
      </c>
      <c r="AQ65" s="1" t="s">
        <v>267</v>
      </c>
      <c r="AR65" s="1" t="s">
        <v>268</v>
      </c>
    </row>
    <row r="66" spans="1:44" x14ac:dyDescent="0.2">
      <c r="A66" s="1" t="s">
        <v>17</v>
      </c>
      <c r="B66" s="1" t="s">
        <v>269</v>
      </c>
      <c r="C66" s="1">
        <v>-36.6</v>
      </c>
      <c r="D66" s="1">
        <v>462946.7</v>
      </c>
      <c r="E66" s="1">
        <v>5964506.7000000002</v>
      </c>
      <c r="F66" s="1">
        <v>0</v>
      </c>
      <c r="G66" s="1">
        <v>-0.7</v>
      </c>
      <c r="H66" s="1">
        <v>0</v>
      </c>
      <c r="I66" s="1">
        <v>2</v>
      </c>
      <c r="J66" s="1">
        <v>0</v>
      </c>
      <c r="K66" s="1">
        <v>-70.7</v>
      </c>
      <c r="L66" s="1">
        <v>34.1</v>
      </c>
      <c r="M66" s="1">
        <v>1825.818</v>
      </c>
      <c r="N66" s="1">
        <v>96.1</v>
      </c>
      <c r="O66" s="1">
        <v>8</v>
      </c>
      <c r="P66" s="1">
        <v>10</v>
      </c>
      <c r="Q66" s="1">
        <v>3.34</v>
      </c>
      <c r="R66" s="1">
        <v>68</v>
      </c>
      <c r="S66" s="1">
        <v>110</v>
      </c>
      <c r="T66" s="1">
        <v>147</v>
      </c>
      <c r="U66" s="1">
        <v>1419.761</v>
      </c>
      <c r="V66" s="1">
        <v>514.55499999999995</v>
      </c>
      <c r="W66" s="1">
        <v>752.85199999999998</v>
      </c>
      <c r="X66" s="1">
        <v>132.18100000000001</v>
      </c>
      <c r="Y66" s="1">
        <v>4.9400000000000004</v>
      </c>
      <c r="Z66" s="1">
        <v>8.0150000000000006</v>
      </c>
      <c r="AA66" s="1">
        <v>21.7</v>
      </c>
      <c r="AB66" s="1">
        <v>290.5</v>
      </c>
      <c r="AC66" s="1">
        <v>12964</v>
      </c>
      <c r="AD66" s="1">
        <v>3285</v>
      </c>
      <c r="AE66" s="1">
        <v>268</v>
      </c>
      <c r="AF66" s="1">
        <v>23</v>
      </c>
      <c r="AG66" s="1">
        <v>23</v>
      </c>
      <c r="AH66" s="1">
        <v>30</v>
      </c>
      <c r="AI66" s="1">
        <v>58.4</v>
      </c>
      <c r="AJ66" s="1">
        <v>11.6</v>
      </c>
      <c r="AK66" s="1">
        <v>84.7</v>
      </c>
      <c r="AL66" s="1">
        <v>31.9</v>
      </c>
      <c r="AM66" s="1">
        <v>8</v>
      </c>
      <c r="AN66" s="1">
        <v>0</v>
      </c>
      <c r="AO66" s="1">
        <v>0</v>
      </c>
      <c r="AP66" s="1" t="s">
        <v>266</v>
      </c>
      <c r="AQ66" s="1" t="s">
        <v>267</v>
      </c>
      <c r="AR66" s="1" t="s">
        <v>268</v>
      </c>
    </row>
    <row r="67" spans="1:44" x14ac:dyDescent="0.2">
      <c r="A67" s="1" t="s">
        <v>75</v>
      </c>
      <c r="B67" s="1" t="s">
        <v>269</v>
      </c>
      <c r="C67" s="1">
        <v>-33.1</v>
      </c>
      <c r="D67" s="1">
        <v>465969.2</v>
      </c>
      <c r="E67" s="1">
        <v>5962923.9000000004</v>
      </c>
      <c r="F67" s="1">
        <v>0</v>
      </c>
      <c r="G67" s="1">
        <v>-0.7</v>
      </c>
      <c r="H67" s="1">
        <v>0</v>
      </c>
      <c r="I67" s="1">
        <v>2</v>
      </c>
      <c r="J67" s="1">
        <v>0</v>
      </c>
      <c r="K67" s="1">
        <v>-64.099999999999994</v>
      </c>
      <c r="L67" s="1">
        <v>31</v>
      </c>
      <c r="M67" s="1">
        <v>1587.2950000000001</v>
      </c>
      <c r="N67" s="1">
        <v>89.5</v>
      </c>
      <c r="O67" s="1">
        <v>8</v>
      </c>
      <c r="P67" s="1">
        <v>10</v>
      </c>
      <c r="Q67" s="1">
        <v>3.03</v>
      </c>
      <c r="R67" s="1">
        <v>68</v>
      </c>
      <c r="S67" s="1">
        <v>110</v>
      </c>
      <c r="T67" s="1">
        <v>147</v>
      </c>
      <c r="U67" s="1">
        <v>1358.123</v>
      </c>
      <c r="V67" s="1">
        <v>546.82600000000002</v>
      </c>
      <c r="W67" s="1">
        <v>752.85199999999998</v>
      </c>
      <c r="X67" s="1">
        <v>132.18100000000001</v>
      </c>
      <c r="Y67" s="1">
        <v>4.9400000000000004</v>
      </c>
      <c r="Z67" s="1">
        <v>8.0150000000000006</v>
      </c>
      <c r="AA67" s="1">
        <v>21.7</v>
      </c>
      <c r="AB67" s="1">
        <v>290.5</v>
      </c>
      <c r="AC67" s="1">
        <v>12555</v>
      </c>
      <c r="AD67" s="1">
        <v>3068</v>
      </c>
      <c r="AE67" s="1">
        <v>268</v>
      </c>
      <c r="AF67" s="1">
        <v>21</v>
      </c>
      <c r="AG67" s="1">
        <v>21</v>
      </c>
      <c r="AH67" s="1">
        <v>34.4</v>
      </c>
      <c r="AI67" s="1">
        <v>52.4</v>
      </c>
      <c r="AJ67" s="1">
        <v>13.2</v>
      </c>
      <c r="AK67" s="1">
        <v>79.900000000000006</v>
      </c>
      <c r="AL67" s="1">
        <v>31.9</v>
      </c>
      <c r="AM67" s="1">
        <v>8</v>
      </c>
      <c r="AN67" s="1">
        <v>0</v>
      </c>
      <c r="AO67" s="1">
        <v>0</v>
      </c>
      <c r="AP67" s="1" t="s">
        <v>266</v>
      </c>
      <c r="AQ67" s="1" t="s">
        <v>267</v>
      </c>
      <c r="AR67" s="1" t="s">
        <v>268</v>
      </c>
    </row>
    <row r="68" spans="1:44" x14ac:dyDescent="0.2">
      <c r="A68" s="1" t="s">
        <v>162</v>
      </c>
      <c r="B68" s="1" t="s">
        <v>265</v>
      </c>
      <c r="C68" s="1">
        <v>-29.5</v>
      </c>
      <c r="D68" s="1">
        <v>469781.5</v>
      </c>
      <c r="E68" s="1">
        <v>5960130.0999999996</v>
      </c>
      <c r="F68" s="1">
        <v>0</v>
      </c>
      <c r="G68" s="1">
        <v>-0.7</v>
      </c>
      <c r="H68" s="1">
        <v>0</v>
      </c>
      <c r="I68" s="1">
        <v>2</v>
      </c>
      <c r="J68" s="1">
        <v>0</v>
      </c>
      <c r="K68" s="1">
        <v>-57.7</v>
      </c>
      <c r="L68" s="1">
        <v>28.2</v>
      </c>
      <c r="M68" s="1">
        <v>1412.925</v>
      </c>
      <c r="N68" s="1">
        <v>83.1</v>
      </c>
      <c r="O68" s="1">
        <v>8</v>
      </c>
      <c r="P68" s="1">
        <v>10</v>
      </c>
      <c r="Q68" s="1">
        <v>2.75</v>
      </c>
      <c r="R68" s="1">
        <v>64</v>
      </c>
      <c r="S68" s="1">
        <v>110</v>
      </c>
      <c r="T68" s="1">
        <v>147</v>
      </c>
      <c r="U68" s="1">
        <v>1233.8040000000001</v>
      </c>
      <c r="V68" s="1">
        <v>430.87599999999998</v>
      </c>
      <c r="W68" s="1">
        <v>752.85199999999998</v>
      </c>
      <c r="X68" s="1">
        <v>132.18100000000001</v>
      </c>
      <c r="Y68" s="1">
        <v>4.9400000000000004</v>
      </c>
      <c r="Z68" s="1">
        <v>8.0150000000000006</v>
      </c>
      <c r="AA68" s="1">
        <v>21.7</v>
      </c>
      <c r="AB68" s="1">
        <v>290.5</v>
      </c>
      <c r="AC68" s="1">
        <v>12158</v>
      </c>
      <c r="AD68" s="1">
        <v>2845</v>
      </c>
      <c r="AE68" s="1">
        <v>268</v>
      </c>
      <c r="AF68" s="1">
        <v>17</v>
      </c>
      <c r="AG68" s="1">
        <v>17</v>
      </c>
      <c r="AH68" s="1">
        <v>37.799999999999997</v>
      </c>
      <c r="AI68" s="1">
        <v>49.5</v>
      </c>
      <c r="AJ68" s="1">
        <v>12.7</v>
      </c>
      <c r="AK68" s="1">
        <v>77.099999999999994</v>
      </c>
      <c r="AL68" s="1">
        <v>31.9</v>
      </c>
      <c r="AM68" s="1">
        <v>8</v>
      </c>
      <c r="AN68" s="1">
        <v>0</v>
      </c>
      <c r="AO68" s="1">
        <v>0</v>
      </c>
      <c r="AP68" s="1" t="s">
        <v>266</v>
      </c>
      <c r="AQ68" s="1" t="s">
        <v>267</v>
      </c>
      <c r="AR68" s="1" t="s">
        <v>268</v>
      </c>
    </row>
    <row r="69" spans="1:44" x14ac:dyDescent="0.2">
      <c r="A69" s="1" t="s">
        <v>134</v>
      </c>
      <c r="B69" s="1" t="s">
        <v>265</v>
      </c>
      <c r="C69" s="1">
        <v>-30.7</v>
      </c>
      <c r="D69" s="1">
        <v>473047.2</v>
      </c>
      <c r="E69" s="1">
        <v>5958242.7000000002</v>
      </c>
      <c r="F69" s="1">
        <v>0</v>
      </c>
      <c r="G69" s="1">
        <v>-0.6</v>
      </c>
      <c r="H69" s="1">
        <v>0</v>
      </c>
      <c r="I69" s="1">
        <v>2</v>
      </c>
      <c r="J69" s="1">
        <v>0</v>
      </c>
      <c r="K69" s="1">
        <v>-60.6</v>
      </c>
      <c r="L69" s="1">
        <v>29.9</v>
      </c>
      <c r="M69" s="1">
        <v>1472.7049999999999</v>
      </c>
      <c r="N69" s="1">
        <v>86</v>
      </c>
      <c r="O69" s="1">
        <v>8</v>
      </c>
      <c r="P69" s="1">
        <v>10</v>
      </c>
      <c r="Q69" s="1">
        <v>2.93</v>
      </c>
      <c r="R69" s="1">
        <v>66</v>
      </c>
      <c r="S69" s="1">
        <v>110</v>
      </c>
      <c r="T69" s="1">
        <v>147</v>
      </c>
      <c r="U69" s="1">
        <v>1296.133</v>
      </c>
      <c r="V69" s="1">
        <v>611.76900000000001</v>
      </c>
      <c r="W69" s="1">
        <v>752.85199999999998</v>
      </c>
      <c r="X69" s="1">
        <v>132.18100000000001</v>
      </c>
      <c r="Y69" s="1">
        <v>4.9400000000000004</v>
      </c>
      <c r="Z69" s="1">
        <v>8.0150000000000006</v>
      </c>
      <c r="AA69" s="1">
        <v>21.7</v>
      </c>
      <c r="AB69" s="1">
        <v>290.5</v>
      </c>
      <c r="AC69" s="1">
        <v>12338</v>
      </c>
      <c r="AD69" s="1">
        <v>2920</v>
      </c>
      <c r="AE69" s="1">
        <v>268</v>
      </c>
      <c r="AF69" s="1">
        <v>19</v>
      </c>
      <c r="AG69" s="1">
        <v>19</v>
      </c>
      <c r="AH69" s="1">
        <v>36.4</v>
      </c>
      <c r="AI69" s="1">
        <v>51</v>
      </c>
      <c r="AJ69" s="1">
        <v>12.5</v>
      </c>
      <c r="AK69" s="1">
        <v>77.5</v>
      </c>
      <c r="AL69" s="1">
        <v>31.9</v>
      </c>
      <c r="AM69" s="1">
        <v>8</v>
      </c>
      <c r="AN69" s="1">
        <v>0</v>
      </c>
      <c r="AO69" s="1">
        <v>0</v>
      </c>
      <c r="AP69" s="1" t="s">
        <v>266</v>
      </c>
      <c r="AQ69" s="1" t="s">
        <v>267</v>
      </c>
      <c r="AR69" s="1" t="s">
        <v>268</v>
      </c>
    </row>
    <row r="70" spans="1:44" x14ac:dyDescent="0.2">
      <c r="A70" s="1" t="s">
        <v>109</v>
      </c>
      <c r="B70" s="1" t="s">
        <v>265</v>
      </c>
      <c r="C70" s="1">
        <v>-33.200000000000003</v>
      </c>
      <c r="D70" s="1">
        <v>475925.3</v>
      </c>
      <c r="E70" s="1">
        <v>5957007.4000000004</v>
      </c>
      <c r="F70" s="1">
        <v>0</v>
      </c>
      <c r="G70" s="1">
        <v>-0.7</v>
      </c>
      <c r="H70" s="1">
        <v>0</v>
      </c>
      <c r="I70" s="1">
        <v>2.4</v>
      </c>
      <c r="J70" s="1">
        <v>0</v>
      </c>
      <c r="K70" s="1">
        <v>-62.3</v>
      </c>
      <c r="L70" s="1">
        <v>29.1</v>
      </c>
      <c r="M70" s="1">
        <v>1544.097</v>
      </c>
      <c r="N70" s="1">
        <v>87.7</v>
      </c>
      <c r="O70" s="1">
        <v>8</v>
      </c>
      <c r="P70" s="1">
        <v>10</v>
      </c>
      <c r="Q70" s="1">
        <v>2.84</v>
      </c>
      <c r="R70" s="1">
        <v>68</v>
      </c>
      <c r="S70" s="1">
        <v>110</v>
      </c>
      <c r="T70" s="1">
        <v>147</v>
      </c>
      <c r="U70" s="1">
        <v>1295.8320000000001</v>
      </c>
      <c r="V70" s="1">
        <v>522.35900000000004</v>
      </c>
      <c r="W70" s="1">
        <v>752.85199999999998</v>
      </c>
      <c r="X70" s="1">
        <v>132.18100000000001</v>
      </c>
      <c r="Y70" s="1">
        <v>4.9400000000000004</v>
      </c>
      <c r="Z70" s="1">
        <v>8.0150000000000006</v>
      </c>
      <c r="AA70" s="1">
        <v>21.7</v>
      </c>
      <c r="AB70" s="1">
        <v>290.5</v>
      </c>
      <c r="AC70" s="1">
        <v>12443</v>
      </c>
      <c r="AD70" s="1">
        <v>3075</v>
      </c>
      <c r="AE70" s="1">
        <v>268</v>
      </c>
      <c r="AF70" s="1">
        <v>19</v>
      </c>
      <c r="AG70" s="1">
        <v>19</v>
      </c>
      <c r="AH70" s="1">
        <v>35.200000000000003</v>
      </c>
      <c r="AI70" s="1">
        <v>51.7</v>
      </c>
      <c r="AJ70" s="1">
        <v>13.2</v>
      </c>
      <c r="AK70" s="1">
        <v>79.5</v>
      </c>
      <c r="AL70" s="1">
        <v>31.9</v>
      </c>
      <c r="AM70" s="1">
        <v>8</v>
      </c>
      <c r="AN70" s="1">
        <v>0</v>
      </c>
      <c r="AO70" s="1">
        <v>0</v>
      </c>
      <c r="AP70" s="1" t="s">
        <v>266</v>
      </c>
      <c r="AQ70" s="1" t="s">
        <v>267</v>
      </c>
      <c r="AR70" s="1" t="s">
        <v>268</v>
      </c>
    </row>
    <row r="71" spans="1:44" x14ac:dyDescent="0.2">
      <c r="A71" s="1" t="s">
        <v>136</v>
      </c>
      <c r="B71" s="1" t="s">
        <v>265</v>
      </c>
      <c r="C71" s="1">
        <v>-33.6</v>
      </c>
      <c r="D71" s="1">
        <v>479093.5</v>
      </c>
      <c r="E71" s="1">
        <v>5955279.5999999996</v>
      </c>
      <c r="F71" s="1">
        <v>0</v>
      </c>
      <c r="G71" s="1">
        <v>-0.6</v>
      </c>
      <c r="H71" s="1">
        <v>0</v>
      </c>
      <c r="I71" s="1">
        <v>2</v>
      </c>
      <c r="J71" s="1">
        <v>0</v>
      </c>
      <c r="K71" s="1">
        <v>-59.9</v>
      </c>
      <c r="L71" s="1">
        <v>26.3</v>
      </c>
      <c r="M71" s="1">
        <v>1506.432</v>
      </c>
      <c r="N71" s="1">
        <v>85.3</v>
      </c>
      <c r="O71" s="1">
        <v>8</v>
      </c>
      <c r="P71" s="1">
        <v>10</v>
      </c>
      <c r="Q71" s="1">
        <v>2.57</v>
      </c>
      <c r="R71" s="1">
        <v>68</v>
      </c>
      <c r="S71" s="1">
        <v>110</v>
      </c>
      <c r="T71" s="1">
        <v>147</v>
      </c>
      <c r="U71" s="1">
        <v>1295.7940000000001</v>
      </c>
      <c r="V71" s="1">
        <v>428.375</v>
      </c>
      <c r="W71" s="1">
        <v>752.85199999999998</v>
      </c>
      <c r="X71" s="1">
        <v>132.18100000000001</v>
      </c>
      <c r="Y71" s="1">
        <v>4.9400000000000004</v>
      </c>
      <c r="Z71" s="1">
        <v>8.0150000000000006</v>
      </c>
      <c r="AA71" s="1">
        <v>21.7</v>
      </c>
      <c r="AB71" s="1">
        <v>290.5</v>
      </c>
      <c r="AC71" s="1">
        <v>12293</v>
      </c>
      <c r="AD71" s="1">
        <v>3099</v>
      </c>
      <c r="AE71" s="1">
        <v>268</v>
      </c>
      <c r="AF71" s="1">
        <v>15.4</v>
      </c>
      <c r="AG71" s="1">
        <v>15</v>
      </c>
      <c r="AH71" s="1">
        <v>36.200000000000003</v>
      </c>
      <c r="AI71" s="1">
        <v>50.2</v>
      </c>
      <c r="AJ71" s="1">
        <v>13.6</v>
      </c>
      <c r="AK71" s="1">
        <v>80</v>
      </c>
      <c r="AL71" s="1">
        <v>31.9</v>
      </c>
      <c r="AM71" s="1">
        <v>8</v>
      </c>
      <c r="AN71" s="1">
        <v>0</v>
      </c>
      <c r="AO71" s="1">
        <v>0</v>
      </c>
      <c r="AP71" s="1" t="s">
        <v>266</v>
      </c>
      <c r="AQ71" s="1" t="s">
        <v>267</v>
      </c>
      <c r="AR71" s="1" t="s">
        <v>268</v>
      </c>
    </row>
    <row r="72" spans="1:44" x14ac:dyDescent="0.2">
      <c r="A72" s="1" t="s">
        <v>48</v>
      </c>
      <c r="B72" s="1" t="s">
        <v>265</v>
      </c>
      <c r="C72" s="1">
        <v>-36.4</v>
      </c>
      <c r="D72" s="1">
        <v>481397.1</v>
      </c>
      <c r="E72" s="1">
        <v>5954916.9000000004</v>
      </c>
      <c r="F72" s="1">
        <v>0</v>
      </c>
      <c r="G72" s="1">
        <v>-0.6</v>
      </c>
      <c r="H72" s="1">
        <v>0</v>
      </c>
      <c r="I72" s="1">
        <v>2</v>
      </c>
      <c r="J72" s="1">
        <v>0</v>
      </c>
      <c r="K72" s="1">
        <v>-65.900000000000006</v>
      </c>
      <c r="L72" s="1">
        <v>29.5</v>
      </c>
      <c r="M72" s="1">
        <v>1687.2739999999999</v>
      </c>
      <c r="N72" s="1">
        <v>91.3</v>
      </c>
      <c r="O72" s="1">
        <v>8</v>
      </c>
      <c r="P72" s="1">
        <v>10</v>
      </c>
      <c r="Q72" s="1">
        <v>2.89</v>
      </c>
      <c r="R72" s="1">
        <v>68</v>
      </c>
      <c r="S72" s="1">
        <v>110</v>
      </c>
      <c r="T72" s="1">
        <v>147</v>
      </c>
      <c r="U72" s="1">
        <v>1357.6959999999999</v>
      </c>
      <c r="V72" s="1">
        <v>427.75900000000001</v>
      </c>
      <c r="W72" s="1">
        <v>752.85199999999998</v>
      </c>
      <c r="X72" s="1">
        <v>132.18100000000001</v>
      </c>
      <c r="Y72" s="1">
        <v>4.9400000000000004</v>
      </c>
      <c r="Z72" s="1">
        <v>8.0150000000000006</v>
      </c>
      <c r="AA72" s="1">
        <v>21.7</v>
      </c>
      <c r="AB72" s="1">
        <v>290.5</v>
      </c>
      <c r="AC72" s="1">
        <v>12666</v>
      </c>
      <c r="AD72" s="1">
        <v>3273</v>
      </c>
      <c r="AE72" s="1">
        <v>268</v>
      </c>
      <c r="AF72" s="1">
        <v>19</v>
      </c>
      <c r="AG72" s="1">
        <v>19</v>
      </c>
      <c r="AH72" s="1">
        <v>32.5</v>
      </c>
      <c r="AI72" s="1">
        <v>54.8</v>
      </c>
      <c r="AJ72" s="1">
        <v>12.7</v>
      </c>
      <c r="AK72" s="1">
        <v>82.9</v>
      </c>
      <c r="AL72" s="1">
        <v>31.9</v>
      </c>
      <c r="AM72" s="1">
        <v>8</v>
      </c>
      <c r="AN72" s="1">
        <v>0</v>
      </c>
      <c r="AO72" s="1">
        <v>0</v>
      </c>
      <c r="AP72" s="1" t="s">
        <v>266</v>
      </c>
      <c r="AQ72" s="1" t="s">
        <v>267</v>
      </c>
      <c r="AR72" s="1" t="s">
        <v>268</v>
      </c>
    </row>
    <row r="73" spans="1:44" x14ac:dyDescent="0.2">
      <c r="A73" s="1" t="s">
        <v>88</v>
      </c>
      <c r="B73" s="1" t="s">
        <v>269</v>
      </c>
      <c r="C73" s="1">
        <v>-34.200000000000003</v>
      </c>
      <c r="D73" s="1">
        <v>482020</v>
      </c>
      <c r="E73" s="1">
        <v>5957212</v>
      </c>
      <c r="F73" s="1">
        <v>0</v>
      </c>
      <c r="G73" s="1">
        <v>-0.7</v>
      </c>
      <c r="H73" s="1">
        <v>0</v>
      </c>
      <c r="I73" s="1">
        <v>2</v>
      </c>
      <c r="J73" s="1">
        <v>0</v>
      </c>
      <c r="K73" s="1">
        <v>-63.8</v>
      </c>
      <c r="L73" s="1">
        <v>29.6</v>
      </c>
      <c r="M73" s="1">
        <v>1586.1</v>
      </c>
      <c r="N73" s="1">
        <v>89.2</v>
      </c>
      <c r="O73" s="1">
        <v>8</v>
      </c>
      <c r="P73" s="1">
        <v>10</v>
      </c>
      <c r="Q73" s="1">
        <v>2.89</v>
      </c>
      <c r="R73" s="1">
        <v>68</v>
      </c>
      <c r="S73" s="1">
        <v>110</v>
      </c>
      <c r="T73" s="1">
        <v>147</v>
      </c>
      <c r="U73" s="1">
        <v>1358.098</v>
      </c>
      <c r="V73" s="1">
        <v>578.22900000000004</v>
      </c>
      <c r="W73" s="1">
        <v>752.85199999999998</v>
      </c>
      <c r="X73" s="1">
        <v>132.18100000000001</v>
      </c>
      <c r="Y73" s="1">
        <v>4.9400000000000004</v>
      </c>
      <c r="Z73" s="1">
        <v>8.0150000000000006</v>
      </c>
      <c r="AA73" s="1">
        <v>21.7</v>
      </c>
      <c r="AB73" s="1">
        <v>290.5</v>
      </c>
      <c r="AC73" s="1">
        <v>12536</v>
      </c>
      <c r="AD73" s="1">
        <v>3136</v>
      </c>
      <c r="AE73" s="1">
        <v>268</v>
      </c>
      <c r="AF73" s="1">
        <v>19</v>
      </c>
      <c r="AG73" s="1">
        <v>19</v>
      </c>
      <c r="AH73" s="1">
        <v>34.4</v>
      </c>
      <c r="AI73" s="1">
        <v>52.2</v>
      </c>
      <c r="AJ73" s="1">
        <v>13.4</v>
      </c>
      <c r="AK73" s="1">
        <v>80.2</v>
      </c>
      <c r="AL73" s="1">
        <v>31.9</v>
      </c>
      <c r="AM73" s="1">
        <v>8</v>
      </c>
      <c r="AN73" s="1">
        <v>0</v>
      </c>
      <c r="AO73" s="1">
        <v>0</v>
      </c>
      <c r="AP73" s="1" t="s">
        <v>266</v>
      </c>
      <c r="AQ73" s="1" t="s">
        <v>267</v>
      </c>
      <c r="AR73" s="1" t="s">
        <v>268</v>
      </c>
    </row>
    <row r="74" spans="1:44" x14ac:dyDescent="0.2">
      <c r="A74" s="1" t="s">
        <v>61</v>
      </c>
      <c r="B74" s="1" t="s">
        <v>271</v>
      </c>
      <c r="C74" s="1">
        <v>-36.6</v>
      </c>
      <c r="D74" s="1">
        <v>482289</v>
      </c>
      <c r="E74" s="1">
        <v>5959950</v>
      </c>
      <c r="F74" s="1">
        <v>0</v>
      </c>
      <c r="G74" s="1">
        <v>-0.6</v>
      </c>
      <c r="H74" s="1">
        <v>0</v>
      </c>
      <c r="I74" s="1">
        <v>2</v>
      </c>
      <c r="J74" s="1">
        <v>0</v>
      </c>
      <c r="K74" s="1">
        <v>-64.5</v>
      </c>
      <c r="L74" s="1">
        <v>27.9</v>
      </c>
      <c r="M74" s="1">
        <v>1656.4369999999999</v>
      </c>
      <c r="N74" s="1">
        <v>89.9</v>
      </c>
      <c r="O74" s="1">
        <v>8</v>
      </c>
      <c r="P74" s="1">
        <v>10</v>
      </c>
      <c r="Q74" s="1">
        <v>2.73</v>
      </c>
      <c r="R74" s="1">
        <v>68</v>
      </c>
      <c r="S74" s="1">
        <v>110</v>
      </c>
      <c r="T74" s="1">
        <v>147</v>
      </c>
      <c r="U74" s="1">
        <v>1357.721</v>
      </c>
      <c r="V74" s="1">
        <v>396.88400000000001</v>
      </c>
      <c r="W74" s="1">
        <v>752.85199999999998</v>
      </c>
      <c r="X74" s="1">
        <v>132.18100000000001</v>
      </c>
      <c r="Y74" s="1">
        <v>4.9400000000000004</v>
      </c>
      <c r="Z74" s="1">
        <v>8.0150000000000006</v>
      </c>
      <c r="AA74" s="1">
        <v>21.7</v>
      </c>
      <c r="AB74" s="1">
        <v>290.5</v>
      </c>
      <c r="AC74" s="1">
        <v>12578</v>
      </c>
      <c r="AD74" s="1">
        <v>3285</v>
      </c>
      <c r="AE74" s="1">
        <v>268</v>
      </c>
      <c r="AF74" s="1">
        <v>17</v>
      </c>
      <c r="AG74" s="1">
        <v>17</v>
      </c>
      <c r="AH74" s="1">
        <v>33.1</v>
      </c>
      <c r="AI74" s="1">
        <v>54.1</v>
      </c>
      <c r="AJ74" s="1">
        <v>12.9</v>
      </c>
      <c r="AK74" s="1">
        <v>82.8</v>
      </c>
      <c r="AL74" s="1">
        <v>31.9</v>
      </c>
      <c r="AM74" s="1">
        <v>8</v>
      </c>
      <c r="AN74" s="1">
        <v>0</v>
      </c>
      <c r="AO74" s="1">
        <v>0</v>
      </c>
      <c r="AP74" s="1" t="s">
        <v>266</v>
      </c>
      <c r="AQ74" s="1" t="s">
        <v>267</v>
      </c>
      <c r="AR74" s="1" t="s">
        <v>268</v>
      </c>
    </row>
    <row r="75" spans="1:44" x14ac:dyDescent="0.2">
      <c r="A75" s="1" t="s">
        <v>111</v>
      </c>
      <c r="B75" s="1" t="s">
        <v>265</v>
      </c>
      <c r="C75" s="1">
        <v>-32.9</v>
      </c>
      <c r="D75" s="1">
        <v>480311</v>
      </c>
      <c r="E75" s="1">
        <v>5966220</v>
      </c>
      <c r="F75" s="1">
        <v>0</v>
      </c>
      <c r="G75" s="1">
        <v>-0.7</v>
      </c>
      <c r="H75" s="1">
        <v>0</v>
      </c>
      <c r="I75" s="1">
        <v>2</v>
      </c>
      <c r="J75" s="1">
        <v>0</v>
      </c>
      <c r="K75" s="1">
        <v>-62</v>
      </c>
      <c r="L75" s="1">
        <v>29.1</v>
      </c>
      <c r="M75" s="1">
        <v>1541.751</v>
      </c>
      <c r="N75" s="1">
        <v>87.4</v>
      </c>
      <c r="O75" s="1">
        <v>8</v>
      </c>
      <c r="P75" s="1">
        <v>10</v>
      </c>
      <c r="Q75" s="1">
        <v>2.84</v>
      </c>
      <c r="R75" s="1">
        <v>68</v>
      </c>
      <c r="S75" s="1">
        <v>110</v>
      </c>
      <c r="T75" s="1">
        <v>147</v>
      </c>
      <c r="U75" s="1">
        <v>1295.806</v>
      </c>
      <c r="V75" s="1">
        <v>484.49599999999998</v>
      </c>
      <c r="W75" s="1">
        <v>752.85199999999998</v>
      </c>
      <c r="X75" s="1">
        <v>132.18100000000001</v>
      </c>
      <c r="Y75" s="1">
        <v>4.9400000000000004</v>
      </c>
      <c r="Z75" s="1">
        <v>8.0150000000000006</v>
      </c>
      <c r="AA75" s="1">
        <v>21.7</v>
      </c>
      <c r="AB75" s="1">
        <v>290.5</v>
      </c>
      <c r="AC75" s="1">
        <v>12424</v>
      </c>
      <c r="AD75" s="1">
        <v>3056</v>
      </c>
      <c r="AE75" s="1">
        <v>268</v>
      </c>
      <c r="AF75" s="1">
        <v>19</v>
      </c>
      <c r="AG75" s="1">
        <v>19</v>
      </c>
      <c r="AH75" s="1">
        <v>35.299999999999997</v>
      </c>
      <c r="AI75" s="1">
        <v>51.4</v>
      </c>
      <c r="AJ75" s="1">
        <v>13.3</v>
      </c>
      <c r="AK75" s="1">
        <v>79.7</v>
      </c>
      <c r="AL75" s="1">
        <v>31.9</v>
      </c>
      <c r="AM75" s="1">
        <v>8</v>
      </c>
      <c r="AN75" s="1">
        <v>0</v>
      </c>
      <c r="AO75" s="1">
        <v>0</v>
      </c>
      <c r="AP75" s="1" t="s">
        <v>266</v>
      </c>
      <c r="AQ75" s="1" t="s">
        <v>267</v>
      </c>
      <c r="AR75" s="1" t="s">
        <v>268</v>
      </c>
    </row>
    <row r="76" spans="1:44" x14ac:dyDescent="0.2">
      <c r="A76" s="1" t="s">
        <v>145</v>
      </c>
      <c r="B76" s="1" t="s">
        <v>271</v>
      </c>
      <c r="C76" s="1">
        <v>-30.5</v>
      </c>
      <c r="D76" s="1">
        <v>480065.6</v>
      </c>
      <c r="E76" s="1">
        <v>5969576.2999999998</v>
      </c>
      <c r="F76" s="1">
        <v>0</v>
      </c>
      <c r="G76" s="1">
        <v>-0.6</v>
      </c>
      <c r="H76" s="1">
        <v>0</v>
      </c>
      <c r="I76" s="1">
        <v>2</v>
      </c>
      <c r="J76" s="1">
        <v>0</v>
      </c>
      <c r="K76" s="1">
        <v>-59.8</v>
      </c>
      <c r="L76" s="1">
        <v>29.3</v>
      </c>
      <c r="M76" s="1">
        <v>1450.9860000000001</v>
      </c>
      <c r="N76" s="1">
        <v>85.2</v>
      </c>
      <c r="O76" s="1">
        <v>8</v>
      </c>
      <c r="P76" s="1">
        <v>10</v>
      </c>
      <c r="Q76" s="1">
        <v>2.87</v>
      </c>
      <c r="R76" s="1">
        <v>64</v>
      </c>
      <c r="S76" s="1">
        <v>110</v>
      </c>
      <c r="T76" s="1">
        <v>147</v>
      </c>
      <c r="U76" s="1">
        <v>1296.1959999999999</v>
      </c>
      <c r="V76" s="1">
        <v>493.28</v>
      </c>
      <c r="W76" s="1">
        <v>752.85199999999998</v>
      </c>
      <c r="X76" s="1">
        <v>132.18100000000001</v>
      </c>
      <c r="Y76" s="1">
        <v>4.9400000000000004</v>
      </c>
      <c r="Z76" s="1">
        <v>8.0150000000000006</v>
      </c>
      <c r="AA76" s="1">
        <v>21.7</v>
      </c>
      <c r="AB76" s="1">
        <v>290.5</v>
      </c>
      <c r="AC76" s="1">
        <v>12289</v>
      </c>
      <c r="AD76" s="1">
        <v>2907</v>
      </c>
      <c r="AE76" s="1">
        <v>268</v>
      </c>
      <c r="AF76" s="1">
        <v>19</v>
      </c>
      <c r="AG76" s="1">
        <v>19</v>
      </c>
      <c r="AH76" s="1">
        <v>36.799999999999997</v>
      </c>
      <c r="AI76" s="1">
        <v>50.8</v>
      </c>
      <c r="AJ76" s="1">
        <v>12.4</v>
      </c>
      <c r="AK76" s="1">
        <v>77.099999999999994</v>
      </c>
      <c r="AL76" s="1">
        <v>31.9</v>
      </c>
      <c r="AM76" s="1">
        <v>8</v>
      </c>
      <c r="AN76" s="1">
        <v>0</v>
      </c>
      <c r="AO76" s="1">
        <v>0</v>
      </c>
      <c r="AP76" s="1" t="s">
        <v>266</v>
      </c>
      <c r="AQ76" s="1" t="s">
        <v>267</v>
      </c>
      <c r="AR76" s="1" t="s">
        <v>268</v>
      </c>
    </row>
    <row r="77" spans="1:44" x14ac:dyDescent="0.2">
      <c r="A77" s="1" t="s">
        <v>77</v>
      </c>
      <c r="B77" s="1" t="s">
        <v>265</v>
      </c>
      <c r="C77" s="1">
        <v>-36.9</v>
      </c>
      <c r="D77" s="1">
        <v>456830.5</v>
      </c>
      <c r="E77" s="1">
        <v>5967999.4000000004</v>
      </c>
      <c r="F77" s="1">
        <v>0</v>
      </c>
      <c r="G77" s="1">
        <v>-0.6</v>
      </c>
      <c r="H77" s="1">
        <v>0</v>
      </c>
      <c r="I77" s="1">
        <v>2</v>
      </c>
      <c r="J77" s="1">
        <v>0</v>
      </c>
      <c r="K77" s="1">
        <v>-63.1</v>
      </c>
      <c r="L77" s="1">
        <v>26.2</v>
      </c>
      <c r="M77" s="1">
        <v>1646.3109999999999</v>
      </c>
      <c r="N77" s="1">
        <v>88.5</v>
      </c>
      <c r="O77" s="1">
        <v>8</v>
      </c>
      <c r="P77" s="1">
        <v>10</v>
      </c>
      <c r="Q77" s="1">
        <v>2.56</v>
      </c>
      <c r="R77" s="1">
        <v>68</v>
      </c>
      <c r="S77" s="1">
        <v>110</v>
      </c>
      <c r="T77" s="1">
        <v>147</v>
      </c>
      <c r="U77" s="1">
        <v>1295.316</v>
      </c>
      <c r="V77" s="1">
        <v>396.88400000000001</v>
      </c>
      <c r="W77" s="1">
        <v>752.85199999999998</v>
      </c>
      <c r="X77" s="1">
        <v>132.18100000000001</v>
      </c>
      <c r="Y77" s="1">
        <v>4.9400000000000004</v>
      </c>
      <c r="Z77" s="1">
        <v>8.0150000000000006</v>
      </c>
      <c r="AA77" s="1">
        <v>21.7</v>
      </c>
      <c r="AB77" s="1">
        <v>290.5</v>
      </c>
      <c r="AC77" s="1">
        <v>12491</v>
      </c>
      <c r="AD77" s="1">
        <v>3304</v>
      </c>
      <c r="AE77" s="1">
        <v>268</v>
      </c>
      <c r="AF77" s="1">
        <v>15</v>
      </c>
      <c r="AG77" s="1">
        <v>15</v>
      </c>
      <c r="AH77" s="1">
        <v>33.299999999999997</v>
      </c>
      <c r="AI77" s="1">
        <v>53.8</v>
      </c>
      <c r="AJ77" s="1">
        <v>13</v>
      </c>
      <c r="AK77" s="1">
        <v>83.6</v>
      </c>
      <c r="AL77" s="1">
        <v>31.9</v>
      </c>
      <c r="AM77" s="1">
        <v>8</v>
      </c>
      <c r="AN77" s="1">
        <v>0</v>
      </c>
      <c r="AO77" s="1">
        <v>0</v>
      </c>
      <c r="AP77" s="1" t="s">
        <v>266</v>
      </c>
      <c r="AQ77" s="1" t="s">
        <v>267</v>
      </c>
      <c r="AR77" s="1" t="s">
        <v>268</v>
      </c>
    </row>
    <row r="78" spans="1:44" x14ac:dyDescent="0.2">
      <c r="A78" s="1" t="s">
        <v>23</v>
      </c>
      <c r="B78" s="1" t="s">
        <v>265</v>
      </c>
      <c r="C78" s="1">
        <v>-38.1</v>
      </c>
      <c r="D78" s="1">
        <v>459201</v>
      </c>
      <c r="E78" s="1">
        <v>5967340</v>
      </c>
      <c r="F78" s="1">
        <v>0</v>
      </c>
      <c r="G78" s="1">
        <v>-0.8</v>
      </c>
      <c r="H78" s="1">
        <v>0</v>
      </c>
      <c r="I78" s="1">
        <v>2</v>
      </c>
      <c r="J78" s="1">
        <v>0</v>
      </c>
      <c r="K78" s="1">
        <v>-67.3</v>
      </c>
      <c r="L78" s="1">
        <v>29.2</v>
      </c>
      <c r="M78" s="1">
        <v>1742.915</v>
      </c>
      <c r="N78" s="1">
        <v>92.7</v>
      </c>
      <c r="O78" s="1">
        <v>8</v>
      </c>
      <c r="P78" s="1">
        <v>10</v>
      </c>
      <c r="Q78" s="1">
        <v>2.84</v>
      </c>
      <c r="R78" s="1">
        <v>68</v>
      </c>
      <c r="S78" s="1">
        <v>110</v>
      </c>
      <c r="T78" s="1">
        <v>147</v>
      </c>
      <c r="U78" s="1">
        <v>1357.5319999999999</v>
      </c>
      <c r="V78" s="1">
        <v>458.685</v>
      </c>
      <c r="W78" s="1">
        <v>752.85199999999998</v>
      </c>
      <c r="X78" s="1">
        <v>132.18100000000001</v>
      </c>
      <c r="Y78" s="1">
        <v>4.9400000000000004</v>
      </c>
      <c r="Z78" s="1">
        <v>8.0150000000000006</v>
      </c>
      <c r="AA78" s="1">
        <v>21.7</v>
      </c>
      <c r="AB78" s="1">
        <v>290.5</v>
      </c>
      <c r="AC78" s="1">
        <v>12752</v>
      </c>
      <c r="AD78" s="1">
        <v>3378</v>
      </c>
      <c r="AE78" s="1">
        <v>268</v>
      </c>
      <c r="AF78" s="1">
        <v>19</v>
      </c>
      <c r="AG78" s="1">
        <v>19</v>
      </c>
      <c r="AH78" s="1">
        <v>31.5</v>
      </c>
      <c r="AI78" s="1">
        <v>56</v>
      </c>
      <c r="AJ78" s="1">
        <v>12.5</v>
      </c>
      <c r="AK78" s="1">
        <v>84.2</v>
      </c>
      <c r="AL78" s="1">
        <v>31.9</v>
      </c>
      <c r="AM78" s="1">
        <v>8</v>
      </c>
      <c r="AN78" s="1">
        <v>0</v>
      </c>
      <c r="AO78" s="1">
        <v>0</v>
      </c>
      <c r="AP78" s="1" t="s">
        <v>266</v>
      </c>
      <c r="AQ78" s="1" t="s">
        <v>267</v>
      </c>
      <c r="AR78" s="1" t="s">
        <v>268</v>
      </c>
    </row>
    <row r="79" spans="1:44" x14ac:dyDescent="0.2">
      <c r="A79" s="1" t="s">
        <v>173</v>
      </c>
      <c r="B79" s="1" t="s">
        <v>265</v>
      </c>
      <c r="C79" s="1">
        <v>-38.799999999999997</v>
      </c>
      <c r="D79" s="1">
        <v>462166</v>
      </c>
      <c r="E79" s="1">
        <v>5965760</v>
      </c>
      <c r="F79" s="1">
        <v>0</v>
      </c>
      <c r="G79" s="1">
        <v>-0.7</v>
      </c>
      <c r="H79" s="1">
        <v>0</v>
      </c>
      <c r="I79" s="1">
        <v>2</v>
      </c>
      <c r="J79" s="1">
        <v>0</v>
      </c>
      <c r="K79" s="1">
        <v>-70.900000000000006</v>
      </c>
      <c r="L79" s="1">
        <v>32.1</v>
      </c>
      <c r="M79" s="1">
        <v>1796.414</v>
      </c>
      <c r="N79" s="1">
        <v>96.3</v>
      </c>
      <c r="O79" s="1">
        <v>8</v>
      </c>
      <c r="P79" s="1">
        <v>10.5</v>
      </c>
      <c r="Q79" s="1">
        <v>2.9904999999999999</v>
      </c>
      <c r="R79" s="1">
        <v>72</v>
      </c>
      <c r="S79" s="1">
        <v>112</v>
      </c>
      <c r="T79" s="1">
        <v>146</v>
      </c>
      <c r="U79" s="1">
        <v>1471.742</v>
      </c>
      <c r="V79" s="1">
        <v>421.62700000000001</v>
      </c>
      <c r="W79" s="1">
        <v>752.85199999999998</v>
      </c>
      <c r="X79" s="1">
        <v>132.18100000000001</v>
      </c>
      <c r="Y79" s="1">
        <v>4.9400000000000004</v>
      </c>
      <c r="Z79" s="1">
        <v>8.0150000000000006</v>
      </c>
      <c r="AA79" s="1">
        <v>21.7</v>
      </c>
      <c r="AB79" s="1">
        <v>290.5</v>
      </c>
      <c r="AC79" s="1">
        <v>13141</v>
      </c>
      <c r="AD79" s="1">
        <v>3493</v>
      </c>
      <c r="AE79" s="1">
        <v>268</v>
      </c>
      <c r="AF79" s="1">
        <v>21</v>
      </c>
      <c r="AG79" s="1">
        <v>21</v>
      </c>
      <c r="AH79" s="1">
        <v>31.9</v>
      </c>
      <c r="AI79" s="1">
        <v>53.8</v>
      </c>
      <c r="AJ79" s="1">
        <v>14.3</v>
      </c>
      <c r="AK79" s="1">
        <v>81.400000000000006</v>
      </c>
      <c r="AL79" s="1">
        <v>31.9</v>
      </c>
      <c r="AM79" s="1">
        <v>8</v>
      </c>
      <c r="AN79" s="1">
        <v>0</v>
      </c>
      <c r="AO79" s="1">
        <v>0</v>
      </c>
      <c r="AP79" s="1" t="s">
        <v>270</v>
      </c>
      <c r="AQ79" s="1" t="s">
        <v>267</v>
      </c>
      <c r="AR79" s="1" t="s">
        <v>268</v>
      </c>
    </row>
    <row r="80" spans="1:44" x14ac:dyDescent="0.2">
      <c r="A80" s="1" t="s">
        <v>45</v>
      </c>
      <c r="B80" s="1" t="s">
        <v>269</v>
      </c>
      <c r="C80" s="1">
        <v>-36</v>
      </c>
      <c r="D80" s="1">
        <v>465189.5</v>
      </c>
      <c r="E80" s="1">
        <v>5964176</v>
      </c>
      <c r="F80" s="1">
        <v>0</v>
      </c>
      <c r="G80" s="1">
        <v>-0.6</v>
      </c>
      <c r="H80" s="1">
        <v>0</v>
      </c>
      <c r="I80" s="1">
        <v>2</v>
      </c>
      <c r="J80" s="1">
        <v>0</v>
      </c>
      <c r="K80" s="1">
        <v>-65.900000000000006</v>
      </c>
      <c r="L80" s="1">
        <v>29.9</v>
      </c>
      <c r="M80" s="1">
        <v>1684.673</v>
      </c>
      <c r="N80" s="1">
        <v>91.3</v>
      </c>
      <c r="O80" s="1">
        <v>8</v>
      </c>
      <c r="P80" s="1">
        <v>10</v>
      </c>
      <c r="Q80" s="1">
        <v>2.93</v>
      </c>
      <c r="R80" s="1">
        <v>68</v>
      </c>
      <c r="S80" s="1">
        <v>110</v>
      </c>
      <c r="T80" s="1">
        <v>147</v>
      </c>
      <c r="U80" s="1">
        <v>1357.7339999999999</v>
      </c>
      <c r="V80" s="1">
        <v>422.01600000000002</v>
      </c>
      <c r="W80" s="1">
        <v>752.85199999999998</v>
      </c>
      <c r="X80" s="1">
        <v>132.18100000000001</v>
      </c>
      <c r="Y80" s="1">
        <v>4.9400000000000004</v>
      </c>
      <c r="Z80" s="1">
        <v>8.0150000000000006</v>
      </c>
      <c r="AA80" s="1">
        <v>21.7</v>
      </c>
      <c r="AB80" s="1">
        <v>290.5</v>
      </c>
      <c r="AC80" s="1">
        <v>12666</v>
      </c>
      <c r="AD80" s="1">
        <v>3248</v>
      </c>
      <c r="AE80" s="1">
        <v>268</v>
      </c>
      <c r="AF80" s="1">
        <v>19</v>
      </c>
      <c r="AG80" s="1">
        <v>19</v>
      </c>
      <c r="AH80" s="1">
        <v>32.5</v>
      </c>
      <c r="AI80" s="1">
        <v>54.8</v>
      </c>
      <c r="AJ80" s="1">
        <v>12.7</v>
      </c>
      <c r="AK80" s="1">
        <v>82.8</v>
      </c>
      <c r="AL80" s="1">
        <v>31.9</v>
      </c>
      <c r="AM80" s="1">
        <v>8</v>
      </c>
      <c r="AN80" s="1">
        <v>0</v>
      </c>
      <c r="AO80" s="1">
        <v>0</v>
      </c>
      <c r="AP80" s="1" t="s">
        <v>266</v>
      </c>
      <c r="AQ80" s="1" t="s">
        <v>267</v>
      </c>
      <c r="AR80" s="1" t="s">
        <v>268</v>
      </c>
    </row>
    <row r="81" spans="1:44" x14ac:dyDescent="0.2">
      <c r="A81" s="1" t="s">
        <v>144</v>
      </c>
      <c r="B81" s="1" t="s">
        <v>265</v>
      </c>
      <c r="C81" s="1">
        <v>-31</v>
      </c>
      <c r="D81" s="1">
        <v>468965</v>
      </c>
      <c r="E81" s="1">
        <v>5961442.0999999996</v>
      </c>
      <c r="F81" s="1">
        <v>0</v>
      </c>
      <c r="G81" s="1">
        <v>-0.6</v>
      </c>
      <c r="H81" s="1">
        <v>0</v>
      </c>
      <c r="I81" s="1">
        <v>2</v>
      </c>
      <c r="J81" s="1">
        <v>0</v>
      </c>
      <c r="K81" s="1">
        <v>-59.9</v>
      </c>
      <c r="L81" s="1">
        <v>28.9</v>
      </c>
      <c r="M81" s="1">
        <v>1456.64</v>
      </c>
      <c r="N81" s="1">
        <v>85.3</v>
      </c>
      <c r="O81" s="1">
        <v>8</v>
      </c>
      <c r="P81" s="1">
        <v>10</v>
      </c>
      <c r="Q81" s="1">
        <v>2.83</v>
      </c>
      <c r="R81" s="1">
        <v>66</v>
      </c>
      <c r="S81" s="1">
        <v>110</v>
      </c>
      <c r="T81" s="1">
        <v>147</v>
      </c>
      <c r="U81" s="1">
        <v>1296.1579999999999</v>
      </c>
      <c r="V81" s="1">
        <v>524.24400000000003</v>
      </c>
      <c r="W81" s="1">
        <v>752.85199999999998</v>
      </c>
      <c r="X81" s="1">
        <v>132.18100000000001</v>
      </c>
      <c r="Y81" s="1">
        <v>4.9400000000000004</v>
      </c>
      <c r="Z81" s="1">
        <v>8.0150000000000006</v>
      </c>
      <c r="AA81" s="1">
        <v>21.7</v>
      </c>
      <c r="AB81" s="1">
        <v>290.5</v>
      </c>
      <c r="AC81" s="1">
        <v>12295</v>
      </c>
      <c r="AD81" s="1">
        <v>2938</v>
      </c>
      <c r="AE81" s="1">
        <v>268</v>
      </c>
      <c r="AF81" s="1">
        <v>19</v>
      </c>
      <c r="AG81" s="1">
        <v>19</v>
      </c>
      <c r="AH81" s="1">
        <v>36.700000000000003</v>
      </c>
      <c r="AI81" s="1">
        <v>50.7</v>
      </c>
      <c r="AJ81" s="1">
        <v>12.6</v>
      </c>
      <c r="AK81" s="1">
        <v>77.3</v>
      </c>
      <c r="AL81" s="1">
        <v>31.9</v>
      </c>
      <c r="AM81" s="1">
        <v>8</v>
      </c>
      <c r="AN81" s="1">
        <v>0</v>
      </c>
      <c r="AO81" s="1">
        <v>0</v>
      </c>
      <c r="AP81" s="1" t="s">
        <v>266</v>
      </c>
      <c r="AQ81" s="1" t="s">
        <v>267</v>
      </c>
      <c r="AR81" s="1" t="s">
        <v>268</v>
      </c>
    </row>
    <row r="82" spans="1:44" x14ac:dyDescent="0.2">
      <c r="A82" s="1" t="s">
        <v>159</v>
      </c>
      <c r="B82" s="1" t="s">
        <v>265</v>
      </c>
      <c r="C82" s="1">
        <v>-29.4</v>
      </c>
      <c r="D82" s="1">
        <v>472154.9</v>
      </c>
      <c r="E82" s="1">
        <v>5959675.2999999998</v>
      </c>
      <c r="F82" s="1">
        <v>0</v>
      </c>
      <c r="G82" s="1">
        <v>-0.7</v>
      </c>
      <c r="H82" s="1">
        <v>0</v>
      </c>
      <c r="I82" s="1">
        <v>2</v>
      </c>
      <c r="J82" s="1">
        <v>0</v>
      </c>
      <c r="K82" s="1">
        <v>-58.2</v>
      </c>
      <c r="L82" s="1">
        <v>28.8</v>
      </c>
      <c r="M82" s="1">
        <v>1422.4680000000001</v>
      </c>
      <c r="N82" s="1">
        <v>83.6</v>
      </c>
      <c r="O82" s="1">
        <v>8</v>
      </c>
      <c r="P82" s="1">
        <v>10</v>
      </c>
      <c r="Q82" s="1">
        <v>2.81</v>
      </c>
      <c r="R82" s="1">
        <v>64</v>
      </c>
      <c r="S82" s="1">
        <v>110</v>
      </c>
      <c r="T82" s="1">
        <v>147</v>
      </c>
      <c r="U82" s="1">
        <v>1233.8040000000001</v>
      </c>
      <c r="V82" s="1">
        <v>430.87599999999998</v>
      </c>
      <c r="W82" s="1">
        <v>752.85199999999998</v>
      </c>
      <c r="X82" s="1">
        <v>132.18100000000001</v>
      </c>
      <c r="Y82" s="1">
        <v>4.9400000000000004</v>
      </c>
      <c r="Z82" s="1">
        <v>8.0150000000000006</v>
      </c>
      <c r="AA82" s="1">
        <v>21.7</v>
      </c>
      <c r="AB82" s="1">
        <v>290.5</v>
      </c>
      <c r="AC82" s="1">
        <v>12189</v>
      </c>
      <c r="AD82" s="1">
        <v>2839</v>
      </c>
      <c r="AE82" s="1">
        <v>268</v>
      </c>
      <c r="AF82" s="1">
        <v>19</v>
      </c>
      <c r="AG82" s="1">
        <v>19</v>
      </c>
      <c r="AH82" s="1">
        <v>37.5</v>
      </c>
      <c r="AI82" s="1">
        <v>49.8</v>
      </c>
      <c r="AJ82" s="1">
        <v>12.6</v>
      </c>
      <c r="AK82" s="1">
        <v>77.099999999999994</v>
      </c>
      <c r="AL82" s="1">
        <v>31.9</v>
      </c>
      <c r="AM82" s="1">
        <v>8</v>
      </c>
      <c r="AN82" s="1">
        <v>0</v>
      </c>
      <c r="AO82" s="1">
        <v>0</v>
      </c>
      <c r="AP82" s="1" t="s">
        <v>266</v>
      </c>
      <c r="AQ82" s="1" t="s">
        <v>267</v>
      </c>
      <c r="AR82" s="1" t="s">
        <v>268</v>
      </c>
    </row>
    <row r="83" spans="1:44" x14ac:dyDescent="0.2">
      <c r="A83" s="1" t="s">
        <v>106</v>
      </c>
      <c r="B83" s="1" t="s">
        <v>269</v>
      </c>
      <c r="C83" s="1">
        <v>-31.4</v>
      </c>
      <c r="D83" s="1">
        <v>474974.3</v>
      </c>
      <c r="E83" s="1">
        <v>5958531.5999999996</v>
      </c>
      <c r="F83" s="1">
        <v>0</v>
      </c>
      <c r="G83" s="1">
        <v>-0.7</v>
      </c>
      <c r="H83" s="1">
        <v>0</v>
      </c>
      <c r="I83" s="1">
        <v>2</v>
      </c>
      <c r="J83" s="1">
        <v>0</v>
      </c>
      <c r="K83" s="1">
        <v>-62.4</v>
      </c>
      <c r="L83" s="1">
        <v>31</v>
      </c>
      <c r="M83" s="1">
        <v>1526.357</v>
      </c>
      <c r="N83" s="1">
        <v>87.8</v>
      </c>
      <c r="O83" s="1">
        <v>8</v>
      </c>
      <c r="P83" s="1">
        <v>10</v>
      </c>
      <c r="Q83" s="1">
        <v>3.03</v>
      </c>
      <c r="R83" s="1">
        <v>68</v>
      </c>
      <c r="S83" s="1">
        <v>110</v>
      </c>
      <c r="T83" s="1">
        <v>147</v>
      </c>
      <c r="U83" s="1">
        <v>1295.9949999999999</v>
      </c>
      <c r="V83" s="1">
        <v>555.55899999999997</v>
      </c>
      <c r="W83" s="1">
        <v>752.85199999999998</v>
      </c>
      <c r="X83" s="1">
        <v>132.18100000000001</v>
      </c>
      <c r="Y83" s="1">
        <v>4.9400000000000004</v>
      </c>
      <c r="Z83" s="1">
        <v>8.0150000000000006</v>
      </c>
      <c r="AA83" s="1">
        <v>21.7</v>
      </c>
      <c r="AB83" s="1">
        <v>290.5</v>
      </c>
      <c r="AC83" s="1">
        <v>12450</v>
      </c>
      <c r="AD83" s="1">
        <v>2963</v>
      </c>
      <c r="AE83" s="1">
        <v>268</v>
      </c>
      <c r="AF83" s="1">
        <v>21</v>
      </c>
      <c r="AG83" s="1">
        <v>21</v>
      </c>
      <c r="AH83" s="1">
        <v>35.5</v>
      </c>
      <c r="AI83" s="1">
        <v>51.8</v>
      </c>
      <c r="AJ83" s="1">
        <v>12.8</v>
      </c>
      <c r="AK83" s="1">
        <v>78.5</v>
      </c>
      <c r="AL83" s="1">
        <v>31.9</v>
      </c>
      <c r="AM83" s="1">
        <v>8</v>
      </c>
      <c r="AN83" s="1">
        <v>0</v>
      </c>
      <c r="AO83" s="1">
        <v>0</v>
      </c>
      <c r="AP83" s="1" t="s">
        <v>266</v>
      </c>
      <c r="AQ83" s="1" t="s">
        <v>267</v>
      </c>
      <c r="AR83" s="1" t="s">
        <v>268</v>
      </c>
    </row>
    <row r="84" spans="1:44" x14ac:dyDescent="0.2">
      <c r="A84" s="1" t="s">
        <v>120</v>
      </c>
      <c r="B84" s="1" t="s">
        <v>265</v>
      </c>
      <c r="C84" s="1">
        <v>-32.1</v>
      </c>
      <c r="D84" s="1">
        <v>478241.3</v>
      </c>
      <c r="E84" s="1">
        <v>5956648.2000000002</v>
      </c>
      <c r="F84" s="1">
        <v>0</v>
      </c>
      <c r="G84" s="1">
        <v>-0.7</v>
      </c>
      <c r="H84" s="1">
        <v>0</v>
      </c>
      <c r="I84" s="1">
        <v>2</v>
      </c>
      <c r="J84" s="1">
        <v>0</v>
      </c>
      <c r="K84" s="1">
        <v>-61.2</v>
      </c>
      <c r="L84" s="1">
        <v>29.1</v>
      </c>
      <c r="M84" s="1">
        <v>1508.8040000000001</v>
      </c>
      <c r="N84" s="1">
        <v>86.6</v>
      </c>
      <c r="O84" s="1">
        <v>8</v>
      </c>
      <c r="P84" s="1">
        <v>10</v>
      </c>
      <c r="Q84" s="1">
        <v>2.84</v>
      </c>
      <c r="R84" s="1">
        <v>68</v>
      </c>
      <c r="S84" s="1">
        <v>110</v>
      </c>
      <c r="T84" s="1">
        <v>147</v>
      </c>
      <c r="U84" s="1">
        <v>1295.9449999999999</v>
      </c>
      <c r="V84" s="1">
        <v>487.29899999999998</v>
      </c>
      <c r="W84" s="1">
        <v>752.85199999999998</v>
      </c>
      <c r="X84" s="1">
        <v>132.18100000000001</v>
      </c>
      <c r="Y84" s="1">
        <v>4.9400000000000004</v>
      </c>
      <c r="Z84" s="1">
        <v>8.0150000000000006</v>
      </c>
      <c r="AA84" s="1">
        <v>21.7</v>
      </c>
      <c r="AB84" s="1">
        <v>290.5</v>
      </c>
      <c r="AC84" s="1">
        <v>12375</v>
      </c>
      <c r="AD84" s="1">
        <v>3006</v>
      </c>
      <c r="AE84" s="1">
        <v>268</v>
      </c>
      <c r="AF84" s="1">
        <v>19</v>
      </c>
      <c r="AG84" s="1">
        <v>19</v>
      </c>
      <c r="AH84" s="1">
        <v>35.9</v>
      </c>
      <c r="AI84" s="1">
        <v>51.1</v>
      </c>
      <c r="AJ84" s="1">
        <v>13</v>
      </c>
      <c r="AK84" s="1">
        <v>78.8</v>
      </c>
      <c r="AL84" s="1">
        <v>31.9</v>
      </c>
      <c r="AM84" s="1">
        <v>8</v>
      </c>
      <c r="AN84" s="1">
        <v>0</v>
      </c>
      <c r="AO84" s="1">
        <v>0</v>
      </c>
      <c r="AP84" s="1" t="s">
        <v>266</v>
      </c>
      <c r="AQ84" s="1" t="s">
        <v>267</v>
      </c>
      <c r="AR84" s="1" t="s">
        <v>268</v>
      </c>
    </row>
    <row r="85" spans="1:44" x14ac:dyDescent="0.2">
      <c r="A85" s="1" t="s">
        <v>84</v>
      </c>
      <c r="B85" s="1" t="s">
        <v>269</v>
      </c>
      <c r="C85" s="1">
        <v>-34.1</v>
      </c>
      <c r="D85" s="1">
        <v>480591</v>
      </c>
      <c r="E85" s="1">
        <v>5956212.5</v>
      </c>
      <c r="F85" s="1">
        <v>0</v>
      </c>
      <c r="G85" s="1">
        <v>-0.6</v>
      </c>
      <c r="H85" s="1">
        <v>0</v>
      </c>
      <c r="I85" s="1">
        <v>2</v>
      </c>
      <c r="J85" s="1">
        <v>0</v>
      </c>
      <c r="K85" s="1">
        <v>-63.8</v>
      </c>
      <c r="L85" s="1">
        <v>29.7</v>
      </c>
      <c r="M85" s="1">
        <v>1595.403</v>
      </c>
      <c r="N85" s="1">
        <v>89.2</v>
      </c>
      <c r="O85" s="1">
        <v>8</v>
      </c>
      <c r="P85" s="1">
        <v>10</v>
      </c>
      <c r="Q85" s="1">
        <v>2.91</v>
      </c>
      <c r="R85" s="1">
        <v>68</v>
      </c>
      <c r="S85" s="1">
        <v>110</v>
      </c>
      <c r="T85" s="1">
        <v>147</v>
      </c>
      <c r="U85" s="1">
        <v>1358.0350000000001</v>
      </c>
      <c r="V85" s="1">
        <v>547.24</v>
      </c>
      <c r="W85" s="1">
        <v>752.85199999999998</v>
      </c>
      <c r="X85" s="1">
        <v>132.18100000000001</v>
      </c>
      <c r="Y85" s="1">
        <v>4.9400000000000004</v>
      </c>
      <c r="Z85" s="1">
        <v>8.0150000000000006</v>
      </c>
      <c r="AA85" s="1">
        <v>21.7</v>
      </c>
      <c r="AB85" s="1">
        <v>290.5</v>
      </c>
      <c r="AC85" s="1">
        <v>12536</v>
      </c>
      <c r="AD85" s="1">
        <v>3130</v>
      </c>
      <c r="AE85" s="1">
        <v>268</v>
      </c>
      <c r="AF85" s="1">
        <v>19</v>
      </c>
      <c r="AG85" s="1">
        <v>19</v>
      </c>
      <c r="AH85" s="1">
        <v>34.299999999999997</v>
      </c>
      <c r="AI85" s="1">
        <v>52.3</v>
      </c>
      <c r="AJ85" s="1">
        <v>13.4</v>
      </c>
      <c r="AK85" s="1">
        <v>80.599999999999994</v>
      </c>
      <c r="AL85" s="1">
        <v>31.9</v>
      </c>
      <c r="AM85" s="1">
        <v>8</v>
      </c>
      <c r="AN85" s="1">
        <v>0</v>
      </c>
      <c r="AO85" s="1">
        <v>0</v>
      </c>
      <c r="AP85" s="1" t="s">
        <v>266</v>
      </c>
      <c r="AQ85" s="1" t="s">
        <v>267</v>
      </c>
      <c r="AR85" s="1" t="s">
        <v>268</v>
      </c>
    </row>
    <row r="86" spans="1:44" x14ac:dyDescent="0.2">
      <c r="A86" s="1" t="s">
        <v>91</v>
      </c>
      <c r="B86" s="1" t="s">
        <v>269</v>
      </c>
      <c r="C86" s="1">
        <v>-34.4</v>
      </c>
      <c r="D86" s="1">
        <v>481023.4</v>
      </c>
      <c r="E86" s="1">
        <v>5958793.4000000004</v>
      </c>
      <c r="F86" s="1">
        <v>0</v>
      </c>
      <c r="G86" s="1">
        <v>-0.6</v>
      </c>
      <c r="H86" s="1">
        <v>0</v>
      </c>
      <c r="I86" s="1">
        <v>2</v>
      </c>
      <c r="J86" s="1">
        <v>0</v>
      </c>
      <c r="K86" s="1">
        <v>-63.2</v>
      </c>
      <c r="L86" s="1">
        <v>28.8</v>
      </c>
      <c r="M86" s="1">
        <v>1592.0550000000001</v>
      </c>
      <c r="N86" s="1">
        <v>88.6</v>
      </c>
      <c r="O86" s="1">
        <v>8</v>
      </c>
      <c r="P86" s="1">
        <v>10</v>
      </c>
      <c r="Q86" s="1">
        <v>2.82</v>
      </c>
      <c r="R86" s="1">
        <v>68</v>
      </c>
      <c r="S86" s="1">
        <v>110</v>
      </c>
      <c r="T86" s="1">
        <v>147</v>
      </c>
      <c r="U86" s="1">
        <v>1295.6559999999999</v>
      </c>
      <c r="V86" s="1">
        <v>577.726</v>
      </c>
      <c r="W86" s="1">
        <v>752.85199999999998</v>
      </c>
      <c r="X86" s="1">
        <v>132.18100000000001</v>
      </c>
      <c r="Y86" s="1">
        <v>4.9400000000000004</v>
      </c>
      <c r="Z86" s="1">
        <v>8.0150000000000006</v>
      </c>
      <c r="AA86" s="1">
        <v>21.7</v>
      </c>
      <c r="AB86" s="1">
        <v>290.5</v>
      </c>
      <c r="AC86" s="1">
        <v>12498</v>
      </c>
      <c r="AD86" s="1">
        <v>3149</v>
      </c>
      <c r="AE86" s="1">
        <v>268</v>
      </c>
      <c r="AF86" s="1">
        <v>19</v>
      </c>
      <c r="AG86" s="1">
        <v>19</v>
      </c>
      <c r="AH86" s="1">
        <v>34.4</v>
      </c>
      <c r="AI86" s="1">
        <v>52.3</v>
      </c>
      <c r="AJ86" s="1">
        <v>13.3</v>
      </c>
      <c r="AK86" s="1">
        <v>81</v>
      </c>
      <c r="AL86" s="1">
        <v>31.9</v>
      </c>
      <c r="AM86" s="1">
        <v>8</v>
      </c>
      <c r="AN86" s="1">
        <v>0</v>
      </c>
      <c r="AO86" s="1">
        <v>0</v>
      </c>
      <c r="AP86" s="1" t="s">
        <v>266</v>
      </c>
      <c r="AQ86" s="1" t="s">
        <v>267</v>
      </c>
      <c r="AR86" s="1" t="s">
        <v>268</v>
      </c>
    </row>
    <row r="87" spans="1:44" x14ac:dyDescent="0.2">
      <c r="A87" s="1" t="s">
        <v>177</v>
      </c>
      <c r="B87" s="1" t="s">
        <v>271</v>
      </c>
      <c r="C87" s="1">
        <v>-38.799999999999997</v>
      </c>
      <c r="D87" s="1">
        <v>481498</v>
      </c>
      <c r="E87" s="1">
        <v>5961220</v>
      </c>
      <c r="F87" s="1">
        <v>0</v>
      </c>
      <c r="G87" s="1">
        <v>-0.7</v>
      </c>
      <c r="H87" s="1">
        <v>0</v>
      </c>
      <c r="I87" s="1">
        <v>2</v>
      </c>
      <c r="J87" s="1">
        <v>0</v>
      </c>
      <c r="K87" s="1">
        <v>-68.599999999999994</v>
      </c>
      <c r="L87" s="1">
        <v>29.8</v>
      </c>
      <c r="M87" s="1">
        <v>1755.7370000000001</v>
      </c>
      <c r="N87" s="1">
        <v>94</v>
      </c>
      <c r="O87" s="1">
        <v>8</v>
      </c>
      <c r="P87" s="1">
        <v>10.5</v>
      </c>
      <c r="Q87" s="1">
        <v>2.7713999999999999</v>
      </c>
      <c r="R87" s="1">
        <v>72</v>
      </c>
      <c r="S87" s="1">
        <v>112</v>
      </c>
      <c r="T87" s="1">
        <v>146</v>
      </c>
      <c r="U87" s="1">
        <v>1406.2329999999999</v>
      </c>
      <c r="V87" s="1">
        <v>362.03100000000001</v>
      </c>
      <c r="W87" s="1">
        <v>752.85199999999998</v>
      </c>
      <c r="X87" s="1">
        <v>132.18100000000001</v>
      </c>
      <c r="Y87" s="1">
        <v>4.9400000000000004</v>
      </c>
      <c r="Z87" s="1">
        <v>8.0150000000000006</v>
      </c>
      <c r="AA87" s="1">
        <v>21.7</v>
      </c>
      <c r="AB87" s="1">
        <v>290.5</v>
      </c>
      <c r="AC87" s="1">
        <v>12990</v>
      </c>
      <c r="AD87" s="1">
        <v>3493</v>
      </c>
      <c r="AE87" s="1">
        <v>268</v>
      </c>
      <c r="AF87" s="1">
        <v>19</v>
      </c>
      <c r="AG87" s="1">
        <v>19</v>
      </c>
      <c r="AH87" s="1">
        <v>32.4</v>
      </c>
      <c r="AI87" s="1">
        <v>52.9</v>
      </c>
      <c r="AJ87" s="1">
        <v>14.8</v>
      </c>
      <c r="AK87" s="1">
        <v>81.7</v>
      </c>
      <c r="AL87" s="1">
        <v>31.9</v>
      </c>
      <c r="AM87" s="1">
        <v>8</v>
      </c>
      <c r="AN87" s="1">
        <v>0</v>
      </c>
      <c r="AO87" s="1">
        <v>0</v>
      </c>
      <c r="AP87" s="1" t="s">
        <v>270</v>
      </c>
      <c r="AQ87" s="1" t="s">
        <v>267</v>
      </c>
      <c r="AR87" s="1" t="s">
        <v>268</v>
      </c>
    </row>
    <row r="88" spans="1:44" x14ac:dyDescent="0.2">
      <c r="A88" s="1" t="s">
        <v>148</v>
      </c>
      <c r="B88" s="1" t="s">
        <v>265</v>
      </c>
      <c r="C88" s="1">
        <v>-29.6</v>
      </c>
      <c r="D88" s="1">
        <v>479406.2</v>
      </c>
      <c r="E88" s="1">
        <v>5967670</v>
      </c>
      <c r="F88" s="1">
        <v>0</v>
      </c>
      <c r="G88" s="1">
        <v>-0.6</v>
      </c>
      <c r="H88" s="1">
        <v>0</v>
      </c>
      <c r="I88" s="1">
        <v>2</v>
      </c>
      <c r="J88" s="1">
        <v>0</v>
      </c>
      <c r="K88" s="1">
        <v>-59.6</v>
      </c>
      <c r="L88" s="1">
        <v>30</v>
      </c>
      <c r="M88" s="1">
        <v>1442.941</v>
      </c>
      <c r="N88" s="1">
        <v>85</v>
      </c>
      <c r="O88" s="1">
        <v>8</v>
      </c>
      <c r="P88" s="1">
        <v>10</v>
      </c>
      <c r="Q88" s="1">
        <v>2.94</v>
      </c>
      <c r="R88" s="1">
        <v>64</v>
      </c>
      <c r="S88" s="1">
        <v>110</v>
      </c>
      <c r="T88" s="1">
        <v>147</v>
      </c>
      <c r="U88" s="1">
        <v>1296.2090000000001</v>
      </c>
      <c r="V88" s="1">
        <v>487.42399999999998</v>
      </c>
      <c r="W88" s="1">
        <v>752.85199999999998</v>
      </c>
      <c r="X88" s="1">
        <v>132.18100000000001</v>
      </c>
      <c r="Y88" s="1">
        <v>4.9400000000000004</v>
      </c>
      <c r="Z88" s="1">
        <v>8.0150000000000006</v>
      </c>
      <c r="AA88" s="1">
        <v>21.7</v>
      </c>
      <c r="AB88" s="1">
        <v>290.5</v>
      </c>
      <c r="AC88" s="1">
        <v>12276</v>
      </c>
      <c r="AD88" s="1">
        <v>2851</v>
      </c>
      <c r="AE88" s="1">
        <v>268</v>
      </c>
      <c r="AF88" s="1">
        <v>19</v>
      </c>
      <c r="AG88" s="1">
        <v>19</v>
      </c>
      <c r="AH88" s="1">
        <v>37</v>
      </c>
      <c r="AI88" s="1">
        <v>50.6</v>
      </c>
      <c r="AJ88" s="1">
        <v>12.5</v>
      </c>
      <c r="AK88" s="1">
        <v>76.900000000000006</v>
      </c>
      <c r="AL88" s="1">
        <v>31.9</v>
      </c>
      <c r="AM88" s="1">
        <v>8</v>
      </c>
      <c r="AN88" s="1">
        <v>0</v>
      </c>
      <c r="AO88" s="1">
        <v>0</v>
      </c>
      <c r="AP88" s="1" t="s">
        <v>266</v>
      </c>
      <c r="AQ88" s="1" t="s">
        <v>267</v>
      </c>
      <c r="AR88" s="1" t="s">
        <v>268</v>
      </c>
    </row>
    <row r="89" spans="1:44" x14ac:dyDescent="0.2">
      <c r="A89" s="1" t="s">
        <v>50</v>
      </c>
      <c r="B89" s="1" t="s">
        <v>265</v>
      </c>
      <c r="C89" s="1">
        <v>-35.4</v>
      </c>
      <c r="D89" s="1">
        <v>479140.8</v>
      </c>
      <c r="E89" s="1">
        <v>5971062</v>
      </c>
      <c r="F89" s="1">
        <v>0</v>
      </c>
      <c r="G89" s="1">
        <v>-0.8</v>
      </c>
      <c r="H89" s="1">
        <v>0</v>
      </c>
      <c r="I89" s="1">
        <v>2</v>
      </c>
      <c r="J89" s="1">
        <v>0</v>
      </c>
      <c r="K89" s="1">
        <v>-65.5</v>
      </c>
      <c r="L89" s="1">
        <v>30.1</v>
      </c>
      <c r="M89" s="1">
        <v>1663.2629999999999</v>
      </c>
      <c r="N89" s="1">
        <v>90.9</v>
      </c>
      <c r="O89" s="1">
        <v>8</v>
      </c>
      <c r="P89" s="1">
        <v>10</v>
      </c>
      <c r="Q89" s="1">
        <v>2.93</v>
      </c>
      <c r="R89" s="1">
        <v>68</v>
      </c>
      <c r="S89" s="1">
        <v>110</v>
      </c>
      <c r="T89" s="1">
        <v>147</v>
      </c>
      <c r="U89" s="1">
        <v>1357.8209999999999</v>
      </c>
      <c r="V89" s="1">
        <v>515.774</v>
      </c>
      <c r="W89" s="1">
        <v>752.85199999999998</v>
      </c>
      <c r="X89" s="1">
        <v>132.18100000000001</v>
      </c>
      <c r="Y89" s="1">
        <v>4.9400000000000004</v>
      </c>
      <c r="Z89" s="1">
        <v>8.0150000000000006</v>
      </c>
      <c r="AA89" s="1">
        <v>21.7</v>
      </c>
      <c r="AB89" s="1">
        <v>290.5</v>
      </c>
      <c r="AC89" s="1">
        <v>12641</v>
      </c>
      <c r="AD89" s="1">
        <v>3211</v>
      </c>
      <c r="AE89" s="1">
        <v>268</v>
      </c>
      <c r="AF89" s="1">
        <v>19</v>
      </c>
      <c r="AG89" s="1">
        <v>19</v>
      </c>
      <c r="AH89" s="1">
        <v>33</v>
      </c>
      <c r="AI89" s="1">
        <v>53.8</v>
      </c>
      <c r="AJ89" s="1">
        <v>13.1</v>
      </c>
      <c r="AK89" s="1">
        <v>82.2</v>
      </c>
      <c r="AL89" s="1">
        <v>31.9</v>
      </c>
      <c r="AM89" s="1">
        <v>8</v>
      </c>
      <c r="AN89" s="1">
        <v>0</v>
      </c>
      <c r="AO89" s="1">
        <v>0</v>
      </c>
      <c r="AP89" s="1" t="s">
        <v>266</v>
      </c>
      <c r="AQ89" s="1" t="s">
        <v>267</v>
      </c>
      <c r="AR89" s="1" t="s">
        <v>268</v>
      </c>
    </row>
    <row r="90" spans="1:44" x14ac:dyDescent="0.2">
      <c r="A90" s="1" t="s">
        <v>116</v>
      </c>
      <c r="B90" s="1" t="s">
        <v>265</v>
      </c>
      <c r="C90" s="1">
        <v>-35.6</v>
      </c>
      <c r="D90" s="1">
        <v>456105</v>
      </c>
      <c r="E90" s="1">
        <v>5969154</v>
      </c>
      <c r="F90" s="1">
        <v>0</v>
      </c>
      <c r="G90" s="1">
        <v>-0.6</v>
      </c>
      <c r="H90" s="1">
        <v>0</v>
      </c>
      <c r="I90" s="1">
        <v>2</v>
      </c>
      <c r="J90" s="1">
        <v>0</v>
      </c>
      <c r="K90" s="1">
        <v>-61.5</v>
      </c>
      <c r="L90" s="1">
        <v>25.9</v>
      </c>
      <c r="M90" s="1">
        <v>1561.069</v>
      </c>
      <c r="N90" s="1">
        <v>86.9</v>
      </c>
      <c r="O90" s="1">
        <v>8</v>
      </c>
      <c r="P90" s="1">
        <v>10</v>
      </c>
      <c r="Q90" s="1">
        <v>2.5299999999999998</v>
      </c>
      <c r="R90" s="1">
        <v>68</v>
      </c>
      <c r="S90" s="1">
        <v>110</v>
      </c>
      <c r="T90" s="1">
        <v>147</v>
      </c>
      <c r="U90" s="1">
        <v>1295.643</v>
      </c>
      <c r="V90" s="1">
        <v>521.10199999999998</v>
      </c>
      <c r="W90" s="1">
        <v>752.85199999999998</v>
      </c>
      <c r="X90" s="1">
        <v>132.18100000000001</v>
      </c>
      <c r="Y90" s="1">
        <v>4.9400000000000004</v>
      </c>
      <c r="Z90" s="1">
        <v>8.0150000000000006</v>
      </c>
      <c r="AA90" s="1">
        <v>21.7</v>
      </c>
      <c r="AB90" s="1">
        <v>290.5</v>
      </c>
      <c r="AC90" s="1">
        <v>12392</v>
      </c>
      <c r="AD90" s="1">
        <v>3224</v>
      </c>
      <c r="AE90" s="1">
        <v>268</v>
      </c>
      <c r="AF90" s="1">
        <v>15</v>
      </c>
      <c r="AG90" s="1">
        <v>15</v>
      </c>
      <c r="AH90" s="1">
        <v>35</v>
      </c>
      <c r="AI90" s="1">
        <v>51.7</v>
      </c>
      <c r="AJ90" s="1">
        <v>13.3</v>
      </c>
      <c r="AK90" s="1">
        <v>81.099999999999994</v>
      </c>
      <c r="AL90" s="1">
        <v>31.9</v>
      </c>
      <c r="AM90" s="1">
        <v>8</v>
      </c>
      <c r="AN90" s="1">
        <v>0</v>
      </c>
      <c r="AO90" s="1">
        <v>0</v>
      </c>
      <c r="AP90" s="1" t="s">
        <v>266</v>
      </c>
      <c r="AQ90" s="1" t="s">
        <v>267</v>
      </c>
      <c r="AR90" s="1" t="s">
        <v>268</v>
      </c>
    </row>
    <row r="91" spans="1:44" x14ac:dyDescent="0.2">
      <c r="A91" s="1" t="s">
        <v>185</v>
      </c>
      <c r="B91" s="1" t="s">
        <v>265</v>
      </c>
      <c r="C91" s="1">
        <v>-38.9</v>
      </c>
      <c r="D91" s="1">
        <v>458040</v>
      </c>
      <c r="E91" s="1">
        <v>5969202</v>
      </c>
      <c r="F91" s="1">
        <v>0</v>
      </c>
      <c r="G91" s="1">
        <v>-0.6</v>
      </c>
      <c r="H91" s="1">
        <v>0</v>
      </c>
      <c r="I91" s="1">
        <v>2</v>
      </c>
      <c r="J91" s="1">
        <v>0</v>
      </c>
      <c r="K91" s="1">
        <v>-66.5</v>
      </c>
      <c r="L91" s="1">
        <v>27.6</v>
      </c>
      <c r="M91" s="1">
        <v>1717.8989999999999</v>
      </c>
      <c r="N91" s="1">
        <v>91.9</v>
      </c>
      <c r="O91" s="1">
        <v>8</v>
      </c>
      <c r="P91" s="1">
        <v>10.5</v>
      </c>
      <c r="Q91" s="1">
        <v>2.5714000000000001</v>
      </c>
      <c r="R91" s="1">
        <v>72</v>
      </c>
      <c r="S91" s="1">
        <v>112</v>
      </c>
      <c r="T91" s="1">
        <v>146</v>
      </c>
      <c r="U91" s="1">
        <v>1406.1959999999999</v>
      </c>
      <c r="V91" s="1">
        <v>356.08100000000002</v>
      </c>
      <c r="W91" s="1">
        <v>752.85199999999998</v>
      </c>
      <c r="X91" s="1">
        <v>132.18100000000001</v>
      </c>
      <c r="Y91" s="1">
        <v>4.9400000000000004</v>
      </c>
      <c r="Z91" s="1">
        <v>8.0150000000000006</v>
      </c>
      <c r="AA91" s="1">
        <v>21.7</v>
      </c>
      <c r="AB91" s="1">
        <v>290.5</v>
      </c>
      <c r="AC91" s="1">
        <v>12852</v>
      </c>
      <c r="AD91" s="1">
        <v>3499</v>
      </c>
      <c r="AE91" s="1">
        <v>268</v>
      </c>
      <c r="AF91" s="1">
        <v>17.190000000000001</v>
      </c>
      <c r="AG91" s="1">
        <v>17</v>
      </c>
      <c r="AH91" s="1">
        <v>33.4</v>
      </c>
      <c r="AI91" s="1">
        <v>51.5</v>
      </c>
      <c r="AJ91" s="1">
        <v>15.2</v>
      </c>
      <c r="AK91" s="1">
        <v>82</v>
      </c>
      <c r="AL91" s="1">
        <v>31.9</v>
      </c>
      <c r="AM91" s="1">
        <v>8</v>
      </c>
      <c r="AN91" s="1">
        <v>0</v>
      </c>
      <c r="AO91" s="1">
        <v>0</v>
      </c>
      <c r="AP91" s="1" t="s">
        <v>270</v>
      </c>
      <c r="AQ91" s="1" t="s">
        <v>267</v>
      </c>
      <c r="AR91" s="1" t="s">
        <v>268</v>
      </c>
    </row>
    <row r="92" spans="1:44" x14ac:dyDescent="0.2">
      <c r="A92" s="1" t="s">
        <v>175</v>
      </c>
      <c r="B92" s="1" t="s">
        <v>265</v>
      </c>
      <c r="C92" s="1">
        <v>-39.4</v>
      </c>
      <c r="D92" s="1">
        <v>461186</v>
      </c>
      <c r="E92" s="1">
        <v>5967340.0999999996</v>
      </c>
      <c r="F92" s="1">
        <v>0</v>
      </c>
      <c r="G92" s="1">
        <v>-0.6</v>
      </c>
      <c r="H92" s="1">
        <v>0</v>
      </c>
      <c r="I92" s="1">
        <v>2</v>
      </c>
      <c r="J92" s="1">
        <v>0</v>
      </c>
      <c r="K92" s="1">
        <v>-69.400000000000006</v>
      </c>
      <c r="L92" s="1">
        <v>30</v>
      </c>
      <c r="M92" s="1">
        <v>1775.9870000000001</v>
      </c>
      <c r="N92" s="1">
        <v>94.8</v>
      </c>
      <c r="O92" s="1">
        <v>8</v>
      </c>
      <c r="P92" s="1">
        <v>10.5</v>
      </c>
      <c r="Q92" s="1">
        <v>2.8</v>
      </c>
      <c r="R92" s="1">
        <v>72</v>
      </c>
      <c r="S92" s="1">
        <v>112</v>
      </c>
      <c r="T92" s="1">
        <v>146</v>
      </c>
      <c r="U92" s="1">
        <v>1406.1959999999999</v>
      </c>
      <c r="V92" s="1">
        <v>421.17399999999998</v>
      </c>
      <c r="W92" s="1">
        <v>752.85199999999998</v>
      </c>
      <c r="X92" s="1">
        <v>132.18100000000001</v>
      </c>
      <c r="Y92" s="1">
        <v>4.9400000000000004</v>
      </c>
      <c r="Z92" s="1">
        <v>8.0150000000000006</v>
      </c>
      <c r="AA92" s="1">
        <v>21.7</v>
      </c>
      <c r="AB92" s="1">
        <v>290.5</v>
      </c>
      <c r="AC92" s="1">
        <v>13042</v>
      </c>
      <c r="AD92" s="1">
        <v>3532</v>
      </c>
      <c r="AE92" s="1">
        <v>268</v>
      </c>
      <c r="AF92" s="1">
        <v>19</v>
      </c>
      <c r="AG92" s="1">
        <v>19</v>
      </c>
      <c r="AH92" s="1">
        <v>32.299999999999997</v>
      </c>
      <c r="AI92" s="1">
        <v>53.2</v>
      </c>
      <c r="AJ92" s="1">
        <v>14.5</v>
      </c>
      <c r="AK92" s="1">
        <v>81.900000000000006</v>
      </c>
      <c r="AL92" s="1">
        <v>31.9</v>
      </c>
      <c r="AM92" s="1">
        <v>8</v>
      </c>
      <c r="AN92" s="1">
        <v>0</v>
      </c>
      <c r="AO92" s="1">
        <v>0</v>
      </c>
      <c r="AP92" s="1" t="s">
        <v>270</v>
      </c>
      <c r="AQ92" s="1" t="s">
        <v>267</v>
      </c>
      <c r="AR92" s="1" t="s">
        <v>268</v>
      </c>
    </row>
    <row r="93" spans="1:44" x14ac:dyDescent="0.2">
      <c r="A93" s="1" t="s">
        <v>18</v>
      </c>
      <c r="B93" s="1" t="s">
        <v>265</v>
      </c>
      <c r="C93" s="1">
        <v>-38</v>
      </c>
      <c r="D93" s="1">
        <v>464409.8</v>
      </c>
      <c r="E93" s="1">
        <v>5965428.0999999996</v>
      </c>
      <c r="F93" s="1">
        <v>0</v>
      </c>
      <c r="G93" s="1">
        <v>-0.6</v>
      </c>
      <c r="H93" s="1">
        <v>0</v>
      </c>
      <c r="I93" s="1">
        <v>2</v>
      </c>
      <c r="J93" s="1">
        <v>0</v>
      </c>
      <c r="K93" s="1">
        <v>-69.3</v>
      </c>
      <c r="L93" s="1">
        <v>31.3</v>
      </c>
      <c r="M93" s="1">
        <v>1799.0540000000001</v>
      </c>
      <c r="N93" s="1">
        <v>94.7</v>
      </c>
      <c r="O93" s="1">
        <v>8</v>
      </c>
      <c r="P93" s="1">
        <v>10</v>
      </c>
      <c r="Q93" s="1">
        <v>3.07</v>
      </c>
      <c r="R93" s="1">
        <v>68</v>
      </c>
      <c r="S93" s="1">
        <v>110</v>
      </c>
      <c r="T93" s="1">
        <v>147</v>
      </c>
      <c r="U93" s="1">
        <v>1419.761</v>
      </c>
      <c r="V93" s="1">
        <v>458.66</v>
      </c>
      <c r="W93" s="1">
        <v>752.85199999999998</v>
      </c>
      <c r="X93" s="1">
        <v>132.18100000000001</v>
      </c>
      <c r="Y93" s="1">
        <v>4.9400000000000004</v>
      </c>
      <c r="Z93" s="1">
        <v>8.0150000000000006</v>
      </c>
      <c r="AA93" s="1">
        <v>21.7</v>
      </c>
      <c r="AB93" s="1">
        <v>290.5</v>
      </c>
      <c r="AC93" s="1">
        <v>12876</v>
      </c>
      <c r="AD93" s="1">
        <v>3372</v>
      </c>
      <c r="AE93" s="1">
        <v>268</v>
      </c>
      <c r="AF93" s="1">
        <v>21</v>
      </c>
      <c r="AG93" s="1">
        <v>21</v>
      </c>
      <c r="AH93" s="1">
        <v>30.3</v>
      </c>
      <c r="AI93" s="1">
        <v>58.1</v>
      </c>
      <c r="AJ93" s="1">
        <v>11.6</v>
      </c>
      <c r="AK93" s="1">
        <v>84.7</v>
      </c>
      <c r="AL93" s="1">
        <v>31.9</v>
      </c>
      <c r="AM93" s="1">
        <v>8</v>
      </c>
      <c r="AN93" s="1">
        <v>0</v>
      </c>
      <c r="AO93" s="1">
        <v>0</v>
      </c>
      <c r="AP93" s="1" t="s">
        <v>266</v>
      </c>
      <c r="AQ93" s="1" t="s">
        <v>267</v>
      </c>
      <c r="AR93" s="1" t="s">
        <v>268</v>
      </c>
    </row>
    <row r="94" spans="1:44" x14ac:dyDescent="0.2">
      <c r="A94" s="1" t="s">
        <v>127</v>
      </c>
      <c r="B94" s="1" t="s">
        <v>269</v>
      </c>
      <c r="C94" s="1">
        <v>-32.299999999999997</v>
      </c>
      <c r="D94" s="1">
        <v>468148.5</v>
      </c>
      <c r="E94" s="1">
        <v>5962754.0999999996</v>
      </c>
      <c r="F94" s="1">
        <v>0</v>
      </c>
      <c r="G94" s="1">
        <v>-0.7</v>
      </c>
      <c r="H94" s="1">
        <v>0</v>
      </c>
      <c r="I94" s="1">
        <v>2</v>
      </c>
      <c r="J94" s="1">
        <v>0</v>
      </c>
      <c r="K94" s="1">
        <v>-60.9</v>
      </c>
      <c r="L94" s="1">
        <v>28.6</v>
      </c>
      <c r="M94" s="1">
        <v>1508.021</v>
      </c>
      <c r="N94" s="1">
        <v>86.3</v>
      </c>
      <c r="O94" s="1">
        <v>8</v>
      </c>
      <c r="P94" s="1">
        <v>10</v>
      </c>
      <c r="Q94" s="1">
        <v>2.79</v>
      </c>
      <c r="R94" s="1">
        <v>68</v>
      </c>
      <c r="S94" s="1">
        <v>110</v>
      </c>
      <c r="T94" s="1">
        <v>147</v>
      </c>
      <c r="U94" s="1">
        <v>1295.9069999999999</v>
      </c>
      <c r="V94" s="1">
        <v>522.82399999999996</v>
      </c>
      <c r="W94" s="1">
        <v>752.85199999999998</v>
      </c>
      <c r="X94" s="1">
        <v>132.18100000000001</v>
      </c>
      <c r="Y94" s="1">
        <v>4.9400000000000004</v>
      </c>
      <c r="Z94" s="1">
        <v>8.0150000000000006</v>
      </c>
      <c r="AA94" s="1">
        <v>21.7</v>
      </c>
      <c r="AB94" s="1">
        <v>290.5</v>
      </c>
      <c r="AC94" s="1">
        <v>12356</v>
      </c>
      <c r="AD94" s="1">
        <v>3019</v>
      </c>
      <c r="AE94" s="1">
        <v>268</v>
      </c>
      <c r="AF94" s="1">
        <v>19</v>
      </c>
      <c r="AG94" s="1">
        <v>19</v>
      </c>
      <c r="AH94" s="1">
        <v>35.9</v>
      </c>
      <c r="AI94" s="1">
        <v>50.8</v>
      </c>
      <c r="AJ94" s="1">
        <v>13.3</v>
      </c>
      <c r="AK94" s="1">
        <v>79</v>
      </c>
      <c r="AL94" s="1">
        <v>31.9</v>
      </c>
      <c r="AM94" s="1">
        <v>8</v>
      </c>
      <c r="AN94" s="1">
        <v>0</v>
      </c>
      <c r="AO94" s="1">
        <v>0</v>
      </c>
      <c r="AP94" s="1" t="s">
        <v>266</v>
      </c>
      <c r="AQ94" s="1" t="s">
        <v>267</v>
      </c>
      <c r="AR94" s="1" t="s">
        <v>268</v>
      </c>
    </row>
    <row r="95" spans="1:44" x14ac:dyDescent="0.2">
      <c r="A95" s="1" t="s">
        <v>151</v>
      </c>
      <c r="B95" s="1" t="s">
        <v>265</v>
      </c>
      <c r="C95" s="1">
        <v>-30.7</v>
      </c>
      <c r="D95" s="1">
        <v>471283.7</v>
      </c>
      <c r="E95" s="1">
        <v>5961073.2999999998</v>
      </c>
      <c r="F95" s="1">
        <v>0</v>
      </c>
      <c r="G95" s="1">
        <v>-0.6</v>
      </c>
      <c r="H95" s="1">
        <v>0</v>
      </c>
      <c r="I95" s="1">
        <v>2</v>
      </c>
      <c r="J95" s="1">
        <v>0</v>
      </c>
      <c r="K95" s="1">
        <v>-59.7</v>
      </c>
      <c r="L95" s="1">
        <v>29</v>
      </c>
      <c r="M95" s="1">
        <v>1448.5920000000001</v>
      </c>
      <c r="N95" s="1">
        <v>85.1</v>
      </c>
      <c r="O95" s="1">
        <v>8</v>
      </c>
      <c r="P95" s="1">
        <v>10</v>
      </c>
      <c r="Q95" s="1">
        <v>2.84</v>
      </c>
      <c r="R95" s="1">
        <v>64</v>
      </c>
      <c r="S95" s="1">
        <v>110</v>
      </c>
      <c r="T95" s="1">
        <v>147</v>
      </c>
      <c r="U95" s="1">
        <v>1296.1959999999999</v>
      </c>
      <c r="V95" s="1">
        <v>524.26900000000001</v>
      </c>
      <c r="W95" s="1">
        <v>752.85199999999998</v>
      </c>
      <c r="X95" s="1">
        <v>132.18100000000001</v>
      </c>
      <c r="Y95" s="1">
        <v>4.9400000000000004</v>
      </c>
      <c r="Z95" s="1">
        <v>8.0150000000000006</v>
      </c>
      <c r="AA95" s="1">
        <v>21.7</v>
      </c>
      <c r="AB95" s="1">
        <v>290.5</v>
      </c>
      <c r="AC95" s="1">
        <v>12282</v>
      </c>
      <c r="AD95" s="1">
        <v>2920</v>
      </c>
      <c r="AE95" s="1">
        <v>268</v>
      </c>
      <c r="AF95" s="1">
        <v>19</v>
      </c>
      <c r="AG95" s="1">
        <v>19</v>
      </c>
      <c r="AH95" s="1">
        <v>36.799999999999997</v>
      </c>
      <c r="AI95" s="1">
        <v>50.8</v>
      </c>
      <c r="AJ95" s="1">
        <v>12.4</v>
      </c>
      <c r="AK95" s="1">
        <v>77</v>
      </c>
      <c r="AL95" s="1">
        <v>31.9</v>
      </c>
      <c r="AM95" s="1">
        <v>8</v>
      </c>
      <c r="AN95" s="1">
        <v>0</v>
      </c>
      <c r="AO95" s="1">
        <v>0</v>
      </c>
      <c r="AP95" s="1" t="s">
        <v>266</v>
      </c>
      <c r="AQ95" s="1" t="s">
        <v>267</v>
      </c>
      <c r="AR95" s="1" t="s">
        <v>268</v>
      </c>
    </row>
    <row r="96" spans="1:44" x14ac:dyDescent="0.2">
      <c r="A96" s="1" t="s">
        <v>98</v>
      </c>
      <c r="B96" s="1" t="s">
        <v>265</v>
      </c>
      <c r="C96" s="1">
        <v>-30.8</v>
      </c>
      <c r="D96" s="1">
        <v>474045.4</v>
      </c>
      <c r="E96" s="1">
        <v>5960023.2999999998</v>
      </c>
      <c r="F96" s="1">
        <v>0</v>
      </c>
      <c r="G96" s="1">
        <v>-0.6</v>
      </c>
      <c r="H96" s="1">
        <v>0</v>
      </c>
      <c r="I96" s="1">
        <v>2</v>
      </c>
      <c r="J96" s="1">
        <v>0</v>
      </c>
      <c r="K96" s="1">
        <v>-62.6</v>
      </c>
      <c r="L96" s="1">
        <v>31.8</v>
      </c>
      <c r="M96" s="1">
        <v>1516.0550000000001</v>
      </c>
      <c r="N96" s="1">
        <v>88</v>
      </c>
      <c r="O96" s="1">
        <v>8</v>
      </c>
      <c r="P96" s="1">
        <v>10</v>
      </c>
      <c r="Q96" s="1">
        <v>3.12</v>
      </c>
      <c r="R96" s="1">
        <v>66</v>
      </c>
      <c r="S96" s="1">
        <v>110</v>
      </c>
      <c r="T96" s="1">
        <v>147</v>
      </c>
      <c r="U96" s="1">
        <v>1296.1579999999999</v>
      </c>
      <c r="V96" s="1">
        <v>586.64800000000002</v>
      </c>
      <c r="W96" s="1">
        <v>752.85199999999998</v>
      </c>
      <c r="X96" s="1">
        <v>132.18100000000001</v>
      </c>
      <c r="Y96" s="1">
        <v>4.9400000000000004</v>
      </c>
      <c r="Z96" s="1">
        <v>8.0150000000000006</v>
      </c>
      <c r="AA96" s="1">
        <v>21.7</v>
      </c>
      <c r="AB96" s="1">
        <v>290.5</v>
      </c>
      <c r="AC96" s="1">
        <v>12463</v>
      </c>
      <c r="AD96" s="1">
        <v>2926</v>
      </c>
      <c r="AE96" s="1">
        <v>268</v>
      </c>
      <c r="AF96" s="1">
        <v>21</v>
      </c>
      <c r="AG96" s="1">
        <v>21</v>
      </c>
      <c r="AH96" s="1">
        <v>35.299999999999997</v>
      </c>
      <c r="AI96" s="1">
        <v>52.6</v>
      </c>
      <c r="AJ96" s="1">
        <v>12.1</v>
      </c>
      <c r="AK96" s="1">
        <v>77.7</v>
      </c>
      <c r="AL96" s="1">
        <v>31.9</v>
      </c>
      <c r="AM96" s="1">
        <v>8</v>
      </c>
      <c r="AN96" s="1">
        <v>0</v>
      </c>
      <c r="AO96" s="1">
        <v>0</v>
      </c>
      <c r="AP96" s="1" t="s">
        <v>266</v>
      </c>
      <c r="AQ96" s="1" t="s">
        <v>267</v>
      </c>
      <c r="AR96" s="1" t="s">
        <v>268</v>
      </c>
    </row>
    <row r="97" spans="1:44" x14ac:dyDescent="0.2">
      <c r="A97" s="1" t="s">
        <v>132</v>
      </c>
      <c r="B97" s="1" t="s">
        <v>265</v>
      </c>
      <c r="C97" s="1">
        <v>-30.3</v>
      </c>
      <c r="D97" s="1">
        <v>477385.7</v>
      </c>
      <c r="E97" s="1">
        <v>5958021.7999999998</v>
      </c>
      <c r="F97" s="1">
        <v>0</v>
      </c>
      <c r="G97" s="1">
        <v>-0.7</v>
      </c>
      <c r="H97" s="1">
        <v>0</v>
      </c>
      <c r="I97" s="1">
        <v>2</v>
      </c>
      <c r="J97" s="1">
        <v>0</v>
      </c>
      <c r="K97" s="1">
        <v>-60.2</v>
      </c>
      <c r="L97" s="1">
        <v>29.9</v>
      </c>
      <c r="M97" s="1">
        <v>1464.59</v>
      </c>
      <c r="N97" s="1">
        <v>85.6</v>
      </c>
      <c r="O97" s="1">
        <v>8</v>
      </c>
      <c r="P97" s="1">
        <v>10</v>
      </c>
      <c r="Q97" s="1">
        <v>2.92</v>
      </c>
      <c r="R97" s="1">
        <v>66</v>
      </c>
      <c r="S97" s="1">
        <v>110</v>
      </c>
      <c r="T97" s="1">
        <v>147</v>
      </c>
      <c r="U97" s="1">
        <v>1296.171</v>
      </c>
      <c r="V97" s="1">
        <v>555.66</v>
      </c>
      <c r="W97" s="1">
        <v>752.85199999999998</v>
      </c>
      <c r="X97" s="1">
        <v>132.18100000000001</v>
      </c>
      <c r="Y97" s="1">
        <v>4.9400000000000004</v>
      </c>
      <c r="Z97" s="1">
        <v>8.0150000000000006</v>
      </c>
      <c r="AA97" s="1">
        <v>21.7</v>
      </c>
      <c r="AB97" s="1">
        <v>290.5</v>
      </c>
      <c r="AC97" s="1">
        <v>12313</v>
      </c>
      <c r="AD97" s="1">
        <v>2895</v>
      </c>
      <c r="AE97" s="1">
        <v>268</v>
      </c>
      <c r="AF97" s="1">
        <v>19</v>
      </c>
      <c r="AG97" s="1">
        <v>19</v>
      </c>
      <c r="AH97" s="1">
        <v>36.5</v>
      </c>
      <c r="AI97" s="1">
        <v>50.9</v>
      </c>
      <c r="AJ97" s="1">
        <v>12.5</v>
      </c>
      <c r="AK97" s="1">
        <v>77.400000000000006</v>
      </c>
      <c r="AL97" s="1">
        <v>31.9</v>
      </c>
      <c r="AM97" s="1">
        <v>8</v>
      </c>
      <c r="AN97" s="1">
        <v>0</v>
      </c>
      <c r="AO97" s="1">
        <v>0</v>
      </c>
      <c r="AP97" s="1" t="s">
        <v>266</v>
      </c>
      <c r="AQ97" s="1" t="s">
        <v>267</v>
      </c>
      <c r="AR97" s="1" t="s">
        <v>268</v>
      </c>
    </row>
    <row r="98" spans="1:44" x14ac:dyDescent="0.2">
      <c r="A98" s="1" t="s">
        <v>126</v>
      </c>
      <c r="B98" s="1" t="s">
        <v>269</v>
      </c>
      <c r="C98" s="1">
        <v>-32.5</v>
      </c>
      <c r="D98" s="1">
        <v>479762.7</v>
      </c>
      <c r="E98" s="1">
        <v>5957543.5</v>
      </c>
      <c r="F98" s="1">
        <v>0</v>
      </c>
      <c r="G98" s="1">
        <v>-0.7</v>
      </c>
      <c r="H98" s="1">
        <v>0</v>
      </c>
      <c r="I98" s="1">
        <v>2</v>
      </c>
      <c r="J98" s="1">
        <v>0</v>
      </c>
      <c r="K98" s="1">
        <v>-61</v>
      </c>
      <c r="L98" s="1">
        <v>28.5</v>
      </c>
      <c r="M98" s="1">
        <v>1507.2</v>
      </c>
      <c r="N98" s="1">
        <v>86.4</v>
      </c>
      <c r="O98" s="1">
        <v>8</v>
      </c>
      <c r="P98" s="1">
        <v>10</v>
      </c>
      <c r="Q98" s="1">
        <v>2.78</v>
      </c>
      <c r="R98" s="1">
        <v>68</v>
      </c>
      <c r="S98" s="1">
        <v>110</v>
      </c>
      <c r="T98" s="1">
        <v>147</v>
      </c>
      <c r="U98" s="1">
        <v>1295.92</v>
      </c>
      <c r="V98" s="1">
        <v>580.654</v>
      </c>
      <c r="W98" s="1">
        <v>752.85199999999998</v>
      </c>
      <c r="X98" s="1">
        <v>132.18100000000001</v>
      </c>
      <c r="Y98" s="1">
        <v>4.9400000000000004</v>
      </c>
      <c r="Z98" s="1">
        <v>8.0150000000000006</v>
      </c>
      <c r="AA98" s="1">
        <v>21.7</v>
      </c>
      <c r="AB98" s="1">
        <v>290.5</v>
      </c>
      <c r="AC98" s="1">
        <v>12362</v>
      </c>
      <c r="AD98" s="1">
        <v>3031</v>
      </c>
      <c r="AE98" s="1">
        <v>268</v>
      </c>
      <c r="AF98" s="1">
        <v>17</v>
      </c>
      <c r="AG98" s="1">
        <v>17</v>
      </c>
      <c r="AH98" s="1">
        <v>36</v>
      </c>
      <c r="AI98" s="1">
        <v>50.8</v>
      </c>
      <c r="AJ98" s="1">
        <v>13.2</v>
      </c>
      <c r="AK98" s="1">
        <v>78.900000000000006</v>
      </c>
      <c r="AL98" s="1">
        <v>31.9</v>
      </c>
      <c r="AM98" s="1">
        <v>8</v>
      </c>
      <c r="AN98" s="1">
        <v>0</v>
      </c>
      <c r="AO98" s="1">
        <v>0</v>
      </c>
      <c r="AP98" s="1" t="s">
        <v>266</v>
      </c>
      <c r="AQ98" s="1" t="s">
        <v>267</v>
      </c>
      <c r="AR98" s="1" t="s">
        <v>268</v>
      </c>
    </row>
    <row r="99" spans="1:44" x14ac:dyDescent="0.2">
      <c r="A99" s="1" t="s">
        <v>43</v>
      </c>
      <c r="B99" s="1" t="s">
        <v>265</v>
      </c>
      <c r="C99" s="1">
        <v>-36.1</v>
      </c>
      <c r="D99" s="1">
        <v>480034.7</v>
      </c>
      <c r="E99" s="1">
        <v>5960381.7000000002</v>
      </c>
      <c r="F99" s="1">
        <v>0</v>
      </c>
      <c r="G99" s="1">
        <v>-0.7</v>
      </c>
      <c r="H99" s="1">
        <v>0</v>
      </c>
      <c r="I99" s="1">
        <v>2</v>
      </c>
      <c r="J99" s="1">
        <v>0</v>
      </c>
      <c r="K99" s="1">
        <v>-64.7</v>
      </c>
      <c r="L99" s="1">
        <v>28.6</v>
      </c>
      <c r="M99" s="1">
        <v>1654.4780000000001</v>
      </c>
      <c r="N99" s="1">
        <v>90.1</v>
      </c>
      <c r="O99" s="1">
        <v>8</v>
      </c>
      <c r="P99" s="1">
        <v>10</v>
      </c>
      <c r="Q99" s="1">
        <v>2.79</v>
      </c>
      <c r="R99" s="1">
        <v>68</v>
      </c>
      <c r="S99" s="1">
        <v>110</v>
      </c>
      <c r="T99" s="1">
        <v>147</v>
      </c>
      <c r="U99" s="1">
        <v>1357.7460000000001</v>
      </c>
      <c r="V99" s="1">
        <v>427.81</v>
      </c>
      <c r="W99" s="1">
        <v>752.85199999999998</v>
      </c>
      <c r="X99" s="1">
        <v>132.18100000000001</v>
      </c>
      <c r="Y99" s="1">
        <v>4.9400000000000004</v>
      </c>
      <c r="Z99" s="1">
        <v>8.0150000000000006</v>
      </c>
      <c r="AA99" s="1">
        <v>21.7</v>
      </c>
      <c r="AB99" s="1">
        <v>290.5</v>
      </c>
      <c r="AC99" s="1">
        <v>12591</v>
      </c>
      <c r="AD99" s="1">
        <v>3254</v>
      </c>
      <c r="AE99" s="1">
        <v>268</v>
      </c>
      <c r="AF99" s="1">
        <v>19</v>
      </c>
      <c r="AG99" s="1">
        <v>19</v>
      </c>
      <c r="AH99" s="1">
        <v>33.200000000000003</v>
      </c>
      <c r="AI99" s="1">
        <v>53.6</v>
      </c>
      <c r="AJ99" s="1">
        <v>13.2</v>
      </c>
      <c r="AK99" s="1">
        <v>82.6</v>
      </c>
      <c r="AL99" s="1">
        <v>31.9</v>
      </c>
      <c r="AM99" s="1">
        <v>8</v>
      </c>
      <c r="AN99" s="1">
        <v>0</v>
      </c>
      <c r="AO99" s="1">
        <v>0</v>
      </c>
      <c r="AP99" s="1" t="s">
        <v>266</v>
      </c>
      <c r="AQ99" s="1" t="s">
        <v>267</v>
      </c>
      <c r="AR99" s="1" t="s">
        <v>268</v>
      </c>
    </row>
    <row r="100" spans="1:44" x14ac:dyDescent="0.2">
      <c r="A100" s="1" t="s">
        <v>39</v>
      </c>
      <c r="B100" s="1" t="s">
        <v>269</v>
      </c>
      <c r="C100" s="1">
        <v>-36.299999999999997</v>
      </c>
      <c r="D100" s="1">
        <v>479021</v>
      </c>
      <c r="E100" s="1">
        <v>5965200</v>
      </c>
      <c r="F100" s="1">
        <v>0</v>
      </c>
      <c r="G100" s="1">
        <v>-0.6</v>
      </c>
      <c r="H100" s="1">
        <v>0</v>
      </c>
      <c r="I100" s="1">
        <v>2</v>
      </c>
      <c r="J100" s="1">
        <v>0</v>
      </c>
      <c r="K100" s="1">
        <v>-65.900000000000006</v>
      </c>
      <c r="L100" s="1">
        <v>29.6</v>
      </c>
      <c r="M100" s="1">
        <v>1692.1030000000001</v>
      </c>
      <c r="N100" s="1">
        <v>91.3</v>
      </c>
      <c r="O100" s="1">
        <v>8</v>
      </c>
      <c r="P100" s="1">
        <v>10</v>
      </c>
      <c r="Q100" s="1">
        <v>2.9</v>
      </c>
      <c r="R100" s="1">
        <v>68</v>
      </c>
      <c r="S100" s="1">
        <v>110</v>
      </c>
      <c r="T100" s="1">
        <v>147</v>
      </c>
      <c r="U100" s="1">
        <v>1357.671</v>
      </c>
      <c r="V100" s="1">
        <v>421.99099999999999</v>
      </c>
      <c r="W100" s="1">
        <v>752.85199999999998</v>
      </c>
      <c r="X100" s="1">
        <v>132.18100000000001</v>
      </c>
      <c r="Y100" s="1">
        <v>4.9400000000000004</v>
      </c>
      <c r="Z100" s="1">
        <v>8.0150000000000006</v>
      </c>
      <c r="AA100" s="1">
        <v>21.7</v>
      </c>
      <c r="AB100" s="1">
        <v>290.5</v>
      </c>
      <c r="AC100" s="1">
        <v>12665</v>
      </c>
      <c r="AD100" s="1">
        <v>3267</v>
      </c>
      <c r="AE100" s="1">
        <v>268</v>
      </c>
      <c r="AF100" s="1">
        <v>19</v>
      </c>
      <c r="AG100" s="1">
        <v>19</v>
      </c>
      <c r="AH100" s="1">
        <v>32.4</v>
      </c>
      <c r="AI100" s="1">
        <v>54.9</v>
      </c>
      <c r="AJ100" s="1">
        <v>12.7</v>
      </c>
      <c r="AK100" s="1">
        <v>83.1</v>
      </c>
      <c r="AL100" s="1">
        <v>31.9</v>
      </c>
      <c r="AM100" s="1">
        <v>8</v>
      </c>
      <c r="AN100" s="1">
        <v>0</v>
      </c>
      <c r="AO100" s="1">
        <v>0</v>
      </c>
      <c r="AP100" s="1" t="s">
        <v>266</v>
      </c>
      <c r="AQ100" s="1" t="s">
        <v>267</v>
      </c>
      <c r="AR100" s="1" t="s">
        <v>268</v>
      </c>
    </row>
    <row r="101" spans="1:44" x14ac:dyDescent="0.2">
      <c r="A101" s="1" t="s">
        <v>149</v>
      </c>
      <c r="B101" s="1" t="s">
        <v>265</v>
      </c>
      <c r="C101" s="1">
        <v>-28</v>
      </c>
      <c r="D101" s="1">
        <v>478501.4</v>
      </c>
      <c r="E101" s="1">
        <v>5969120</v>
      </c>
      <c r="F101" s="1">
        <v>0</v>
      </c>
      <c r="G101" s="1">
        <v>-0.6</v>
      </c>
      <c r="H101" s="1">
        <v>0</v>
      </c>
      <c r="I101" s="1">
        <v>2</v>
      </c>
      <c r="J101" s="1">
        <v>0</v>
      </c>
      <c r="K101" s="1">
        <v>-59.9</v>
      </c>
      <c r="L101" s="1">
        <v>31.9</v>
      </c>
      <c r="M101" s="1">
        <v>1453.9970000000001</v>
      </c>
      <c r="N101" s="1">
        <v>85.3</v>
      </c>
      <c r="O101" s="1">
        <v>8</v>
      </c>
      <c r="P101" s="1">
        <v>10</v>
      </c>
      <c r="Q101" s="1">
        <v>3.13</v>
      </c>
      <c r="R101" s="1">
        <v>68</v>
      </c>
      <c r="S101" s="1">
        <v>110</v>
      </c>
      <c r="T101" s="1">
        <v>147</v>
      </c>
      <c r="U101" s="1">
        <v>1296.171</v>
      </c>
      <c r="V101" s="1">
        <v>455.983</v>
      </c>
      <c r="W101" s="1">
        <v>752.85199999999998</v>
      </c>
      <c r="X101" s="1">
        <v>132.18100000000001</v>
      </c>
      <c r="Y101" s="1">
        <v>4.9400000000000004</v>
      </c>
      <c r="Z101" s="1">
        <v>8.0150000000000006</v>
      </c>
      <c r="AA101" s="1">
        <v>21.7</v>
      </c>
      <c r="AB101" s="1">
        <v>290.5</v>
      </c>
      <c r="AC101" s="1">
        <v>12295</v>
      </c>
      <c r="AD101" s="1">
        <v>2751</v>
      </c>
      <c r="AE101" s="1">
        <v>268</v>
      </c>
      <c r="AF101" s="1">
        <v>21</v>
      </c>
      <c r="AG101" s="1">
        <v>21</v>
      </c>
      <c r="AH101" s="1">
        <v>36.700000000000003</v>
      </c>
      <c r="AI101" s="1">
        <v>50.7</v>
      </c>
      <c r="AJ101" s="1">
        <v>12.6</v>
      </c>
      <c r="AK101" s="1">
        <v>77.099999999999994</v>
      </c>
      <c r="AL101" s="1">
        <v>31.9</v>
      </c>
      <c r="AM101" s="1">
        <v>8</v>
      </c>
      <c r="AN101" s="1">
        <v>0</v>
      </c>
      <c r="AO101" s="1">
        <v>0</v>
      </c>
      <c r="AP101" s="1" t="s">
        <v>266</v>
      </c>
      <c r="AQ101" s="1" t="s">
        <v>267</v>
      </c>
      <c r="AR101" s="1" t="s">
        <v>268</v>
      </c>
    </row>
    <row r="102" spans="1:44" x14ac:dyDescent="0.2">
      <c r="A102" s="1" t="s">
        <v>55</v>
      </c>
      <c r="B102" s="1" t="s">
        <v>265</v>
      </c>
      <c r="C102" s="1">
        <v>-37.799999999999997</v>
      </c>
      <c r="D102" s="1">
        <v>478233</v>
      </c>
      <c r="E102" s="1">
        <v>5972520</v>
      </c>
      <c r="F102" s="1">
        <v>0</v>
      </c>
      <c r="G102" s="1">
        <v>-0.7</v>
      </c>
      <c r="H102" s="1">
        <v>0</v>
      </c>
      <c r="I102" s="1">
        <v>2</v>
      </c>
      <c r="J102" s="1">
        <v>0</v>
      </c>
      <c r="K102" s="1">
        <v>-64.3</v>
      </c>
      <c r="L102" s="1">
        <v>26.5</v>
      </c>
      <c r="M102" s="1">
        <v>1671.463</v>
      </c>
      <c r="N102" s="1">
        <v>89.7</v>
      </c>
      <c r="O102" s="1">
        <v>8</v>
      </c>
      <c r="P102" s="1">
        <v>10</v>
      </c>
      <c r="Q102" s="1">
        <v>2.58</v>
      </c>
      <c r="R102" s="1">
        <v>68</v>
      </c>
      <c r="S102" s="1">
        <v>110</v>
      </c>
      <c r="T102" s="1">
        <v>147</v>
      </c>
      <c r="U102" s="1">
        <v>1357.6079999999999</v>
      </c>
      <c r="V102" s="1">
        <v>483.73</v>
      </c>
      <c r="W102" s="1">
        <v>752.85199999999998</v>
      </c>
      <c r="X102" s="1">
        <v>132.18100000000001</v>
      </c>
      <c r="Y102" s="1">
        <v>4.9400000000000004</v>
      </c>
      <c r="Z102" s="1">
        <v>8.0150000000000006</v>
      </c>
      <c r="AA102" s="1">
        <v>21.7</v>
      </c>
      <c r="AB102" s="1">
        <v>290.5</v>
      </c>
      <c r="AC102" s="1">
        <v>12565</v>
      </c>
      <c r="AD102" s="1">
        <v>3360</v>
      </c>
      <c r="AE102" s="1">
        <v>268</v>
      </c>
      <c r="AF102" s="1">
        <v>15</v>
      </c>
      <c r="AG102" s="1">
        <v>15</v>
      </c>
      <c r="AH102" s="1">
        <v>32.9</v>
      </c>
      <c r="AI102" s="1">
        <v>54.1</v>
      </c>
      <c r="AJ102" s="1">
        <v>13.1</v>
      </c>
      <c r="AK102" s="1">
        <v>83.7</v>
      </c>
      <c r="AL102" s="1">
        <v>31.9</v>
      </c>
      <c r="AM102" s="1">
        <v>8</v>
      </c>
      <c r="AN102" s="1">
        <v>0</v>
      </c>
      <c r="AO102" s="1">
        <v>0</v>
      </c>
      <c r="AP102" s="1" t="s">
        <v>266</v>
      </c>
      <c r="AQ102" s="1" t="s">
        <v>267</v>
      </c>
      <c r="AR102" s="1" t="s">
        <v>268</v>
      </c>
    </row>
    <row r="103" spans="1:44" x14ac:dyDescent="0.2">
      <c r="A103" s="1" t="s">
        <v>107</v>
      </c>
      <c r="B103" s="1" t="s">
        <v>265</v>
      </c>
      <c r="C103" s="1">
        <v>-36.4</v>
      </c>
      <c r="D103" s="1">
        <v>455369.7</v>
      </c>
      <c r="E103" s="1">
        <v>5970324.9000000004</v>
      </c>
      <c r="F103" s="1">
        <v>0</v>
      </c>
      <c r="G103" s="1">
        <v>-0.6</v>
      </c>
      <c r="H103" s="1">
        <v>0</v>
      </c>
      <c r="I103" s="1">
        <v>2</v>
      </c>
      <c r="J103" s="1">
        <v>0</v>
      </c>
      <c r="K103" s="1">
        <v>-62</v>
      </c>
      <c r="L103" s="1">
        <v>25.6</v>
      </c>
      <c r="M103" s="1">
        <v>1579.0930000000001</v>
      </c>
      <c r="N103" s="1">
        <v>87.4</v>
      </c>
      <c r="O103" s="1">
        <v>8</v>
      </c>
      <c r="P103" s="1">
        <v>10</v>
      </c>
      <c r="Q103" s="1">
        <v>2.5</v>
      </c>
      <c r="R103" s="1">
        <v>68</v>
      </c>
      <c r="S103" s="1">
        <v>110</v>
      </c>
      <c r="T103" s="1">
        <v>147</v>
      </c>
      <c r="U103" s="1">
        <v>1295.568</v>
      </c>
      <c r="V103" s="1">
        <v>552.04100000000005</v>
      </c>
      <c r="W103" s="1">
        <v>752.85199999999998</v>
      </c>
      <c r="X103" s="1">
        <v>132.18100000000001</v>
      </c>
      <c r="Y103" s="1">
        <v>4.9400000000000004</v>
      </c>
      <c r="Z103" s="1">
        <v>8.0150000000000006</v>
      </c>
      <c r="AA103" s="1">
        <v>21.7</v>
      </c>
      <c r="AB103" s="1">
        <v>290.5</v>
      </c>
      <c r="AC103" s="1">
        <v>12423</v>
      </c>
      <c r="AD103" s="1">
        <v>3273</v>
      </c>
      <c r="AE103" s="1">
        <v>268</v>
      </c>
      <c r="AF103" s="1">
        <v>15</v>
      </c>
      <c r="AG103" s="1">
        <v>15</v>
      </c>
      <c r="AH103" s="1">
        <v>34.6</v>
      </c>
      <c r="AI103" s="1">
        <v>52.1</v>
      </c>
      <c r="AJ103" s="1">
        <v>13.3</v>
      </c>
      <c r="AK103" s="1">
        <v>81.5</v>
      </c>
      <c r="AL103" s="1">
        <v>31.9</v>
      </c>
      <c r="AM103" s="1">
        <v>8</v>
      </c>
      <c r="AN103" s="1">
        <v>0</v>
      </c>
      <c r="AO103" s="1">
        <v>0</v>
      </c>
      <c r="AP103" s="1" t="s">
        <v>266</v>
      </c>
      <c r="AQ103" s="1" t="s">
        <v>267</v>
      </c>
      <c r="AR103" s="1" t="s">
        <v>268</v>
      </c>
    </row>
    <row r="104" spans="1:44" x14ac:dyDescent="0.2">
      <c r="A104" s="1" t="s">
        <v>44</v>
      </c>
      <c r="B104" s="1" t="s">
        <v>265</v>
      </c>
      <c r="C104" s="1">
        <v>-37.4</v>
      </c>
      <c r="D104" s="1">
        <v>457232.9</v>
      </c>
      <c r="E104" s="1">
        <v>5970498.7000000002</v>
      </c>
      <c r="F104" s="1">
        <v>0</v>
      </c>
      <c r="G104" s="1">
        <v>-0.6</v>
      </c>
      <c r="H104" s="1">
        <v>0</v>
      </c>
      <c r="I104" s="1">
        <v>2</v>
      </c>
      <c r="J104" s="1">
        <v>0</v>
      </c>
      <c r="K104" s="1">
        <v>-65.3</v>
      </c>
      <c r="L104" s="1">
        <v>27.9</v>
      </c>
      <c r="M104" s="1">
        <v>1659.8589999999999</v>
      </c>
      <c r="N104" s="1">
        <v>90.7</v>
      </c>
      <c r="O104" s="1">
        <v>8</v>
      </c>
      <c r="P104" s="1">
        <v>10</v>
      </c>
      <c r="Q104" s="1">
        <v>2.73</v>
      </c>
      <c r="R104" s="1">
        <v>68</v>
      </c>
      <c r="S104" s="1">
        <v>110</v>
      </c>
      <c r="T104" s="1">
        <v>147</v>
      </c>
      <c r="U104" s="1">
        <v>1357.7840000000001</v>
      </c>
      <c r="V104" s="1">
        <v>427.822</v>
      </c>
      <c r="W104" s="1">
        <v>752.85199999999998</v>
      </c>
      <c r="X104" s="1">
        <v>132.18100000000001</v>
      </c>
      <c r="Y104" s="1">
        <v>4.9400000000000004</v>
      </c>
      <c r="Z104" s="1">
        <v>8.0150000000000006</v>
      </c>
      <c r="AA104" s="1">
        <v>21.7</v>
      </c>
      <c r="AB104" s="1">
        <v>290.5</v>
      </c>
      <c r="AC104" s="1">
        <v>12628</v>
      </c>
      <c r="AD104" s="1">
        <v>3335</v>
      </c>
      <c r="AE104" s="1">
        <v>268</v>
      </c>
      <c r="AF104" s="1">
        <v>17</v>
      </c>
      <c r="AG104" s="1">
        <v>17</v>
      </c>
      <c r="AH104" s="1">
        <v>33.1</v>
      </c>
      <c r="AI104" s="1">
        <v>53.9</v>
      </c>
      <c r="AJ104" s="1">
        <v>13.1</v>
      </c>
      <c r="AK104" s="1">
        <v>82.2</v>
      </c>
      <c r="AL104" s="1">
        <v>31.9</v>
      </c>
      <c r="AM104" s="1">
        <v>8</v>
      </c>
      <c r="AN104" s="1">
        <v>0</v>
      </c>
      <c r="AO104" s="1">
        <v>0</v>
      </c>
      <c r="AP104" s="1" t="s">
        <v>266</v>
      </c>
      <c r="AQ104" s="1" t="s">
        <v>267</v>
      </c>
      <c r="AR104" s="1" t="s">
        <v>268</v>
      </c>
    </row>
    <row r="105" spans="1:44" x14ac:dyDescent="0.2">
      <c r="A105" s="1" t="s">
        <v>137</v>
      </c>
      <c r="B105" s="1" t="s">
        <v>265</v>
      </c>
      <c r="C105" s="1">
        <v>-36.200000000000003</v>
      </c>
      <c r="D105" s="1">
        <v>460452</v>
      </c>
      <c r="E105" s="1">
        <v>5968518</v>
      </c>
      <c r="F105" s="1">
        <v>0</v>
      </c>
      <c r="G105" s="1">
        <v>-0.7</v>
      </c>
      <c r="H105" s="1">
        <v>0</v>
      </c>
      <c r="I105" s="1">
        <v>2</v>
      </c>
      <c r="J105" s="1">
        <v>0</v>
      </c>
      <c r="K105" s="1">
        <v>-59.728999999999999</v>
      </c>
      <c r="L105" s="1">
        <v>23.529</v>
      </c>
      <c r="M105" s="1">
        <v>1561.0119999999999</v>
      </c>
      <c r="N105" s="1">
        <v>85.129000000000005</v>
      </c>
      <c r="O105" s="1">
        <v>8</v>
      </c>
      <c r="P105" s="1">
        <v>10</v>
      </c>
      <c r="Q105" s="1">
        <v>2.2829000000000002</v>
      </c>
      <c r="R105" s="1">
        <v>68</v>
      </c>
      <c r="S105" s="1">
        <v>110</v>
      </c>
      <c r="T105" s="1">
        <v>147</v>
      </c>
      <c r="U105" s="1">
        <v>1233.125</v>
      </c>
      <c r="V105" s="1">
        <v>521.03899999999999</v>
      </c>
      <c r="W105" s="1">
        <v>752.85199999999998</v>
      </c>
      <c r="X105" s="1">
        <v>132.18100000000001</v>
      </c>
      <c r="Y105" s="1">
        <v>4.9400000000000004</v>
      </c>
      <c r="Z105" s="1">
        <v>8.0150000000000006</v>
      </c>
      <c r="AA105" s="1">
        <v>21.7</v>
      </c>
      <c r="AB105" s="1">
        <v>290.5</v>
      </c>
      <c r="AC105" s="1">
        <v>12281</v>
      </c>
      <c r="AD105" s="1">
        <v>3261</v>
      </c>
      <c r="AE105" s="1">
        <v>268</v>
      </c>
      <c r="AF105" s="1">
        <v>15</v>
      </c>
      <c r="AG105" s="1">
        <v>15</v>
      </c>
      <c r="AH105" s="1">
        <v>35.1</v>
      </c>
      <c r="AI105" s="1">
        <v>51.2</v>
      </c>
      <c r="AJ105" s="1">
        <v>13.7</v>
      </c>
      <c r="AK105" s="1">
        <v>82.8</v>
      </c>
      <c r="AL105" s="1">
        <v>31.9</v>
      </c>
      <c r="AM105" s="1">
        <v>8</v>
      </c>
      <c r="AN105" s="1">
        <v>0</v>
      </c>
      <c r="AO105" s="1">
        <v>0</v>
      </c>
      <c r="AP105" s="1" t="s">
        <v>266</v>
      </c>
      <c r="AQ105" s="1" t="s">
        <v>267</v>
      </c>
      <c r="AR105" s="1" t="s">
        <v>268</v>
      </c>
    </row>
    <row r="106" spans="1:44" x14ac:dyDescent="0.2">
      <c r="A106" s="1" t="s">
        <v>210</v>
      </c>
      <c r="B106" s="1" t="s">
        <v>265</v>
      </c>
      <c r="C106" s="1">
        <v>-41.1</v>
      </c>
      <c r="D106" s="1">
        <v>463631.6</v>
      </c>
      <c r="E106" s="1">
        <v>5966681.5999999996</v>
      </c>
      <c r="F106" s="1">
        <v>0</v>
      </c>
      <c r="G106" s="1">
        <v>-0.6</v>
      </c>
      <c r="H106" s="1">
        <v>0</v>
      </c>
      <c r="I106" s="1">
        <v>2</v>
      </c>
      <c r="J106" s="1">
        <v>0</v>
      </c>
      <c r="K106" s="1">
        <v>-72.900000000000006</v>
      </c>
      <c r="L106" s="1">
        <v>31.8</v>
      </c>
      <c r="M106" s="1">
        <v>1938.019</v>
      </c>
      <c r="N106" s="1">
        <v>98.3</v>
      </c>
      <c r="O106" s="1">
        <v>8</v>
      </c>
      <c r="P106" s="1">
        <v>11</v>
      </c>
      <c r="Q106" s="1">
        <v>2.8363999999999998</v>
      </c>
      <c r="R106" s="1">
        <v>70</v>
      </c>
      <c r="S106" s="1">
        <v>117</v>
      </c>
      <c r="T106" s="1">
        <v>149</v>
      </c>
      <c r="U106" s="1">
        <v>1575.5840000000001</v>
      </c>
      <c r="V106" s="1">
        <v>438.428</v>
      </c>
      <c r="W106" s="1">
        <v>752.85199999999998</v>
      </c>
      <c r="X106" s="1">
        <v>132.18100000000001</v>
      </c>
      <c r="Y106" s="1">
        <v>4.9400000000000004</v>
      </c>
      <c r="Z106" s="1">
        <v>8.0150000000000006</v>
      </c>
      <c r="AA106" s="1">
        <v>21.7</v>
      </c>
      <c r="AB106" s="1">
        <v>290.5</v>
      </c>
      <c r="AC106" s="1">
        <v>13430</v>
      </c>
      <c r="AD106" s="1">
        <v>3710</v>
      </c>
      <c r="AE106" s="1">
        <v>268</v>
      </c>
      <c r="AF106" s="1">
        <v>21</v>
      </c>
      <c r="AG106" s="1">
        <v>21</v>
      </c>
      <c r="AH106" s="1">
        <v>30.5</v>
      </c>
      <c r="AI106" s="1">
        <v>52.9</v>
      </c>
      <c r="AJ106" s="1">
        <v>16.600000000000001</v>
      </c>
      <c r="AK106" s="1">
        <v>83.8</v>
      </c>
      <c r="AL106" s="1">
        <v>31.9</v>
      </c>
      <c r="AM106" s="1">
        <v>8</v>
      </c>
      <c r="AN106" s="1">
        <v>0</v>
      </c>
      <c r="AO106" s="1">
        <v>0</v>
      </c>
      <c r="AP106" s="1" t="s">
        <v>270</v>
      </c>
      <c r="AQ106" s="1" t="s">
        <v>267</v>
      </c>
      <c r="AR106" s="1" t="s">
        <v>268</v>
      </c>
    </row>
    <row r="107" spans="1:44" x14ac:dyDescent="0.2">
      <c r="A107" s="1" t="s">
        <v>96</v>
      </c>
      <c r="B107" s="1" t="s">
        <v>265</v>
      </c>
      <c r="C107" s="1">
        <v>-34.700000000000003</v>
      </c>
      <c r="D107" s="1">
        <v>467332</v>
      </c>
      <c r="E107" s="1">
        <v>5964066.0999999996</v>
      </c>
      <c r="F107" s="1">
        <v>0</v>
      </c>
      <c r="G107" s="1">
        <v>-0.6</v>
      </c>
      <c r="H107" s="1">
        <v>0</v>
      </c>
      <c r="I107" s="1">
        <v>2</v>
      </c>
      <c r="J107" s="1">
        <v>0</v>
      </c>
      <c r="K107" s="1">
        <v>-63.1</v>
      </c>
      <c r="L107" s="1">
        <v>28.4</v>
      </c>
      <c r="M107" s="1">
        <v>1589.6179999999999</v>
      </c>
      <c r="N107" s="1">
        <v>88.5</v>
      </c>
      <c r="O107" s="1">
        <v>8</v>
      </c>
      <c r="P107" s="1">
        <v>10</v>
      </c>
      <c r="Q107" s="1">
        <v>2.78</v>
      </c>
      <c r="R107" s="1">
        <v>68</v>
      </c>
      <c r="S107" s="1">
        <v>110</v>
      </c>
      <c r="T107" s="1">
        <v>147</v>
      </c>
      <c r="U107" s="1">
        <v>1357.9849999999999</v>
      </c>
      <c r="V107" s="1">
        <v>515.34699999999998</v>
      </c>
      <c r="W107" s="1">
        <v>752.85199999999998</v>
      </c>
      <c r="X107" s="1">
        <v>132.18100000000001</v>
      </c>
      <c r="Y107" s="1">
        <v>4.9400000000000004</v>
      </c>
      <c r="Z107" s="1">
        <v>8.0150000000000006</v>
      </c>
      <c r="AA107" s="1">
        <v>21.7</v>
      </c>
      <c r="AB107" s="1">
        <v>290.5</v>
      </c>
      <c r="AC107" s="1">
        <v>12492</v>
      </c>
      <c r="AD107" s="1">
        <v>3167</v>
      </c>
      <c r="AE107" s="1">
        <v>268</v>
      </c>
      <c r="AF107" s="1">
        <v>17</v>
      </c>
      <c r="AG107" s="1">
        <v>17</v>
      </c>
      <c r="AH107" s="1">
        <v>34.5</v>
      </c>
      <c r="AI107" s="1">
        <v>52.2</v>
      </c>
      <c r="AJ107" s="1">
        <v>13.3</v>
      </c>
      <c r="AK107" s="1">
        <v>81</v>
      </c>
      <c r="AL107" s="1">
        <v>31.9</v>
      </c>
      <c r="AM107" s="1">
        <v>8</v>
      </c>
      <c r="AN107" s="1">
        <v>0</v>
      </c>
      <c r="AO107" s="1">
        <v>0</v>
      </c>
      <c r="AP107" s="1" t="s">
        <v>266</v>
      </c>
      <c r="AQ107" s="1" t="s">
        <v>267</v>
      </c>
      <c r="AR107" s="1" t="s">
        <v>268</v>
      </c>
    </row>
    <row r="108" spans="1:44" x14ac:dyDescent="0.2">
      <c r="A108" s="1" t="s">
        <v>142</v>
      </c>
      <c r="B108" s="1" t="s">
        <v>265</v>
      </c>
      <c r="C108" s="1">
        <v>-31.2</v>
      </c>
      <c r="D108" s="1">
        <v>470403.1</v>
      </c>
      <c r="E108" s="1">
        <v>5962485.2999999998</v>
      </c>
      <c r="F108" s="1">
        <v>0</v>
      </c>
      <c r="G108" s="1">
        <v>-0.6</v>
      </c>
      <c r="H108" s="1">
        <v>0</v>
      </c>
      <c r="I108" s="1">
        <v>2</v>
      </c>
      <c r="J108" s="1">
        <v>0</v>
      </c>
      <c r="K108" s="1">
        <v>-60.2</v>
      </c>
      <c r="L108" s="1">
        <v>29</v>
      </c>
      <c r="M108" s="1">
        <v>1468.6020000000001</v>
      </c>
      <c r="N108" s="1">
        <v>85.6</v>
      </c>
      <c r="O108" s="1">
        <v>8</v>
      </c>
      <c r="P108" s="1">
        <v>10</v>
      </c>
      <c r="Q108" s="1">
        <v>2.84</v>
      </c>
      <c r="R108" s="1">
        <v>68</v>
      </c>
      <c r="S108" s="1">
        <v>110</v>
      </c>
      <c r="T108" s="1">
        <v>147</v>
      </c>
      <c r="U108" s="1">
        <v>1296.1079999999999</v>
      </c>
      <c r="V108" s="1">
        <v>524.20600000000002</v>
      </c>
      <c r="W108" s="1">
        <v>752.85199999999998</v>
      </c>
      <c r="X108" s="1">
        <v>132.18100000000001</v>
      </c>
      <c r="Y108" s="1">
        <v>4.9400000000000004</v>
      </c>
      <c r="Z108" s="1">
        <v>8.0150000000000006</v>
      </c>
      <c r="AA108" s="1">
        <v>21.7</v>
      </c>
      <c r="AB108" s="1">
        <v>290.5</v>
      </c>
      <c r="AC108" s="1">
        <v>12313</v>
      </c>
      <c r="AD108" s="1">
        <v>2951</v>
      </c>
      <c r="AE108" s="1">
        <v>268</v>
      </c>
      <c r="AF108" s="1">
        <v>19</v>
      </c>
      <c r="AG108" s="1">
        <v>19</v>
      </c>
      <c r="AH108" s="1">
        <v>36.6</v>
      </c>
      <c r="AI108" s="1">
        <v>50.6</v>
      </c>
      <c r="AJ108" s="1">
        <v>12.8</v>
      </c>
      <c r="AK108" s="1">
        <v>77.599999999999994</v>
      </c>
      <c r="AL108" s="1">
        <v>31.9</v>
      </c>
      <c r="AM108" s="1">
        <v>8</v>
      </c>
      <c r="AN108" s="1">
        <v>0</v>
      </c>
      <c r="AO108" s="1">
        <v>0</v>
      </c>
      <c r="AP108" s="1" t="s">
        <v>266</v>
      </c>
      <c r="AQ108" s="1" t="s">
        <v>267</v>
      </c>
      <c r="AR108" s="1" t="s">
        <v>268</v>
      </c>
    </row>
    <row r="109" spans="1:44" x14ac:dyDescent="0.2">
      <c r="A109" s="1" t="s">
        <v>147</v>
      </c>
      <c r="B109" s="1" t="s">
        <v>265</v>
      </c>
      <c r="C109" s="1">
        <v>-30.2</v>
      </c>
      <c r="D109" s="1">
        <v>473116.5</v>
      </c>
      <c r="E109" s="1">
        <v>5961515</v>
      </c>
      <c r="F109" s="1">
        <v>0</v>
      </c>
      <c r="G109" s="1">
        <v>-0.7</v>
      </c>
      <c r="H109" s="1">
        <v>0</v>
      </c>
      <c r="I109" s="1">
        <v>2</v>
      </c>
      <c r="J109" s="1">
        <v>0</v>
      </c>
      <c r="K109" s="1">
        <v>-59.7</v>
      </c>
      <c r="L109" s="1">
        <v>29.5</v>
      </c>
      <c r="M109" s="1">
        <v>1444.606</v>
      </c>
      <c r="N109" s="1">
        <v>85.1</v>
      </c>
      <c r="O109" s="1">
        <v>8</v>
      </c>
      <c r="P109" s="1">
        <v>10</v>
      </c>
      <c r="Q109" s="1">
        <v>2.88</v>
      </c>
      <c r="R109" s="1">
        <v>64</v>
      </c>
      <c r="S109" s="1">
        <v>110</v>
      </c>
      <c r="T109" s="1">
        <v>147</v>
      </c>
      <c r="U109" s="1">
        <v>1296.2090000000001</v>
      </c>
      <c r="V109" s="1">
        <v>524.69600000000003</v>
      </c>
      <c r="W109" s="1">
        <v>752.85199999999998</v>
      </c>
      <c r="X109" s="1">
        <v>132.18100000000001</v>
      </c>
      <c r="Y109" s="1">
        <v>4.9400000000000004</v>
      </c>
      <c r="Z109" s="1">
        <v>8.0150000000000006</v>
      </c>
      <c r="AA109" s="1">
        <v>21.7</v>
      </c>
      <c r="AB109" s="1">
        <v>290.5</v>
      </c>
      <c r="AC109" s="1">
        <v>12282</v>
      </c>
      <c r="AD109" s="1">
        <v>2889</v>
      </c>
      <c r="AE109" s="1">
        <v>268</v>
      </c>
      <c r="AF109" s="1">
        <v>19</v>
      </c>
      <c r="AG109" s="1">
        <v>19</v>
      </c>
      <c r="AH109" s="1">
        <v>36.9</v>
      </c>
      <c r="AI109" s="1">
        <v>50.6</v>
      </c>
      <c r="AJ109" s="1">
        <v>12.4</v>
      </c>
      <c r="AK109" s="1">
        <v>76.8</v>
      </c>
      <c r="AL109" s="1">
        <v>31.9</v>
      </c>
      <c r="AM109" s="1">
        <v>8</v>
      </c>
      <c r="AN109" s="1">
        <v>0</v>
      </c>
      <c r="AO109" s="1">
        <v>0</v>
      </c>
      <c r="AP109" s="1" t="s">
        <v>266</v>
      </c>
      <c r="AQ109" s="1" t="s">
        <v>267</v>
      </c>
      <c r="AR109" s="1" t="s">
        <v>268</v>
      </c>
    </row>
    <row r="110" spans="1:44" x14ac:dyDescent="0.2">
      <c r="A110" s="1" t="s">
        <v>143</v>
      </c>
      <c r="B110" s="1" t="s">
        <v>265</v>
      </c>
      <c r="C110" s="1">
        <v>-30</v>
      </c>
      <c r="D110" s="1">
        <v>476536.9</v>
      </c>
      <c r="E110" s="1">
        <v>5959385.4000000004</v>
      </c>
      <c r="F110" s="1">
        <v>0</v>
      </c>
      <c r="G110" s="1">
        <v>-0.7</v>
      </c>
      <c r="H110" s="1">
        <v>0</v>
      </c>
      <c r="I110" s="1">
        <v>2</v>
      </c>
      <c r="J110" s="1">
        <v>0</v>
      </c>
      <c r="K110" s="1">
        <v>-59.8</v>
      </c>
      <c r="L110" s="1">
        <v>29.8</v>
      </c>
      <c r="M110" s="1">
        <v>1449.8040000000001</v>
      </c>
      <c r="N110" s="1">
        <v>85.2</v>
      </c>
      <c r="O110" s="1">
        <v>8</v>
      </c>
      <c r="P110" s="1">
        <v>10</v>
      </c>
      <c r="Q110" s="1">
        <v>2.91</v>
      </c>
      <c r="R110" s="1">
        <v>68</v>
      </c>
      <c r="S110" s="1">
        <v>110</v>
      </c>
      <c r="T110" s="1">
        <v>147</v>
      </c>
      <c r="U110" s="1">
        <v>1296.183</v>
      </c>
      <c r="V110" s="1">
        <v>549.80399999999997</v>
      </c>
      <c r="W110" s="1">
        <v>752.85199999999998</v>
      </c>
      <c r="X110" s="1">
        <v>132.18100000000001</v>
      </c>
      <c r="Y110" s="1">
        <v>4.9400000000000004</v>
      </c>
      <c r="Z110" s="1">
        <v>8.0150000000000006</v>
      </c>
      <c r="AA110" s="1">
        <v>21.7</v>
      </c>
      <c r="AB110" s="1">
        <v>290.5</v>
      </c>
      <c r="AC110" s="1">
        <v>12289</v>
      </c>
      <c r="AD110" s="1">
        <v>2876</v>
      </c>
      <c r="AE110" s="1">
        <v>268</v>
      </c>
      <c r="AF110" s="1">
        <v>19</v>
      </c>
      <c r="AG110" s="1">
        <v>19</v>
      </c>
      <c r="AH110" s="1">
        <v>36.799999999999997</v>
      </c>
      <c r="AI110" s="1">
        <v>50.5</v>
      </c>
      <c r="AJ110" s="1">
        <v>12.6</v>
      </c>
      <c r="AK110" s="1">
        <v>77</v>
      </c>
      <c r="AL110" s="1">
        <v>31.9</v>
      </c>
      <c r="AM110" s="1">
        <v>8</v>
      </c>
      <c r="AN110" s="1">
        <v>0</v>
      </c>
      <c r="AO110" s="1">
        <v>0</v>
      </c>
      <c r="AP110" s="1" t="s">
        <v>266</v>
      </c>
      <c r="AQ110" s="1" t="s">
        <v>267</v>
      </c>
      <c r="AR110" s="1" t="s">
        <v>268</v>
      </c>
    </row>
    <row r="111" spans="1:44" x14ac:dyDescent="0.2">
      <c r="A111" s="1" t="s">
        <v>146</v>
      </c>
      <c r="B111" s="1" t="s">
        <v>269</v>
      </c>
      <c r="C111" s="1">
        <v>-31.3</v>
      </c>
      <c r="D111" s="1">
        <v>478945.5</v>
      </c>
      <c r="E111" s="1">
        <v>5958856.7999999998</v>
      </c>
      <c r="F111" s="1">
        <v>0</v>
      </c>
      <c r="G111" s="1">
        <v>-0.7</v>
      </c>
      <c r="H111" s="1">
        <v>0</v>
      </c>
      <c r="I111" s="1">
        <v>2</v>
      </c>
      <c r="J111" s="1">
        <v>0</v>
      </c>
      <c r="K111" s="1">
        <v>-59.8</v>
      </c>
      <c r="L111" s="1">
        <v>28.5</v>
      </c>
      <c r="M111" s="1">
        <v>1458.9590000000001</v>
      </c>
      <c r="N111" s="1">
        <v>85.2</v>
      </c>
      <c r="O111" s="1">
        <v>8</v>
      </c>
      <c r="P111" s="1">
        <v>10</v>
      </c>
      <c r="Q111" s="1">
        <v>2.78</v>
      </c>
      <c r="R111" s="1">
        <v>68</v>
      </c>
      <c r="S111" s="1">
        <v>110</v>
      </c>
      <c r="T111" s="1">
        <v>147</v>
      </c>
      <c r="U111" s="1">
        <v>1296.1210000000001</v>
      </c>
      <c r="V111" s="1">
        <v>611.75599999999997</v>
      </c>
      <c r="W111" s="1">
        <v>752.85199999999998</v>
      </c>
      <c r="X111" s="1">
        <v>132.18100000000001</v>
      </c>
      <c r="Y111" s="1">
        <v>4.9400000000000004</v>
      </c>
      <c r="Z111" s="1">
        <v>8.0150000000000006</v>
      </c>
      <c r="AA111" s="1">
        <v>21.7</v>
      </c>
      <c r="AB111" s="1">
        <v>290.5</v>
      </c>
      <c r="AC111" s="1">
        <v>12288</v>
      </c>
      <c r="AD111" s="1">
        <v>2957</v>
      </c>
      <c r="AE111" s="1">
        <v>268</v>
      </c>
      <c r="AF111" s="1">
        <v>17</v>
      </c>
      <c r="AG111" s="1">
        <v>17</v>
      </c>
      <c r="AH111" s="1">
        <v>36.799999999999997</v>
      </c>
      <c r="AI111" s="1">
        <v>50.4</v>
      </c>
      <c r="AJ111" s="1">
        <v>12.8</v>
      </c>
      <c r="AK111" s="1">
        <v>77.5</v>
      </c>
      <c r="AL111" s="1">
        <v>31.9</v>
      </c>
      <c r="AM111" s="1">
        <v>8</v>
      </c>
      <c r="AN111" s="1">
        <v>0</v>
      </c>
      <c r="AO111" s="1">
        <v>0</v>
      </c>
      <c r="AP111" s="1" t="s">
        <v>266</v>
      </c>
      <c r="AQ111" s="1" t="s">
        <v>267</v>
      </c>
      <c r="AR111" s="1" t="s">
        <v>268</v>
      </c>
    </row>
    <row r="112" spans="1:44" x14ac:dyDescent="0.2">
      <c r="A112" s="1" t="s">
        <v>166</v>
      </c>
      <c r="B112" s="1" t="s">
        <v>265</v>
      </c>
      <c r="C112" s="1">
        <v>-41.9</v>
      </c>
      <c r="D112" s="1">
        <v>479046</v>
      </c>
      <c r="E112" s="1">
        <v>5961970</v>
      </c>
      <c r="F112" s="1">
        <v>0</v>
      </c>
      <c r="G112" s="1">
        <v>-0.6</v>
      </c>
      <c r="H112" s="1">
        <v>0</v>
      </c>
      <c r="I112" s="1">
        <v>2</v>
      </c>
      <c r="J112" s="1">
        <v>0</v>
      </c>
      <c r="K112" s="1">
        <v>-75.7</v>
      </c>
      <c r="L112" s="1">
        <v>33.799999999999997</v>
      </c>
      <c r="M112" s="1">
        <v>1968.748</v>
      </c>
      <c r="N112" s="1">
        <v>101.1</v>
      </c>
      <c r="O112" s="1">
        <v>8</v>
      </c>
      <c r="P112" s="1">
        <v>10.5</v>
      </c>
      <c r="Q112" s="1">
        <v>3.1619000000000002</v>
      </c>
      <c r="R112" s="1">
        <v>72</v>
      </c>
      <c r="S112" s="1">
        <v>112</v>
      </c>
      <c r="T112" s="1">
        <v>146</v>
      </c>
      <c r="U112" s="1">
        <v>1536.672</v>
      </c>
      <c r="V112" s="1">
        <v>394.46499999999997</v>
      </c>
      <c r="W112" s="1">
        <v>752.85199999999998</v>
      </c>
      <c r="X112" s="1">
        <v>132.18100000000001</v>
      </c>
      <c r="Y112" s="1">
        <v>4.9400000000000004</v>
      </c>
      <c r="Z112" s="1">
        <v>8.0150000000000006</v>
      </c>
      <c r="AA112" s="1">
        <v>21.7</v>
      </c>
      <c r="AB112" s="1">
        <v>290.5</v>
      </c>
      <c r="AC112" s="1">
        <v>13453</v>
      </c>
      <c r="AD112" s="1">
        <v>3694</v>
      </c>
      <c r="AE112" s="1">
        <v>268</v>
      </c>
      <c r="AF112" s="1">
        <v>23</v>
      </c>
      <c r="AG112" s="1">
        <v>23</v>
      </c>
      <c r="AH112" s="1">
        <v>30.9</v>
      </c>
      <c r="AI112" s="1">
        <v>55</v>
      </c>
      <c r="AJ112" s="1">
        <v>14.1</v>
      </c>
      <c r="AK112" s="1">
        <v>84.8</v>
      </c>
      <c r="AL112" s="1">
        <v>31.9</v>
      </c>
      <c r="AM112" s="1">
        <v>8</v>
      </c>
      <c r="AN112" s="1">
        <v>0</v>
      </c>
      <c r="AO112" s="1">
        <v>0</v>
      </c>
      <c r="AP112" s="1" t="s">
        <v>270</v>
      </c>
      <c r="AQ112" s="1" t="s">
        <v>267</v>
      </c>
      <c r="AR112" s="1" t="s">
        <v>268</v>
      </c>
    </row>
    <row r="113" spans="1:44" x14ac:dyDescent="0.2">
      <c r="A113" s="1" t="s">
        <v>115</v>
      </c>
      <c r="B113" s="1" t="s">
        <v>269</v>
      </c>
      <c r="C113" s="1">
        <v>-32.5</v>
      </c>
      <c r="D113" s="1">
        <v>478022.8</v>
      </c>
      <c r="E113" s="1">
        <v>5966804</v>
      </c>
      <c r="F113" s="1">
        <v>0</v>
      </c>
      <c r="G113" s="1">
        <v>-0.7</v>
      </c>
      <c r="H113" s="1">
        <v>0</v>
      </c>
      <c r="I113" s="1">
        <v>2</v>
      </c>
      <c r="J113" s="1">
        <v>0</v>
      </c>
      <c r="K113" s="1">
        <v>-61.9</v>
      </c>
      <c r="L113" s="1">
        <v>29.4</v>
      </c>
      <c r="M113" s="1">
        <v>1533.354</v>
      </c>
      <c r="N113" s="1">
        <v>87.3</v>
      </c>
      <c r="O113" s="1">
        <v>8</v>
      </c>
      <c r="P113" s="1">
        <v>10</v>
      </c>
      <c r="Q113" s="1">
        <v>2.87</v>
      </c>
      <c r="R113" s="1">
        <v>68</v>
      </c>
      <c r="S113" s="1">
        <v>110</v>
      </c>
      <c r="T113" s="1">
        <v>147</v>
      </c>
      <c r="U113" s="1">
        <v>1295.857</v>
      </c>
      <c r="V113" s="1">
        <v>522.81100000000004</v>
      </c>
      <c r="W113" s="1">
        <v>752.85199999999998</v>
      </c>
      <c r="X113" s="1">
        <v>132.18100000000001</v>
      </c>
      <c r="Y113" s="1">
        <v>4.9400000000000004</v>
      </c>
      <c r="Z113" s="1">
        <v>8.0150000000000006</v>
      </c>
      <c r="AA113" s="1">
        <v>21.7</v>
      </c>
      <c r="AB113" s="1">
        <v>290.5</v>
      </c>
      <c r="AC113" s="1">
        <v>12418</v>
      </c>
      <c r="AD113" s="1">
        <v>3031</v>
      </c>
      <c r="AE113" s="1">
        <v>268</v>
      </c>
      <c r="AF113" s="1">
        <v>19</v>
      </c>
      <c r="AG113" s="1">
        <v>19</v>
      </c>
      <c r="AH113" s="1">
        <v>35.4</v>
      </c>
      <c r="AI113" s="1">
        <v>51.3</v>
      </c>
      <c r="AJ113" s="1">
        <v>13.3</v>
      </c>
      <c r="AK113" s="1">
        <v>79.3</v>
      </c>
      <c r="AL113" s="1">
        <v>31.9</v>
      </c>
      <c r="AM113" s="1">
        <v>8</v>
      </c>
      <c r="AN113" s="1">
        <v>0</v>
      </c>
      <c r="AO113" s="1">
        <v>0</v>
      </c>
      <c r="AP113" s="1" t="s">
        <v>266</v>
      </c>
      <c r="AQ113" s="1" t="s">
        <v>267</v>
      </c>
      <c r="AR113" s="1" t="s">
        <v>268</v>
      </c>
    </row>
    <row r="114" spans="1:44" x14ac:dyDescent="0.2">
      <c r="A114" s="1" t="s">
        <v>89</v>
      </c>
      <c r="B114" s="1" t="s">
        <v>265</v>
      </c>
      <c r="C114" s="1">
        <v>-31</v>
      </c>
      <c r="D114" s="1">
        <v>477596.6</v>
      </c>
      <c r="E114" s="1">
        <v>5970570</v>
      </c>
      <c r="F114" s="1">
        <v>0</v>
      </c>
      <c r="G114" s="1">
        <v>-0.6</v>
      </c>
      <c r="H114" s="1">
        <v>0</v>
      </c>
      <c r="I114" s="1">
        <v>2</v>
      </c>
      <c r="J114" s="1">
        <v>0</v>
      </c>
      <c r="K114" s="1">
        <v>-63.7</v>
      </c>
      <c r="L114" s="1">
        <v>32.700000000000003</v>
      </c>
      <c r="M114" s="1">
        <v>1516.56</v>
      </c>
      <c r="N114" s="1">
        <v>89.1</v>
      </c>
      <c r="O114" s="1">
        <v>8</v>
      </c>
      <c r="P114" s="1">
        <v>10</v>
      </c>
      <c r="Q114" s="1">
        <v>3.21</v>
      </c>
      <c r="R114" s="1">
        <v>68</v>
      </c>
      <c r="S114" s="1">
        <v>110</v>
      </c>
      <c r="T114" s="1">
        <v>147</v>
      </c>
      <c r="U114" s="1">
        <v>1358.575</v>
      </c>
      <c r="V114" s="1">
        <v>611.78099999999995</v>
      </c>
      <c r="W114" s="1">
        <v>752.85199999999998</v>
      </c>
      <c r="X114" s="1">
        <v>132.18100000000001</v>
      </c>
      <c r="Y114" s="1">
        <v>4.9400000000000004</v>
      </c>
      <c r="Z114" s="1">
        <v>8.0150000000000006</v>
      </c>
      <c r="AA114" s="1">
        <v>21.7</v>
      </c>
      <c r="AB114" s="1">
        <v>290.5</v>
      </c>
      <c r="AC114" s="1">
        <v>12532</v>
      </c>
      <c r="AD114" s="1">
        <v>2939</v>
      </c>
      <c r="AE114" s="1">
        <v>268</v>
      </c>
      <c r="AF114" s="1">
        <v>23</v>
      </c>
      <c r="AG114" s="1">
        <v>23</v>
      </c>
      <c r="AH114" s="1">
        <v>35.200000000000003</v>
      </c>
      <c r="AI114" s="1">
        <v>52.7</v>
      </c>
      <c r="AJ114" s="1">
        <v>12.1</v>
      </c>
      <c r="AK114" s="1">
        <v>76.7</v>
      </c>
      <c r="AL114" s="1">
        <v>31.9</v>
      </c>
      <c r="AM114" s="1">
        <v>8</v>
      </c>
      <c r="AN114" s="1">
        <v>0</v>
      </c>
      <c r="AO114" s="1">
        <v>0</v>
      </c>
      <c r="AP114" s="1" t="s">
        <v>266</v>
      </c>
      <c r="AQ114" s="1" t="s">
        <v>267</v>
      </c>
      <c r="AR114" s="1" t="s">
        <v>268</v>
      </c>
    </row>
    <row r="115" spans="1:44" x14ac:dyDescent="0.2">
      <c r="A115" s="1" t="s">
        <v>76</v>
      </c>
      <c r="B115" s="1" t="s">
        <v>265</v>
      </c>
      <c r="C115" s="1">
        <v>-36.700000000000003</v>
      </c>
      <c r="D115" s="1">
        <v>454650.5</v>
      </c>
      <c r="E115" s="1">
        <v>5971468.7999999998</v>
      </c>
      <c r="F115" s="1">
        <v>0</v>
      </c>
      <c r="G115" s="1">
        <v>-0.7</v>
      </c>
      <c r="H115" s="1">
        <v>0</v>
      </c>
      <c r="I115" s="1">
        <v>2</v>
      </c>
      <c r="J115" s="1">
        <v>0</v>
      </c>
      <c r="K115" s="1">
        <v>-63.4</v>
      </c>
      <c r="L115" s="1">
        <v>26.7</v>
      </c>
      <c r="M115" s="1">
        <v>1630.3330000000001</v>
      </c>
      <c r="N115" s="1">
        <v>88.8</v>
      </c>
      <c r="O115" s="1">
        <v>8</v>
      </c>
      <c r="P115" s="1">
        <v>10</v>
      </c>
      <c r="Q115" s="1">
        <v>2.6</v>
      </c>
      <c r="R115" s="1">
        <v>68</v>
      </c>
      <c r="S115" s="1">
        <v>110</v>
      </c>
      <c r="T115" s="1">
        <v>147</v>
      </c>
      <c r="U115" s="1">
        <v>1295.442</v>
      </c>
      <c r="V115" s="1">
        <v>490.16399999999999</v>
      </c>
      <c r="W115" s="1">
        <v>752.85199999999998</v>
      </c>
      <c r="X115" s="1">
        <v>132.18100000000001</v>
      </c>
      <c r="Y115" s="1">
        <v>4.9400000000000004</v>
      </c>
      <c r="Z115" s="1">
        <v>8.0150000000000006</v>
      </c>
      <c r="AA115" s="1">
        <v>21.7</v>
      </c>
      <c r="AB115" s="1">
        <v>290.5</v>
      </c>
      <c r="AC115" s="1">
        <v>12510</v>
      </c>
      <c r="AD115" s="1">
        <v>3292</v>
      </c>
      <c r="AE115" s="1">
        <v>268</v>
      </c>
      <c r="AF115" s="1">
        <v>17</v>
      </c>
      <c r="AG115" s="1">
        <v>17</v>
      </c>
      <c r="AH115" s="1">
        <v>33.700000000000003</v>
      </c>
      <c r="AI115" s="1">
        <v>53</v>
      </c>
      <c r="AJ115" s="1">
        <v>13.3</v>
      </c>
      <c r="AK115" s="1">
        <v>82.7</v>
      </c>
      <c r="AL115" s="1">
        <v>31.9</v>
      </c>
      <c r="AM115" s="1">
        <v>8</v>
      </c>
      <c r="AN115" s="1">
        <v>0</v>
      </c>
      <c r="AO115" s="1">
        <v>0</v>
      </c>
      <c r="AP115" s="1" t="s">
        <v>266</v>
      </c>
      <c r="AQ115" s="1" t="s">
        <v>267</v>
      </c>
      <c r="AR115" s="1" t="s">
        <v>268</v>
      </c>
    </row>
    <row r="116" spans="1:44" x14ac:dyDescent="0.2">
      <c r="A116" s="1" t="s">
        <v>46</v>
      </c>
      <c r="B116" s="1" t="s">
        <v>265</v>
      </c>
      <c r="C116" s="1">
        <v>-36.799999999999997</v>
      </c>
      <c r="D116" s="1">
        <v>456375</v>
      </c>
      <c r="E116" s="1">
        <v>5971877.2000000002</v>
      </c>
      <c r="F116" s="1">
        <v>0</v>
      </c>
      <c r="G116" s="1">
        <v>-0.6</v>
      </c>
      <c r="H116" s="1">
        <v>0</v>
      </c>
      <c r="I116" s="1">
        <v>2</v>
      </c>
      <c r="J116" s="1">
        <v>0</v>
      </c>
      <c r="K116" s="1">
        <v>-65.3</v>
      </c>
      <c r="L116" s="1">
        <v>28.5</v>
      </c>
      <c r="M116" s="1">
        <v>1648.7059999999999</v>
      </c>
      <c r="N116" s="1">
        <v>90.7</v>
      </c>
      <c r="O116" s="1">
        <v>8</v>
      </c>
      <c r="P116" s="1">
        <v>10</v>
      </c>
      <c r="Q116" s="1">
        <v>2.79</v>
      </c>
      <c r="R116" s="1">
        <v>68</v>
      </c>
      <c r="S116" s="1">
        <v>110</v>
      </c>
      <c r="T116" s="1">
        <v>147</v>
      </c>
      <c r="U116" s="1">
        <v>1357.8589999999999</v>
      </c>
      <c r="V116" s="1">
        <v>521.58000000000004</v>
      </c>
      <c r="W116" s="1">
        <v>752.85199999999998</v>
      </c>
      <c r="X116" s="1">
        <v>132.18100000000001</v>
      </c>
      <c r="Y116" s="1">
        <v>4.9400000000000004</v>
      </c>
      <c r="Z116" s="1">
        <v>8.0150000000000006</v>
      </c>
      <c r="AA116" s="1">
        <v>21.7</v>
      </c>
      <c r="AB116" s="1">
        <v>290.5</v>
      </c>
      <c r="AC116" s="1">
        <v>12629</v>
      </c>
      <c r="AD116" s="1">
        <v>3298</v>
      </c>
      <c r="AE116" s="1">
        <v>268</v>
      </c>
      <c r="AF116" s="1">
        <v>17</v>
      </c>
      <c r="AG116" s="1">
        <v>17</v>
      </c>
      <c r="AH116" s="1">
        <v>33.200000000000003</v>
      </c>
      <c r="AI116" s="1">
        <v>53.8</v>
      </c>
      <c r="AJ116" s="1">
        <v>12.9</v>
      </c>
      <c r="AK116" s="1">
        <v>81.7</v>
      </c>
      <c r="AL116" s="1">
        <v>31.9</v>
      </c>
      <c r="AM116" s="1">
        <v>8</v>
      </c>
      <c r="AN116" s="1">
        <v>0</v>
      </c>
      <c r="AO116" s="1">
        <v>0</v>
      </c>
      <c r="AP116" s="1" t="s">
        <v>266</v>
      </c>
      <c r="AQ116" s="1" t="s">
        <v>267</v>
      </c>
      <c r="AR116" s="1" t="s">
        <v>268</v>
      </c>
    </row>
    <row r="117" spans="1:44" x14ac:dyDescent="0.2">
      <c r="A117" s="1" t="s">
        <v>63</v>
      </c>
      <c r="B117" s="1" t="s">
        <v>265</v>
      </c>
      <c r="C117" s="1">
        <v>-36.9</v>
      </c>
      <c r="D117" s="1">
        <v>459722</v>
      </c>
      <c r="E117" s="1">
        <v>5969686.7000000002</v>
      </c>
      <c r="F117" s="1">
        <v>0</v>
      </c>
      <c r="G117" s="1">
        <v>-0.7</v>
      </c>
      <c r="H117" s="1">
        <v>0</v>
      </c>
      <c r="I117" s="1">
        <v>2</v>
      </c>
      <c r="J117" s="1">
        <v>0</v>
      </c>
      <c r="K117" s="1">
        <v>-64.3</v>
      </c>
      <c r="L117" s="1">
        <v>27.4</v>
      </c>
      <c r="M117" s="1">
        <v>1647.576</v>
      </c>
      <c r="N117" s="1">
        <v>89.7</v>
      </c>
      <c r="O117" s="1">
        <v>8</v>
      </c>
      <c r="P117" s="1">
        <v>10</v>
      </c>
      <c r="Q117" s="1">
        <v>2.67</v>
      </c>
      <c r="R117" s="1">
        <v>68</v>
      </c>
      <c r="S117" s="1">
        <v>110</v>
      </c>
      <c r="T117" s="1">
        <v>147</v>
      </c>
      <c r="U117" s="1">
        <v>1357.759</v>
      </c>
      <c r="V117" s="1">
        <v>427.81</v>
      </c>
      <c r="W117" s="1">
        <v>752.85199999999998</v>
      </c>
      <c r="X117" s="1">
        <v>132.18100000000001</v>
      </c>
      <c r="Y117" s="1">
        <v>4.9400000000000004</v>
      </c>
      <c r="Z117" s="1">
        <v>8.0150000000000006</v>
      </c>
      <c r="AA117" s="1">
        <v>21.7</v>
      </c>
      <c r="AB117" s="1">
        <v>290.5</v>
      </c>
      <c r="AC117" s="1">
        <v>12566</v>
      </c>
      <c r="AD117" s="1">
        <v>3304</v>
      </c>
      <c r="AE117" s="1">
        <v>268</v>
      </c>
      <c r="AF117" s="1">
        <v>17</v>
      </c>
      <c r="AG117" s="1">
        <v>17</v>
      </c>
      <c r="AH117" s="1">
        <v>33.200000000000003</v>
      </c>
      <c r="AI117" s="1">
        <v>53.8</v>
      </c>
      <c r="AJ117" s="1">
        <v>12.9</v>
      </c>
      <c r="AK117" s="1">
        <v>82.6</v>
      </c>
      <c r="AL117" s="1">
        <v>31.9</v>
      </c>
      <c r="AM117" s="1">
        <v>8</v>
      </c>
      <c r="AN117" s="1">
        <v>0</v>
      </c>
      <c r="AO117" s="1">
        <v>0</v>
      </c>
      <c r="AP117" s="1" t="s">
        <v>266</v>
      </c>
      <c r="AQ117" s="1" t="s">
        <v>267</v>
      </c>
      <c r="AR117" s="1" t="s">
        <v>268</v>
      </c>
    </row>
    <row r="118" spans="1:44" x14ac:dyDescent="0.2">
      <c r="A118" s="1" t="s">
        <v>59</v>
      </c>
      <c r="B118" s="1" t="s">
        <v>265</v>
      </c>
      <c r="C118" s="1">
        <v>-37.9</v>
      </c>
      <c r="D118" s="1">
        <v>462427.36</v>
      </c>
      <c r="E118" s="1">
        <v>5968596.3700000001</v>
      </c>
      <c r="F118" s="1">
        <v>0</v>
      </c>
      <c r="G118" s="1">
        <v>-0.7</v>
      </c>
      <c r="H118" s="1">
        <v>0</v>
      </c>
      <c r="I118" s="1">
        <v>2</v>
      </c>
      <c r="J118" s="1">
        <v>0</v>
      </c>
      <c r="K118" s="1">
        <v>-66.8</v>
      </c>
      <c r="L118" s="1">
        <v>28.9</v>
      </c>
      <c r="M118" s="1">
        <v>1713.3889999999999</v>
      </c>
      <c r="N118" s="1">
        <v>92.2</v>
      </c>
      <c r="O118" s="1">
        <v>8</v>
      </c>
      <c r="P118" s="1">
        <v>10</v>
      </c>
      <c r="Q118" s="1">
        <v>2.82</v>
      </c>
      <c r="R118" s="1">
        <v>68</v>
      </c>
      <c r="S118" s="1">
        <v>110</v>
      </c>
      <c r="T118" s="1">
        <v>147</v>
      </c>
      <c r="U118" s="1">
        <v>1420.0119999999999</v>
      </c>
      <c r="V118" s="1">
        <v>421.96600000000001</v>
      </c>
      <c r="W118" s="1">
        <v>752.85199999999998</v>
      </c>
      <c r="X118" s="1">
        <v>132.18100000000001</v>
      </c>
      <c r="Y118" s="1">
        <v>4.9400000000000004</v>
      </c>
      <c r="Z118" s="1">
        <v>8.0150000000000006</v>
      </c>
      <c r="AA118" s="1">
        <v>21.7</v>
      </c>
      <c r="AB118" s="1">
        <v>290.5</v>
      </c>
      <c r="AC118" s="1">
        <v>12721</v>
      </c>
      <c r="AD118" s="1">
        <v>3366</v>
      </c>
      <c r="AE118" s="1">
        <v>268</v>
      </c>
      <c r="AF118" s="1">
        <v>19</v>
      </c>
      <c r="AG118" s="1">
        <v>19</v>
      </c>
      <c r="AH118" s="1">
        <v>32.1</v>
      </c>
      <c r="AI118" s="1">
        <v>55.3</v>
      </c>
      <c r="AJ118" s="1">
        <v>12.6</v>
      </c>
      <c r="AK118" s="1">
        <v>83.3</v>
      </c>
      <c r="AL118" s="1">
        <v>31.9</v>
      </c>
      <c r="AM118" s="1">
        <v>8</v>
      </c>
      <c r="AN118" s="1">
        <v>0</v>
      </c>
      <c r="AO118" s="1">
        <v>0</v>
      </c>
      <c r="AP118" s="1" t="s">
        <v>266</v>
      </c>
      <c r="AQ118" s="1" t="s">
        <v>267</v>
      </c>
      <c r="AR118" s="1" t="s">
        <v>268</v>
      </c>
    </row>
    <row r="119" spans="1:44" x14ac:dyDescent="0.2">
      <c r="A119" s="1" t="s">
        <v>164</v>
      </c>
      <c r="B119" s="1" t="s">
        <v>265</v>
      </c>
      <c r="C119" s="1">
        <v>-37.299999999999997</v>
      </c>
      <c r="D119" s="1">
        <v>466515.5</v>
      </c>
      <c r="E119" s="1">
        <v>5965378.0999999996</v>
      </c>
      <c r="F119" s="1">
        <v>0</v>
      </c>
      <c r="G119" s="1">
        <v>-0.6</v>
      </c>
      <c r="H119" s="1">
        <v>0</v>
      </c>
      <c r="I119" s="1">
        <v>2</v>
      </c>
      <c r="J119" s="1">
        <v>0</v>
      </c>
      <c r="K119" s="1">
        <v>-66.599999999999994</v>
      </c>
      <c r="L119" s="1">
        <v>29.3</v>
      </c>
      <c r="M119" s="1">
        <v>1738.27</v>
      </c>
      <c r="N119" s="1">
        <v>92</v>
      </c>
      <c r="O119" s="1">
        <v>8</v>
      </c>
      <c r="P119" s="1">
        <v>10</v>
      </c>
      <c r="Q119" s="1">
        <v>2.87</v>
      </c>
      <c r="R119" s="1">
        <v>68</v>
      </c>
      <c r="S119" s="1">
        <v>110</v>
      </c>
      <c r="T119" s="1">
        <v>147</v>
      </c>
      <c r="U119" s="1">
        <v>1357.4570000000001</v>
      </c>
      <c r="V119" s="1">
        <v>458.53399999999999</v>
      </c>
      <c r="W119" s="1">
        <v>752.85199999999998</v>
      </c>
      <c r="X119" s="1">
        <v>132.18100000000001</v>
      </c>
      <c r="Y119" s="1">
        <v>4.9400000000000004</v>
      </c>
      <c r="Z119" s="1">
        <v>8.0150000000000006</v>
      </c>
      <c r="AA119" s="1">
        <v>21.7</v>
      </c>
      <c r="AB119" s="1">
        <v>290.5</v>
      </c>
      <c r="AC119" s="1">
        <v>12708</v>
      </c>
      <c r="AD119" s="1">
        <v>3328</v>
      </c>
      <c r="AE119" s="1">
        <v>268</v>
      </c>
      <c r="AF119" s="1">
        <v>19</v>
      </c>
      <c r="AG119" s="1">
        <v>19</v>
      </c>
      <c r="AH119" s="1">
        <v>31.5</v>
      </c>
      <c r="AI119" s="1">
        <v>56.1</v>
      </c>
      <c r="AJ119" s="1">
        <v>12.4</v>
      </c>
      <c r="AK119" s="1">
        <v>84.6</v>
      </c>
      <c r="AL119" s="1">
        <v>31.9</v>
      </c>
      <c r="AM119" s="1">
        <v>8</v>
      </c>
      <c r="AN119" s="1">
        <v>0</v>
      </c>
      <c r="AO119" s="1">
        <v>0</v>
      </c>
      <c r="AP119" s="1" t="s">
        <v>266</v>
      </c>
      <c r="AQ119" s="1" t="s">
        <v>267</v>
      </c>
      <c r="AR119" s="1" t="s">
        <v>268</v>
      </c>
    </row>
    <row r="120" spans="1:44" x14ac:dyDescent="0.2">
      <c r="A120" s="1" t="s">
        <v>125</v>
      </c>
      <c r="B120" s="1" t="s">
        <v>265</v>
      </c>
      <c r="C120" s="1">
        <v>-33.9</v>
      </c>
      <c r="D120" s="1">
        <v>469527.2</v>
      </c>
      <c r="E120" s="1">
        <v>5963890.2999999998</v>
      </c>
      <c r="F120" s="1">
        <v>0</v>
      </c>
      <c r="G120" s="1">
        <v>-0.7</v>
      </c>
      <c r="H120" s="1">
        <v>0</v>
      </c>
      <c r="I120" s="1">
        <v>2</v>
      </c>
      <c r="J120" s="1">
        <v>0</v>
      </c>
      <c r="K120" s="1">
        <v>-61</v>
      </c>
      <c r="L120" s="1">
        <v>27.1</v>
      </c>
      <c r="M120" s="1">
        <v>1537.432</v>
      </c>
      <c r="N120" s="1">
        <v>86.4</v>
      </c>
      <c r="O120" s="1">
        <v>8</v>
      </c>
      <c r="P120" s="1">
        <v>10</v>
      </c>
      <c r="Q120" s="1">
        <v>2.64</v>
      </c>
      <c r="R120" s="1">
        <v>68</v>
      </c>
      <c r="S120" s="1">
        <v>110</v>
      </c>
      <c r="T120" s="1">
        <v>147</v>
      </c>
      <c r="U120" s="1">
        <v>1295.7059999999999</v>
      </c>
      <c r="V120" s="1">
        <v>553.096</v>
      </c>
      <c r="W120" s="1">
        <v>752.85199999999998</v>
      </c>
      <c r="X120" s="1">
        <v>132.18100000000001</v>
      </c>
      <c r="Y120" s="1">
        <v>4.9400000000000004</v>
      </c>
      <c r="Z120" s="1">
        <v>8.0150000000000006</v>
      </c>
      <c r="AA120" s="1">
        <v>21.7</v>
      </c>
      <c r="AB120" s="1">
        <v>290.5</v>
      </c>
      <c r="AC120" s="1">
        <v>12362</v>
      </c>
      <c r="AD120" s="1">
        <v>3118</v>
      </c>
      <c r="AE120" s="1">
        <v>268</v>
      </c>
      <c r="AF120" s="1">
        <v>17</v>
      </c>
      <c r="AG120" s="1">
        <v>17</v>
      </c>
      <c r="AH120" s="1">
        <v>35.5</v>
      </c>
      <c r="AI120" s="1">
        <v>50.8</v>
      </c>
      <c r="AJ120" s="1">
        <v>13.7</v>
      </c>
      <c r="AK120" s="1">
        <v>80.5</v>
      </c>
      <c r="AL120" s="1">
        <v>31.9</v>
      </c>
      <c r="AM120" s="1">
        <v>8</v>
      </c>
      <c r="AN120" s="1">
        <v>0</v>
      </c>
      <c r="AO120" s="1">
        <v>0</v>
      </c>
      <c r="AP120" s="1" t="s">
        <v>266</v>
      </c>
      <c r="AQ120" s="1" t="s">
        <v>267</v>
      </c>
      <c r="AR120" s="1" t="s">
        <v>268</v>
      </c>
    </row>
    <row r="121" spans="1:44" x14ac:dyDescent="0.2">
      <c r="A121" s="1" t="s">
        <v>128</v>
      </c>
      <c r="B121" s="1" t="s">
        <v>269</v>
      </c>
      <c r="C121" s="1">
        <v>-31.7</v>
      </c>
      <c r="D121" s="1">
        <v>472187.6</v>
      </c>
      <c r="E121" s="1">
        <v>5963006.7000000002</v>
      </c>
      <c r="F121" s="1">
        <v>0</v>
      </c>
      <c r="G121" s="1">
        <v>-0.7</v>
      </c>
      <c r="H121" s="1">
        <v>0</v>
      </c>
      <c r="I121" s="1">
        <v>2</v>
      </c>
      <c r="J121" s="1">
        <v>0</v>
      </c>
      <c r="K121" s="1">
        <v>-60.7</v>
      </c>
      <c r="L121" s="1">
        <v>29</v>
      </c>
      <c r="M121" s="1">
        <v>1486.835</v>
      </c>
      <c r="N121" s="1">
        <v>86.1</v>
      </c>
      <c r="O121" s="1">
        <v>8</v>
      </c>
      <c r="P121" s="1">
        <v>10</v>
      </c>
      <c r="Q121" s="1">
        <v>2.83</v>
      </c>
      <c r="R121" s="1">
        <v>68</v>
      </c>
      <c r="S121" s="1">
        <v>110</v>
      </c>
      <c r="T121" s="1">
        <v>147</v>
      </c>
      <c r="U121" s="1">
        <v>1296.0329999999999</v>
      </c>
      <c r="V121" s="1">
        <v>549.28899999999999</v>
      </c>
      <c r="W121" s="1">
        <v>752.85199999999998</v>
      </c>
      <c r="X121" s="1">
        <v>132.18100000000001</v>
      </c>
      <c r="Y121" s="1">
        <v>4.9400000000000004</v>
      </c>
      <c r="Z121" s="1">
        <v>8.0150000000000006</v>
      </c>
      <c r="AA121" s="1">
        <v>21.7</v>
      </c>
      <c r="AB121" s="1">
        <v>290.5</v>
      </c>
      <c r="AC121" s="1">
        <v>12344</v>
      </c>
      <c r="AD121" s="1">
        <v>2982</v>
      </c>
      <c r="AE121" s="1">
        <v>268</v>
      </c>
      <c r="AF121" s="1">
        <v>19</v>
      </c>
      <c r="AG121" s="1">
        <v>19</v>
      </c>
      <c r="AH121" s="1">
        <v>36.299999999999997</v>
      </c>
      <c r="AI121" s="1">
        <v>50.6</v>
      </c>
      <c r="AJ121" s="1">
        <v>13.1</v>
      </c>
      <c r="AK121" s="1">
        <v>78.099999999999994</v>
      </c>
      <c r="AL121" s="1">
        <v>31.9</v>
      </c>
      <c r="AM121" s="1">
        <v>8</v>
      </c>
      <c r="AN121" s="1">
        <v>0</v>
      </c>
      <c r="AO121" s="1">
        <v>0</v>
      </c>
      <c r="AP121" s="1" t="s">
        <v>266</v>
      </c>
      <c r="AQ121" s="1" t="s">
        <v>267</v>
      </c>
      <c r="AR121" s="1" t="s">
        <v>268</v>
      </c>
    </row>
    <row r="122" spans="1:44" x14ac:dyDescent="0.2">
      <c r="A122" s="1" t="s">
        <v>152</v>
      </c>
      <c r="B122" s="1" t="s">
        <v>265</v>
      </c>
      <c r="C122" s="1">
        <v>-30.5</v>
      </c>
      <c r="D122" s="1">
        <v>475684.7</v>
      </c>
      <c r="E122" s="1">
        <v>5960754</v>
      </c>
      <c r="F122" s="1">
        <v>0</v>
      </c>
      <c r="G122" s="1">
        <v>-0.7</v>
      </c>
      <c r="H122" s="1">
        <v>0</v>
      </c>
      <c r="I122" s="1">
        <v>2</v>
      </c>
      <c r="J122" s="1">
        <v>0</v>
      </c>
      <c r="K122" s="1">
        <v>-59.6</v>
      </c>
      <c r="L122" s="1">
        <v>29.1</v>
      </c>
      <c r="M122" s="1">
        <v>1447.1690000000001</v>
      </c>
      <c r="N122" s="1">
        <v>85</v>
      </c>
      <c r="O122" s="1">
        <v>8</v>
      </c>
      <c r="P122" s="1">
        <v>10</v>
      </c>
      <c r="Q122" s="1">
        <v>2.84</v>
      </c>
      <c r="R122" s="1">
        <v>64</v>
      </c>
      <c r="S122" s="1">
        <v>110</v>
      </c>
      <c r="T122" s="1">
        <v>147</v>
      </c>
      <c r="U122" s="1">
        <v>1296.1959999999999</v>
      </c>
      <c r="V122" s="1">
        <v>493.28</v>
      </c>
      <c r="W122" s="1">
        <v>752.85199999999998</v>
      </c>
      <c r="X122" s="1">
        <v>132.18100000000001</v>
      </c>
      <c r="Y122" s="1">
        <v>4.9400000000000004</v>
      </c>
      <c r="Z122" s="1">
        <v>8.0150000000000006</v>
      </c>
      <c r="AA122" s="1">
        <v>21.7</v>
      </c>
      <c r="AB122" s="1">
        <v>290.5</v>
      </c>
      <c r="AC122" s="1">
        <v>12276</v>
      </c>
      <c r="AD122" s="1">
        <v>2907</v>
      </c>
      <c r="AE122" s="1">
        <v>268</v>
      </c>
      <c r="AF122" s="1">
        <v>19</v>
      </c>
      <c r="AG122" s="1">
        <v>19</v>
      </c>
      <c r="AH122" s="1">
        <v>36.9</v>
      </c>
      <c r="AI122" s="1">
        <v>50.7</v>
      </c>
      <c r="AJ122" s="1">
        <v>12.4</v>
      </c>
      <c r="AK122" s="1">
        <v>77.099999999999994</v>
      </c>
      <c r="AL122" s="1">
        <v>31.9</v>
      </c>
      <c r="AM122" s="1">
        <v>8</v>
      </c>
      <c r="AN122" s="1">
        <v>0</v>
      </c>
      <c r="AO122" s="1">
        <v>0</v>
      </c>
      <c r="AP122" s="1" t="s">
        <v>266</v>
      </c>
      <c r="AQ122" s="1" t="s">
        <v>267</v>
      </c>
      <c r="AR122" s="1" t="s">
        <v>268</v>
      </c>
    </row>
    <row r="123" spans="1:44" x14ac:dyDescent="0.2">
      <c r="A123" s="1" t="s">
        <v>131</v>
      </c>
      <c r="B123" s="1" t="s">
        <v>269</v>
      </c>
      <c r="C123" s="1">
        <v>-31.1</v>
      </c>
      <c r="D123" s="1">
        <v>478130.7</v>
      </c>
      <c r="E123" s="1">
        <v>5960166.2999999998</v>
      </c>
      <c r="F123" s="1">
        <v>0</v>
      </c>
      <c r="G123" s="1">
        <v>-0.7</v>
      </c>
      <c r="H123" s="1">
        <v>0</v>
      </c>
      <c r="I123" s="1">
        <v>2</v>
      </c>
      <c r="J123" s="1">
        <v>0</v>
      </c>
      <c r="K123" s="1">
        <v>-60.6</v>
      </c>
      <c r="L123" s="1">
        <v>29.5</v>
      </c>
      <c r="M123" s="1">
        <v>1473.0129999999999</v>
      </c>
      <c r="N123" s="1">
        <v>86</v>
      </c>
      <c r="O123" s="1">
        <v>8</v>
      </c>
      <c r="P123" s="1">
        <v>10</v>
      </c>
      <c r="Q123" s="1">
        <v>2.88</v>
      </c>
      <c r="R123" s="1">
        <v>68</v>
      </c>
      <c r="S123" s="1">
        <v>110</v>
      </c>
      <c r="T123" s="1">
        <v>147</v>
      </c>
      <c r="U123" s="1">
        <v>1296.1210000000001</v>
      </c>
      <c r="V123" s="1">
        <v>549.351</v>
      </c>
      <c r="W123" s="1">
        <v>752.85199999999998</v>
      </c>
      <c r="X123" s="1">
        <v>132.18100000000001</v>
      </c>
      <c r="Y123" s="1">
        <v>4.9400000000000004</v>
      </c>
      <c r="Z123" s="1">
        <v>8.0150000000000006</v>
      </c>
      <c r="AA123" s="1">
        <v>21.7</v>
      </c>
      <c r="AB123" s="1">
        <v>290.5</v>
      </c>
      <c r="AC123" s="1">
        <v>12338</v>
      </c>
      <c r="AD123" s="1">
        <v>2945</v>
      </c>
      <c r="AE123" s="1">
        <v>268</v>
      </c>
      <c r="AF123" s="1">
        <v>19</v>
      </c>
      <c r="AG123" s="1">
        <v>19</v>
      </c>
      <c r="AH123" s="1">
        <v>36.4</v>
      </c>
      <c r="AI123" s="1">
        <v>50.9</v>
      </c>
      <c r="AJ123" s="1">
        <v>12.7</v>
      </c>
      <c r="AK123" s="1">
        <v>77.5</v>
      </c>
      <c r="AL123" s="1">
        <v>31.9</v>
      </c>
      <c r="AM123" s="1">
        <v>8</v>
      </c>
      <c r="AN123" s="1">
        <v>0</v>
      </c>
      <c r="AO123" s="1">
        <v>0</v>
      </c>
      <c r="AP123" s="1" t="s">
        <v>266</v>
      </c>
      <c r="AQ123" s="1" t="s">
        <v>267</v>
      </c>
      <c r="AR123" s="1" t="s">
        <v>268</v>
      </c>
    </row>
    <row r="124" spans="1:44" x14ac:dyDescent="0.2">
      <c r="A124" s="1" t="s">
        <v>71</v>
      </c>
      <c r="B124" s="1" t="s">
        <v>269</v>
      </c>
      <c r="C124" s="1">
        <v>-35.1</v>
      </c>
      <c r="D124" s="1">
        <v>476362</v>
      </c>
      <c r="E124" s="1">
        <v>5966280</v>
      </c>
      <c r="F124" s="1">
        <v>0</v>
      </c>
      <c r="G124" s="1">
        <v>-0.6</v>
      </c>
      <c r="H124" s="1">
        <v>0</v>
      </c>
      <c r="I124" s="1">
        <v>2</v>
      </c>
      <c r="J124" s="1">
        <v>0</v>
      </c>
      <c r="K124" s="1">
        <v>-64.599999999999994</v>
      </c>
      <c r="L124" s="1">
        <v>29.5</v>
      </c>
      <c r="M124" s="1">
        <v>1629.4739999999999</v>
      </c>
      <c r="N124" s="1">
        <v>90</v>
      </c>
      <c r="O124" s="1">
        <v>8</v>
      </c>
      <c r="P124" s="1">
        <v>10</v>
      </c>
      <c r="Q124" s="1">
        <v>2.89</v>
      </c>
      <c r="R124" s="1">
        <v>68</v>
      </c>
      <c r="S124" s="1">
        <v>110</v>
      </c>
      <c r="T124" s="1">
        <v>147</v>
      </c>
      <c r="U124" s="1">
        <v>1357.9090000000001</v>
      </c>
      <c r="V124" s="1">
        <v>484.38299999999998</v>
      </c>
      <c r="W124" s="1">
        <v>752.85199999999998</v>
      </c>
      <c r="X124" s="1">
        <v>132.18100000000001</v>
      </c>
      <c r="Y124" s="1">
        <v>4.9400000000000004</v>
      </c>
      <c r="Z124" s="1">
        <v>8.0150000000000006</v>
      </c>
      <c r="AA124" s="1">
        <v>21.7</v>
      </c>
      <c r="AB124" s="1">
        <v>290.5</v>
      </c>
      <c r="AC124" s="1">
        <v>12585</v>
      </c>
      <c r="AD124" s="1">
        <v>3192</v>
      </c>
      <c r="AE124" s="1">
        <v>268</v>
      </c>
      <c r="AF124" s="1">
        <v>19</v>
      </c>
      <c r="AG124" s="1">
        <v>19</v>
      </c>
      <c r="AH124" s="1">
        <v>33.6</v>
      </c>
      <c r="AI124" s="1">
        <v>53.2</v>
      </c>
      <c r="AJ124" s="1">
        <v>13.2</v>
      </c>
      <c r="AK124" s="1">
        <v>81.5</v>
      </c>
      <c r="AL124" s="1">
        <v>31.9</v>
      </c>
      <c r="AM124" s="1">
        <v>8</v>
      </c>
      <c r="AN124" s="1">
        <v>0</v>
      </c>
      <c r="AO124" s="1">
        <v>0</v>
      </c>
      <c r="AP124" s="1" t="s">
        <v>266</v>
      </c>
      <c r="AQ124" s="1" t="s">
        <v>267</v>
      </c>
      <c r="AR124" s="1" t="s">
        <v>268</v>
      </c>
    </row>
    <row r="125" spans="1:44" x14ac:dyDescent="0.2">
      <c r="A125" s="1" t="s">
        <v>121</v>
      </c>
      <c r="B125" s="1" t="s">
        <v>265</v>
      </c>
      <c r="C125" s="1">
        <v>-32.1</v>
      </c>
      <c r="D125" s="1">
        <v>477024.6</v>
      </c>
      <c r="E125" s="1">
        <v>5968408</v>
      </c>
      <c r="F125" s="1">
        <v>0</v>
      </c>
      <c r="G125" s="1">
        <v>-0.7</v>
      </c>
      <c r="H125" s="1">
        <v>0</v>
      </c>
      <c r="I125" s="1">
        <v>2</v>
      </c>
      <c r="J125" s="1">
        <v>0</v>
      </c>
      <c r="K125" s="1">
        <v>-61.5</v>
      </c>
      <c r="L125" s="1">
        <v>29.4</v>
      </c>
      <c r="M125" s="1">
        <v>1514.53</v>
      </c>
      <c r="N125" s="1">
        <v>86.9</v>
      </c>
      <c r="O125" s="1">
        <v>8</v>
      </c>
      <c r="P125" s="1">
        <v>10</v>
      </c>
      <c r="Q125" s="1">
        <v>2.87</v>
      </c>
      <c r="R125" s="1">
        <v>68</v>
      </c>
      <c r="S125" s="1">
        <v>110</v>
      </c>
      <c r="T125" s="1">
        <v>147</v>
      </c>
      <c r="U125" s="1">
        <v>1295.9449999999999</v>
      </c>
      <c r="V125" s="1">
        <v>524.57100000000003</v>
      </c>
      <c r="W125" s="1">
        <v>752.85199999999998</v>
      </c>
      <c r="X125" s="1">
        <v>132.18100000000001</v>
      </c>
      <c r="Y125" s="1">
        <v>4.9400000000000004</v>
      </c>
      <c r="Z125" s="1">
        <v>8.0150000000000006</v>
      </c>
      <c r="AA125" s="1">
        <v>21.7</v>
      </c>
      <c r="AB125" s="1">
        <v>290.5</v>
      </c>
      <c r="AC125" s="1">
        <v>12394</v>
      </c>
      <c r="AD125" s="1">
        <v>3006</v>
      </c>
      <c r="AE125" s="1">
        <v>268</v>
      </c>
      <c r="AF125" s="1">
        <v>19</v>
      </c>
      <c r="AG125" s="1">
        <v>19</v>
      </c>
      <c r="AH125" s="1">
        <v>35.799999999999997</v>
      </c>
      <c r="AI125" s="1">
        <v>51.3</v>
      </c>
      <c r="AJ125" s="1">
        <v>13</v>
      </c>
      <c r="AK125" s="1">
        <v>78.8</v>
      </c>
      <c r="AL125" s="1">
        <v>31.9</v>
      </c>
      <c r="AM125" s="1">
        <v>8</v>
      </c>
      <c r="AN125" s="1">
        <v>0</v>
      </c>
      <c r="AO125" s="1">
        <v>0</v>
      </c>
      <c r="AP125" s="1" t="s">
        <v>266</v>
      </c>
      <c r="AQ125" s="1" t="s">
        <v>267</v>
      </c>
      <c r="AR125" s="1" t="s">
        <v>268</v>
      </c>
    </row>
    <row r="126" spans="1:44" x14ac:dyDescent="0.2">
      <c r="A126" s="1" t="s">
        <v>33</v>
      </c>
      <c r="B126" s="1" t="s">
        <v>271</v>
      </c>
      <c r="C126" s="1">
        <v>-38.200000000000003</v>
      </c>
      <c r="D126" s="1">
        <v>476683.7</v>
      </c>
      <c r="E126" s="1">
        <v>5972033.2999999998</v>
      </c>
      <c r="F126" s="1">
        <v>0</v>
      </c>
      <c r="G126" s="1">
        <v>-0.6</v>
      </c>
      <c r="H126" s="1">
        <v>0</v>
      </c>
      <c r="I126" s="1">
        <v>2</v>
      </c>
      <c r="J126" s="1">
        <v>0</v>
      </c>
      <c r="K126" s="1">
        <v>-66.2</v>
      </c>
      <c r="L126" s="1">
        <v>28</v>
      </c>
      <c r="M126" s="1">
        <v>1711.3689999999999</v>
      </c>
      <c r="N126" s="1">
        <v>91.6</v>
      </c>
      <c r="O126" s="1">
        <v>8</v>
      </c>
      <c r="P126" s="1">
        <v>10</v>
      </c>
      <c r="Q126" s="1">
        <v>2.74</v>
      </c>
      <c r="R126" s="1">
        <v>68</v>
      </c>
      <c r="S126" s="1">
        <v>110</v>
      </c>
      <c r="T126" s="1">
        <v>147</v>
      </c>
      <c r="U126" s="1">
        <v>1357.57</v>
      </c>
      <c r="V126" s="1">
        <v>396.85899999999998</v>
      </c>
      <c r="W126" s="1">
        <v>752.85199999999998</v>
      </c>
      <c r="X126" s="1">
        <v>132.18100000000001</v>
      </c>
      <c r="Y126" s="1">
        <v>4.9400000000000004</v>
      </c>
      <c r="Z126" s="1">
        <v>8.0150000000000006</v>
      </c>
      <c r="AA126" s="1">
        <v>21.7</v>
      </c>
      <c r="AB126" s="1">
        <v>290.5</v>
      </c>
      <c r="AC126" s="1">
        <v>12684</v>
      </c>
      <c r="AD126" s="1">
        <v>3384</v>
      </c>
      <c r="AE126" s="1">
        <v>268</v>
      </c>
      <c r="AF126" s="1">
        <v>17</v>
      </c>
      <c r="AG126" s="1">
        <v>17</v>
      </c>
      <c r="AH126" s="1">
        <v>32.1</v>
      </c>
      <c r="AI126" s="1">
        <v>55.2</v>
      </c>
      <c r="AJ126" s="1">
        <v>12.7</v>
      </c>
      <c r="AK126" s="1">
        <v>83.7</v>
      </c>
      <c r="AL126" s="1">
        <v>31.9</v>
      </c>
      <c r="AM126" s="1">
        <v>8</v>
      </c>
      <c r="AN126" s="1">
        <v>0</v>
      </c>
      <c r="AO126" s="1">
        <v>0</v>
      </c>
      <c r="AP126" s="1" t="s">
        <v>266</v>
      </c>
      <c r="AQ126" s="1" t="s">
        <v>267</v>
      </c>
      <c r="AR126" s="1" t="s">
        <v>268</v>
      </c>
    </row>
    <row r="127" spans="1:44" x14ac:dyDescent="0.2">
      <c r="A127" s="1" t="s">
        <v>102</v>
      </c>
      <c r="B127" s="1" t="s">
        <v>265</v>
      </c>
      <c r="C127" s="1">
        <v>-36.700000000000003</v>
      </c>
      <c r="D127" s="1">
        <v>453928.5</v>
      </c>
      <c r="E127" s="1">
        <v>5972617.7999999998</v>
      </c>
      <c r="F127" s="1">
        <v>0</v>
      </c>
      <c r="G127" s="1">
        <v>-0.7</v>
      </c>
      <c r="H127" s="1">
        <v>0</v>
      </c>
      <c r="I127" s="1">
        <v>2</v>
      </c>
      <c r="J127" s="1">
        <v>0</v>
      </c>
      <c r="K127" s="1">
        <v>-62</v>
      </c>
      <c r="L127" s="1">
        <v>25.3</v>
      </c>
      <c r="M127" s="1">
        <v>1594.3620000000001</v>
      </c>
      <c r="N127" s="1">
        <v>87.4</v>
      </c>
      <c r="O127" s="1">
        <v>8</v>
      </c>
      <c r="P127" s="1">
        <v>10</v>
      </c>
      <c r="Q127" s="1">
        <v>2.46</v>
      </c>
      <c r="R127" s="1">
        <v>68</v>
      </c>
      <c r="S127" s="1">
        <v>110</v>
      </c>
      <c r="T127" s="1">
        <v>147</v>
      </c>
      <c r="U127" s="1">
        <v>1295.4670000000001</v>
      </c>
      <c r="V127" s="1">
        <v>521.10199999999998</v>
      </c>
      <c r="W127" s="1">
        <v>752.85199999999998</v>
      </c>
      <c r="X127" s="1">
        <v>132.18100000000001</v>
      </c>
      <c r="Y127" s="1">
        <v>4.9400000000000004</v>
      </c>
      <c r="Z127" s="1">
        <v>8.0150000000000006</v>
      </c>
      <c r="AA127" s="1">
        <v>21.7</v>
      </c>
      <c r="AB127" s="1">
        <v>290.5</v>
      </c>
      <c r="AC127" s="1">
        <v>12423</v>
      </c>
      <c r="AD127" s="1">
        <v>3292</v>
      </c>
      <c r="AE127" s="1">
        <v>268</v>
      </c>
      <c r="AF127" s="1">
        <v>15</v>
      </c>
      <c r="AG127" s="1">
        <v>15</v>
      </c>
      <c r="AH127" s="1">
        <v>34.4</v>
      </c>
      <c r="AI127" s="1">
        <v>52.2</v>
      </c>
      <c r="AJ127" s="1">
        <v>13.5</v>
      </c>
      <c r="AK127" s="1">
        <v>82.3</v>
      </c>
      <c r="AL127" s="1">
        <v>31.9</v>
      </c>
      <c r="AM127" s="1">
        <v>8</v>
      </c>
      <c r="AN127" s="1">
        <v>0</v>
      </c>
      <c r="AO127" s="1">
        <v>0</v>
      </c>
      <c r="AP127" s="1" t="s">
        <v>266</v>
      </c>
      <c r="AQ127" s="1" t="s">
        <v>267</v>
      </c>
      <c r="AR127" s="1" t="s">
        <v>268</v>
      </c>
    </row>
    <row r="128" spans="1:44" x14ac:dyDescent="0.2">
      <c r="A128" s="1" t="s">
        <v>114</v>
      </c>
      <c r="B128" s="1" t="s">
        <v>265</v>
      </c>
      <c r="C128" s="1">
        <v>-36.799999999999997</v>
      </c>
      <c r="D128" s="1">
        <v>455517.1</v>
      </c>
      <c r="E128" s="1">
        <v>5973255.7000000002</v>
      </c>
      <c r="F128" s="1">
        <v>0</v>
      </c>
      <c r="G128" s="1">
        <v>-0.6</v>
      </c>
      <c r="H128" s="1">
        <v>0</v>
      </c>
      <c r="I128" s="1">
        <v>2</v>
      </c>
      <c r="J128" s="1">
        <v>0</v>
      </c>
      <c r="K128" s="1">
        <v>-61.1</v>
      </c>
      <c r="L128" s="1">
        <v>24.3</v>
      </c>
      <c r="M128" s="1">
        <v>1572.6320000000001</v>
      </c>
      <c r="N128" s="1">
        <v>86.5</v>
      </c>
      <c r="O128" s="1">
        <v>8</v>
      </c>
      <c r="P128" s="1">
        <v>10</v>
      </c>
      <c r="Q128" s="1">
        <v>2.37</v>
      </c>
      <c r="R128" s="1">
        <v>68</v>
      </c>
      <c r="S128" s="1">
        <v>110</v>
      </c>
      <c r="T128" s="1">
        <v>147</v>
      </c>
      <c r="U128" s="1">
        <v>1295.492</v>
      </c>
      <c r="V128" s="1">
        <v>490.12599999999998</v>
      </c>
      <c r="W128" s="1">
        <v>752.85199999999998</v>
      </c>
      <c r="X128" s="1">
        <v>132.18100000000001</v>
      </c>
      <c r="Y128" s="1">
        <v>4.9400000000000004</v>
      </c>
      <c r="Z128" s="1">
        <v>8.0150000000000006</v>
      </c>
      <c r="AA128" s="1">
        <v>21.7</v>
      </c>
      <c r="AB128" s="1">
        <v>290.5</v>
      </c>
      <c r="AC128" s="1">
        <v>12367</v>
      </c>
      <c r="AD128" s="1">
        <v>3298</v>
      </c>
      <c r="AE128" s="1">
        <v>268</v>
      </c>
      <c r="AF128" s="1">
        <v>15</v>
      </c>
      <c r="AG128" s="1">
        <v>15</v>
      </c>
      <c r="AH128" s="1">
        <v>34.799999999999997</v>
      </c>
      <c r="AI128" s="1">
        <v>51.6</v>
      </c>
      <c r="AJ128" s="1">
        <v>13.6</v>
      </c>
      <c r="AK128" s="1">
        <v>82.1</v>
      </c>
      <c r="AL128" s="1">
        <v>31.9</v>
      </c>
      <c r="AM128" s="1">
        <v>8</v>
      </c>
      <c r="AN128" s="1">
        <v>0</v>
      </c>
      <c r="AO128" s="1">
        <v>0</v>
      </c>
      <c r="AP128" s="1" t="s">
        <v>266</v>
      </c>
      <c r="AQ128" s="1" t="s">
        <v>267</v>
      </c>
      <c r="AR128" s="1" t="s">
        <v>268</v>
      </c>
    </row>
    <row r="129" spans="1:44" x14ac:dyDescent="0.2">
      <c r="A129" s="1" t="s">
        <v>200</v>
      </c>
      <c r="B129" s="1" t="s">
        <v>265</v>
      </c>
      <c r="C129" s="1">
        <v>-44.5</v>
      </c>
      <c r="D129" s="1">
        <v>458990</v>
      </c>
      <c r="E129" s="1">
        <v>5970860</v>
      </c>
      <c r="F129" s="1">
        <v>0</v>
      </c>
      <c r="G129" s="1">
        <v>-0.6</v>
      </c>
      <c r="H129" s="1">
        <v>0</v>
      </c>
      <c r="I129" s="1">
        <v>2</v>
      </c>
      <c r="J129" s="1">
        <v>0</v>
      </c>
      <c r="K129" s="1">
        <v>-77.7</v>
      </c>
      <c r="L129" s="1">
        <v>33.200000000000003</v>
      </c>
      <c r="M129" s="1">
        <v>2086.02</v>
      </c>
      <c r="N129" s="1">
        <v>103.1</v>
      </c>
      <c r="O129" s="1">
        <v>8</v>
      </c>
      <c r="P129" s="1">
        <v>11</v>
      </c>
      <c r="Q129" s="1">
        <v>2.9636</v>
      </c>
      <c r="R129" s="1">
        <v>72</v>
      </c>
      <c r="S129" s="1">
        <v>117</v>
      </c>
      <c r="T129" s="1">
        <v>149</v>
      </c>
      <c r="U129" s="1">
        <v>1643.895</v>
      </c>
      <c r="V129" s="1">
        <v>369.72800000000001</v>
      </c>
      <c r="W129" s="1">
        <v>752.85199999999998</v>
      </c>
      <c r="X129" s="1">
        <v>132.18100000000001</v>
      </c>
      <c r="Y129" s="1">
        <v>4.9400000000000004</v>
      </c>
      <c r="Z129" s="1">
        <v>8.0150000000000006</v>
      </c>
      <c r="AA129" s="1">
        <v>21.7</v>
      </c>
      <c r="AB129" s="1">
        <v>290.5</v>
      </c>
      <c r="AC129" s="1">
        <v>13758</v>
      </c>
      <c r="AD129" s="1">
        <v>3943</v>
      </c>
      <c r="AE129" s="1">
        <v>268</v>
      </c>
      <c r="AF129" s="1">
        <v>23</v>
      </c>
      <c r="AG129" s="1">
        <v>23</v>
      </c>
      <c r="AH129" s="1">
        <v>28.9</v>
      </c>
      <c r="AI129" s="1">
        <v>55.3</v>
      </c>
      <c r="AJ129" s="1">
        <v>15.7</v>
      </c>
      <c r="AK129" s="1">
        <v>85.4</v>
      </c>
      <c r="AL129" s="1">
        <v>31.9</v>
      </c>
      <c r="AM129" s="1">
        <v>8</v>
      </c>
      <c r="AN129" s="1">
        <v>0</v>
      </c>
      <c r="AO129" s="1">
        <v>0</v>
      </c>
      <c r="AP129" s="1" t="s">
        <v>270</v>
      </c>
      <c r="AQ129" s="1" t="s">
        <v>267</v>
      </c>
      <c r="AR129" s="1" t="s">
        <v>268</v>
      </c>
    </row>
    <row r="130" spans="1:44" x14ac:dyDescent="0.2">
      <c r="A130" s="1" t="s">
        <v>27</v>
      </c>
      <c r="B130" s="1" t="s">
        <v>265</v>
      </c>
      <c r="C130" s="1">
        <v>-38.299999999999997</v>
      </c>
      <c r="D130" s="1">
        <v>461822.5</v>
      </c>
      <c r="E130" s="1">
        <v>5969590</v>
      </c>
      <c r="F130" s="1">
        <v>0</v>
      </c>
      <c r="G130" s="1">
        <v>-0.8</v>
      </c>
      <c r="H130" s="1">
        <v>0</v>
      </c>
      <c r="I130" s="1">
        <v>2</v>
      </c>
      <c r="J130" s="1">
        <v>0</v>
      </c>
      <c r="K130" s="1">
        <v>-66.400000000000006</v>
      </c>
      <c r="L130" s="1">
        <v>28.1</v>
      </c>
      <c r="M130" s="1">
        <v>1730.9949999999999</v>
      </c>
      <c r="N130" s="1">
        <v>91.8</v>
      </c>
      <c r="O130" s="1">
        <v>8</v>
      </c>
      <c r="P130" s="1">
        <v>10</v>
      </c>
      <c r="Q130" s="1">
        <v>2.73</v>
      </c>
      <c r="R130" s="1">
        <v>68</v>
      </c>
      <c r="S130" s="1">
        <v>110</v>
      </c>
      <c r="T130" s="1">
        <v>147</v>
      </c>
      <c r="U130" s="1">
        <v>1357.482</v>
      </c>
      <c r="V130" s="1">
        <v>458.54700000000003</v>
      </c>
      <c r="W130" s="1">
        <v>752.85199999999998</v>
      </c>
      <c r="X130" s="1">
        <v>132.18100000000001</v>
      </c>
      <c r="Y130" s="1">
        <v>4.9400000000000004</v>
      </c>
      <c r="Z130" s="1">
        <v>8.0150000000000006</v>
      </c>
      <c r="AA130" s="1">
        <v>21.7</v>
      </c>
      <c r="AB130" s="1">
        <v>290.5</v>
      </c>
      <c r="AC130" s="1">
        <v>12696</v>
      </c>
      <c r="AD130" s="1">
        <v>3391</v>
      </c>
      <c r="AE130" s="1">
        <v>268</v>
      </c>
      <c r="AF130" s="1">
        <v>17</v>
      </c>
      <c r="AG130" s="1">
        <v>17</v>
      </c>
      <c r="AH130" s="1">
        <v>31.6</v>
      </c>
      <c r="AI130" s="1">
        <v>56.1</v>
      </c>
      <c r="AJ130" s="1">
        <v>12.2</v>
      </c>
      <c r="AK130" s="1">
        <v>84.4</v>
      </c>
      <c r="AL130" s="1">
        <v>31.9</v>
      </c>
      <c r="AM130" s="1">
        <v>8</v>
      </c>
      <c r="AN130" s="1">
        <v>0</v>
      </c>
      <c r="AO130" s="1">
        <v>0</v>
      </c>
      <c r="AP130" s="1" t="s">
        <v>266</v>
      </c>
      <c r="AQ130" s="1" t="s">
        <v>267</v>
      </c>
      <c r="AR130" s="1" t="s">
        <v>268</v>
      </c>
    </row>
    <row r="131" spans="1:44" x14ac:dyDescent="0.2">
      <c r="A131" s="1" t="s">
        <v>208</v>
      </c>
      <c r="B131" s="1" t="s">
        <v>265</v>
      </c>
      <c r="C131" s="1">
        <v>-42.9</v>
      </c>
      <c r="D131" s="1">
        <v>465692.8</v>
      </c>
      <c r="E131" s="1">
        <v>5966699.0999999996</v>
      </c>
      <c r="F131" s="1">
        <v>0</v>
      </c>
      <c r="G131" s="1">
        <v>-0.6</v>
      </c>
      <c r="H131" s="1">
        <v>0</v>
      </c>
      <c r="I131" s="1">
        <v>2</v>
      </c>
      <c r="J131" s="1">
        <v>0</v>
      </c>
      <c r="K131" s="1">
        <v>-73.7</v>
      </c>
      <c r="L131" s="1">
        <v>30.8</v>
      </c>
      <c r="M131" s="1">
        <v>1939.713</v>
      </c>
      <c r="N131" s="1">
        <v>99.1</v>
      </c>
      <c r="O131" s="1">
        <v>8</v>
      </c>
      <c r="P131" s="1">
        <v>11</v>
      </c>
      <c r="Q131" s="1">
        <v>2.7454999999999998</v>
      </c>
      <c r="R131" s="1">
        <v>70</v>
      </c>
      <c r="S131" s="1">
        <v>117</v>
      </c>
      <c r="T131" s="1">
        <v>149</v>
      </c>
      <c r="U131" s="1">
        <v>1575.71</v>
      </c>
      <c r="V131" s="1">
        <v>404.37299999999999</v>
      </c>
      <c r="W131" s="1">
        <v>752.85199999999998</v>
      </c>
      <c r="X131" s="1">
        <v>132.18100000000001</v>
      </c>
      <c r="Y131" s="1">
        <v>4.9400000000000004</v>
      </c>
      <c r="Z131" s="1">
        <v>8.0150000000000006</v>
      </c>
      <c r="AA131" s="1">
        <v>21.7</v>
      </c>
      <c r="AB131" s="1">
        <v>290.5</v>
      </c>
      <c r="AC131" s="1">
        <v>13485</v>
      </c>
      <c r="AD131" s="1">
        <v>3834</v>
      </c>
      <c r="AE131" s="1">
        <v>268</v>
      </c>
      <c r="AF131" s="1">
        <v>21</v>
      </c>
      <c r="AG131" s="1">
        <v>21</v>
      </c>
      <c r="AH131" s="1">
        <v>29.9</v>
      </c>
      <c r="AI131" s="1">
        <v>53.8</v>
      </c>
      <c r="AJ131" s="1">
        <v>16.3</v>
      </c>
      <c r="AK131" s="1">
        <v>82.9</v>
      </c>
      <c r="AL131" s="1">
        <v>31.9</v>
      </c>
      <c r="AM131" s="1">
        <v>8</v>
      </c>
      <c r="AN131" s="1">
        <v>0</v>
      </c>
      <c r="AO131" s="1">
        <v>0</v>
      </c>
      <c r="AP131" s="1" t="s">
        <v>270</v>
      </c>
      <c r="AQ131" s="1" t="s">
        <v>267</v>
      </c>
      <c r="AR131" s="1" t="s">
        <v>268</v>
      </c>
    </row>
    <row r="132" spans="1:44" x14ac:dyDescent="0.2">
      <c r="A132" s="1" t="s">
        <v>52</v>
      </c>
      <c r="B132" s="1" t="s">
        <v>265</v>
      </c>
      <c r="C132" s="1">
        <v>-36.799999999999997</v>
      </c>
      <c r="D132" s="1">
        <v>468654.9</v>
      </c>
      <c r="E132" s="1">
        <v>5965289.4000000004</v>
      </c>
      <c r="F132" s="1">
        <v>0</v>
      </c>
      <c r="G132" s="1">
        <v>-0.7</v>
      </c>
      <c r="H132" s="1">
        <v>0</v>
      </c>
      <c r="I132" s="1">
        <v>2</v>
      </c>
      <c r="J132" s="1">
        <v>0</v>
      </c>
      <c r="K132" s="1">
        <v>-64.900000000000006</v>
      </c>
      <c r="L132" s="1">
        <v>28.1</v>
      </c>
      <c r="M132" s="1">
        <v>1673.1289999999999</v>
      </c>
      <c r="N132" s="1">
        <v>90.3</v>
      </c>
      <c r="O132" s="1">
        <v>8</v>
      </c>
      <c r="P132" s="1">
        <v>10</v>
      </c>
      <c r="Q132" s="1">
        <v>2.74</v>
      </c>
      <c r="R132" s="1">
        <v>68</v>
      </c>
      <c r="S132" s="1">
        <v>110</v>
      </c>
      <c r="T132" s="1">
        <v>147</v>
      </c>
      <c r="U132" s="1">
        <v>1357.6579999999999</v>
      </c>
      <c r="V132" s="1">
        <v>421.99099999999999</v>
      </c>
      <c r="W132" s="1">
        <v>752.85199999999998</v>
      </c>
      <c r="X132" s="1">
        <v>132.18100000000001</v>
      </c>
      <c r="Y132" s="1">
        <v>4.9400000000000004</v>
      </c>
      <c r="Z132" s="1">
        <v>8.0150000000000006</v>
      </c>
      <c r="AA132" s="1">
        <v>21.7</v>
      </c>
      <c r="AB132" s="1">
        <v>290.5</v>
      </c>
      <c r="AC132" s="1">
        <v>12603</v>
      </c>
      <c r="AD132" s="1">
        <v>3298</v>
      </c>
      <c r="AE132" s="1">
        <v>268</v>
      </c>
      <c r="AF132" s="1">
        <v>17</v>
      </c>
      <c r="AG132" s="1">
        <v>17</v>
      </c>
      <c r="AH132" s="1">
        <v>32.700000000000003</v>
      </c>
      <c r="AI132" s="1">
        <v>54.3</v>
      </c>
      <c r="AJ132" s="1">
        <v>13</v>
      </c>
      <c r="AK132" s="1">
        <v>83.2</v>
      </c>
      <c r="AL132" s="1">
        <v>31.9</v>
      </c>
      <c r="AM132" s="1">
        <v>8</v>
      </c>
      <c r="AN132" s="1">
        <v>0</v>
      </c>
      <c r="AO132" s="1">
        <v>0</v>
      </c>
      <c r="AP132" s="1" t="s">
        <v>266</v>
      </c>
      <c r="AQ132" s="1" t="s">
        <v>267</v>
      </c>
      <c r="AR132" s="1" t="s">
        <v>268</v>
      </c>
    </row>
    <row r="133" spans="1:44" x14ac:dyDescent="0.2">
      <c r="A133" s="1" t="s">
        <v>62</v>
      </c>
      <c r="B133" s="1" t="s">
        <v>265</v>
      </c>
      <c r="C133" s="1">
        <v>-36.1</v>
      </c>
      <c r="D133" s="1">
        <v>471258.7</v>
      </c>
      <c r="E133" s="1">
        <v>5964498.4000000004</v>
      </c>
      <c r="F133" s="1">
        <v>0</v>
      </c>
      <c r="G133" s="1">
        <v>-0.6</v>
      </c>
      <c r="H133" s="1">
        <v>0</v>
      </c>
      <c r="I133" s="1">
        <v>2</v>
      </c>
      <c r="J133" s="1">
        <v>0</v>
      </c>
      <c r="K133" s="1">
        <v>-64.599999999999994</v>
      </c>
      <c r="L133" s="1">
        <v>28.5</v>
      </c>
      <c r="M133" s="1">
        <v>1658.1089999999999</v>
      </c>
      <c r="N133" s="1">
        <v>90</v>
      </c>
      <c r="O133" s="1">
        <v>8</v>
      </c>
      <c r="P133" s="1">
        <v>10</v>
      </c>
      <c r="Q133" s="1">
        <v>2.79</v>
      </c>
      <c r="R133" s="1">
        <v>68</v>
      </c>
      <c r="S133" s="1">
        <v>110</v>
      </c>
      <c r="T133" s="1">
        <v>147</v>
      </c>
      <c r="U133" s="1">
        <v>1357.721</v>
      </c>
      <c r="V133" s="1">
        <v>452.892</v>
      </c>
      <c r="W133" s="1">
        <v>752.85199999999998</v>
      </c>
      <c r="X133" s="1">
        <v>132.18100000000001</v>
      </c>
      <c r="Y133" s="1">
        <v>4.9400000000000004</v>
      </c>
      <c r="Z133" s="1">
        <v>8.0150000000000006</v>
      </c>
      <c r="AA133" s="1">
        <v>21.7</v>
      </c>
      <c r="AB133" s="1">
        <v>290.5</v>
      </c>
      <c r="AC133" s="1">
        <v>12585</v>
      </c>
      <c r="AD133" s="1">
        <v>3254</v>
      </c>
      <c r="AE133" s="1">
        <v>268</v>
      </c>
      <c r="AF133" s="1">
        <v>17</v>
      </c>
      <c r="AG133" s="1">
        <v>17</v>
      </c>
      <c r="AH133" s="1">
        <v>33</v>
      </c>
      <c r="AI133" s="1">
        <v>54.1</v>
      </c>
      <c r="AJ133" s="1">
        <v>12.9</v>
      </c>
      <c r="AK133" s="1">
        <v>82.8</v>
      </c>
      <c r="AL133" s="1">
        <v>31.9</v>
      </c>
      <c r="AM133" s="1">
        <v>8</v>
      </c>
      <c r="AN133" s="1">
        <v>0</v>
      </c>
      <c r="AO133" s="1">
        <v>0</v>
      </c>
      <c r="AP133" s="1" t="s">
        <v>266</v>
      </c>
      <c r="AQ133" s="1" t="s">
        <v>267</v>
      </c>
      <c r="AR133" s="1" t="s">
        <v>268</v>
      </c>
    </row>
    <row r="134" spans="1:44" x14ac:dyDescent="0.2">
      <c r="A134" s="1" t="s">
        <v>153</v>
      </c>
      <c r="B134" s="1" t="s">
        <v>269</v>
      </c>
      <c r="C134" s="1">
        <v>-31</v>
      </c>
      <c r="D134" s="1">
        <v>474820.7</v>
      </c>
      <c r="E134" s="1">
        <v>5962144.0999999996</v>
      </c>
      <c r="F134" s="1">
        <v>0</v>
      </c>
      <c r="G134" s="1">
        <v>-0.7</v>
      </c>
      <c r="H134" s="1">
        <v>0</v>
      </c>
      <c r="I134" s="1">
        <v>2</v>
      </c>
      <c r="J134" s="1">
        <v>0</v>
      </c>
      <c r="K134" s="1">
        <v>-59.5</v>
      </c>
      <c r="L134" s="1">
        <v>28.5</v>
      </c>
      <c r="M134" s="1">
        <v>1453.963</v>
      </c>
      <c r="N134" s="1">
        <v>84.9</v>
      </c>
      <c r="O134" s="1">
        <v>8</v>
      </c>
      <c r="P134" s="1">
        <v>10</v>
      </c>
      <c r="Q134" s="1">
        <v>2.78</v>
      </c>
      <c r="R134" s="1">
        <v>68</v>
      </c>
      <c r="S134" s="1">
        <v>110</v>
      </c>
      <c r="T134" s="1">
        <v>147</v>
      </c>
      <c r="U134" s="1">
        <v>1296.1210000000001</v>
      </c>
      <c r="V134" s="1">
        <v>549.351</v>
      </c>
      <c r="W134" s="1">
        <v>752.85199999999998</v>
      </c>
      <c r="X134" s="1">
        <v>132.18100000000001</v>
      </c>
      <c r="Y134" s="1">
        <v>4.9400000000000004</v>
      </c>
      <c r="Z134" s="1">
        <v>8.0150000000000006</v>
      </c>
      <c r="AA134" s="1">
        <v>21.7</v>
      </c>
      <c r="AB134" s="1">
        <v>290.5</v>
      </c>
      <c r="AC134" s="1">
        <v>12270</v>
      </c>
      <c r="AD134" s="1">
        <v>2938</v>
      </c>
      <c r="AE134" s="1">
        <v>268</v>
      </c>
      <c r="AF134" s="1">
        <v>17</v>
      </c>
      <c r="AG134" s="1">
        <v>17</v>
      </c>
      <c r="AH134" s="1">
        <v>36.9</v>
      </c>
      <c r="AI134" s="1">
        <v>50.2</v>
      </c>
      <c r="AJ134" s="1">
        <v>12.8</v>
      </c>
      <c r="AK134" s="1">
        <v>77.599999999999994</v>
      </c>
      <c r="AL134" s="1">
        <v>31.9</v>
      </c>
      <c r="AM134" s="1">
        <v>8</v>
      </c>
      <c r="AN134" s="1">
        <v>0</v>
      </c>
      <c r="AO134" s="1">
        <v>0</v>
      </c>
      <c r="AP134" s="1" t="s">
        <v>266</v>
      </c>
      <c r="AQ134" s="1" t="s">
        <v>267</v>
      </c>
      <c r="AR134" s="1" t="s">
        <v>268</v>
      </c>
    </row>
    <row r="135" spans="1:44" x14ac:dyDescent="0.2">
      <c r="A135" s="1" t="s">
        <v>68</v>
      </c>
      <c r="B135" s="1" t="s">
        <v>269</v>
      </c>
      <c r="C135" s="1">
        <v>-34.799999999999997</v>
      </c>
      <c r="D135" s="1">
        <v>476744.5</v>
      </c>
      <c r="E135" s="1">
        <v>5962385</v>
      </c>
      <c r="F135" s="1">
        <v>0</v>
      </c>
      <c r="G135" s="1">
        <v>-0.6</v>
      </c>
      <c r="H135" s="1">
        <v>0</v>
      </c>
      <c r="I135" s="1">
        <v>2</v>
      </c>
      <c r="J135" s="1">
        <v>0</v>
      </c>
      <c r="K135" s="1">
        <v>-64</v>
      </c>
      <c r="L135" s="1">
        <v>29.2</v>
      </c>
      <c r="M135" s="1">
        <v>1608.41</v>
      </c>
      <c r="N135" s="1">
        <v>89.4</v>
      </c>
      <c r="O135" s="1">
        <v>8</v>
      </c>
      <c r="P135" s="1">
        <v>10</v>
      </c>
      <c r="Q135" s="1">
        <v>2.86</v>
      </c>
      <c r="R135" s="1">
        <v>68</v>
      </c>
      <c r="S135" s="1">
        <v>110</v>
      </c>
      <c r="T135" s="1">
        <v>147</v>
      </c>
      <c r="U135" s="1">
        <v>1357.972</v>
      </c>
      <c r="V135" s="1">
        <v>515.34699999999998</v>
      </c>
      <c r="W135" s="1">
        <v>752.85199999999998</v>
      </c>
      <c r="X135" s="1">
        <v>132.18100000000001</v>
      </c>
      <c r="Y135" s="1">
        <v>4.9400000000000004</v>
      </c>
      <c r="Z135" s="1">
        <v>8.0150000000000006</v>
      </c>
      <c r="AA135" s="1">
        <v>21.7</v>
      </c>
      <c r="AB135" s="1">
        <v>290.5</v>
      </c>
      <c r="AC135" s="1">
        <v>12548</v>
      </c>
      <c r="AD135" s="1">
        <v>3174</v>
      </c>
      <c r="AE135" s="1">
        <v>268</v>
      </c>
      <c r="AF135" s="1">
        <v>19</v>
      </c>
      <c r="AG135" s="1">
        <v>19</v>
      </c>
      <c r="AH135" s="1">
        <v>34.1</v>
      </c>
      <c r="AI135" s="1">
        <v>52.7</v>
      </c>
      <c r="AJ135" s="1">
        <v>13.3</v>
      </c>
      <c r="AK135" s="1">
        <v>81</v>
      </c>
      <c r="AL135" s="1">
        <v>31.9</v>
      </c>
      <c r="AM135" s="1">
        <v>8</v>
      </c>
      <c r="AN135" s="1">
        <v>0</v>
      </c>
      <c r="AO135" s="1">
        <v>0</v>
      </c>
      <c r="AP135" s="1" t="s">
        <v>266</v>
      </c>
      <c r="AQ135" s="1" t="s">
        <v>267</v>
      </c>
      <c r="AR135" s="1" t="s">
        <v>268</v>
      </c>
    </row>
    <row r="136" spans="1:44" x14ac:dyDescent="0.2">
      <c r="A136" s="1" t="s">
        <v>67</v>
      </c>
      <c r="B136" s="1" t="s">
        <v>272</v>
      </c>
      <c r="C136" s="1">
        <v>-35.799999999999997</v>
      </c>
      <c r="D136" s="1">
        <v>475454.1</v>
      </c>
      <c r="E136" s="1">
        <v>5967738</v>
      </c>
      <c r="F136" s="1">
        <v>0</v>
      </c>
      <c r="G136" s="1">
        <v>-0.7</v>
      </c>
      <c r="H136" s="1">
        <v>0</v>
      </c>
      <c r="I136" s="1">
        <v>2</v>
      </c>
      <c r="J136" s="1">
        <v>0</v>
      </c>
      <c r="K136" s="1">
        <v>-64.2</v>
      </c>
      <c r="L136" s="1">
        <v>28.4</v>
      </c>
      <c r="M136" s="1">
        <v>1632.4860000000001</v>
      </c>
      <c r="N136" s="1">
        <v>89.6</v>
      </c>
      <c r="O136" s="1">
        <v>8</v>
      </c>
      <c r="P136" s="1">
        <v>10</v>
      </c>
      <c r="Q136" s="1">
        <v>2.77</v>
      </c>
      <c r="R136" s="1">
        <v>68</v>
      </c>
      <c r="S136" s="1">
        <v>110</v>
      </c>
      <c r="T136" s="1">
        <v>147</v>
      </c>
      <c r="U136" s="1">
        <v>1357.8340000000001</v>
      </c>
      <c r="V136" s="1">
        <v>452.94200000000001</v>
      </c>
      <c r="W136" s="1">
        <v>752.85199999999998</v>
      </c>
      <c r="X136" s="1">
        <v>132.18100000000001</v>
      </c>
      <c r="Y136" s="1">
        <v>4.9400000000000004</v>
      </c>
      <c r="Z136" s="1">
        <v>8.0150000000000006</v>
      </c>
      <c r="AA136" s="1">
        <v>21.7</v>
      </c>
      <c r="AB136" s="1">
        <v>290.5</v>
      </c>
      <c r="AC136" s="1">
        <v>12560</v>
      </c>
      <c r="AD136" s="1">
        <v>3236</v>
      </c>
      <c r="AE136" s="1">
        <v>268</v>
      </c>
      <c r="AF136" s="1">
        <v>17</v>
      </c>
      <c r="AG136" s="1">
        <v>17</v>
      </c>
      <c r="AH136" s="1">
        <v>33.6</v>
      </c>
      <c r="AI136" s="1">
        <v>53.3</v>
      </c>
      <c r="AJ136" s="1">
        <v>13.2</v>
      </c>
      <c r="AK136" s="1">
        <v>82</v>
      </c>
      <c r="AL136" s="1">
        <v>31.9</v>
      </c>
      <c r="AM136" s="1">
        <v>8</v>
      </c>
      <c r="AN136" s="1">
        <v>0</v>
      </c>
      <c r="AO136" s="1">
        <v>0</v>
      </c>
      <c r="AP136" s="1" t="s">
        <v>266</v>
      </c>
      <c r="AQ136" s="1" t="s">
        <v>267</v>
      </c>
      <c r="AR136" s="1" t="s">
        <v>268</v>
      </c>
    </row>
    <row r="137" spans="1:44" x14ac:dyDescent="0.2">
      <c r="A137" s="1" t="s">
        <v>135</v>
      </c>
      <c r="B137" s="1" t="s">
        <v>265</v>
      </c>
      <c r="C137" s="1">
        <v>-28.6</v>
      </c>
      <c r="D137" s="1">
        <v>476026.4</v>
      </c>
      <c r="E137" s="1">
        <v>5970012</v>
      </c>
      <c r="F137" s="1">
        <v>0</v>
      </c>
      <c r="G137" s="1">
        <v>-0.6</v>
      </c>
      <c r="H137" s="1">
        <v>0</v>
      </c>
      <c r="I137" s="1">
        <v>2</v>
      </c>
      <c r="J137" s="1">
        <v>0</v>
      </c>
      <c r="K137" s="1">
        <v>-60.6</v>
      </c>
      <c r="L137" s="1">
        <v>32</v>
      </c>
      <c r="M137" s="1">
        <v>1461.6379999999999</v>
      </c>
      <c r="N137" s="1">
        <v>86</v>
      </c>
      <c r="O137" s="1">
        <v>8</v>
      </c>
      <c r="P137" s="1">
        <v>10</v>
      </c>
      <c r="Q137" s="1">
        <v>3.14</v>
      </c>
      <c r="R137" s="1">
        <v>64</v>
      </c>
      <c r="S137" s="1">
        <v>110</v>
      </c>
      <c r="T137" s="1">
        <v>147</v>
      </c>
      <c r="U137" s="1">
        <v>1296.1959999999999</v>
      </c>
      <c r="V137" s="1">
        <v>430.87599999999998</v>
      </c>
      <c r="W137" s="1">
        <v>752.85199999999998</v>
      </c>
      <c r="X137" s="1">
        <v>132.18100000000001</v>
      </c>
      <c r="Y137" s="1">
        <v>4.9400000000000004</v>
      </c>
      <c r="Z137" s="1">
        <v>8.0150000000000006</v>
      </c>
      <c r="AA137" s="1">
        <v>21.7</v>
      </c>
      <c r="AB137" s="1">
        <v>290.5</v>
      </c>
      <c r="AC137" s="1">
        <v>12339</v>
      </c>
      <c r="AD137" s="1">
        <v>2789</v>
      </c>
      <c r="AE137" s="1">
        <v>268</v>
      </c>
      <c r="AF137" s="1">
        <v>21</v>
      </c>
      <c r="AG137" s="1">
        <v>21</v>
      </c>
      <c r="AH137" s="1">
        <v>36.5</v>
      </c>
      <c r="AI137" s="1">
        <v>51.2</v>
      </c>
      <c r="AJ137" s="1">
        <v>12.3</v>
      </c>
      <c r="AK137" s="1">
        <v>76.8</v>
      </c>
      <c r="AL137" s="1">
        <v>31.9</v>
      </c>
      <c r="AM137" s="1">
        <v>8</v>
      </c>
      <c r="AN137" s="1">
        <v>0</v>
      </c>
      <c r="AO137" s="1">
        <v>0</v>
      </c>
      <c r="AP137" s="1" t="s">
        <v>266</v>
      </c>
      <c r="AQ137" s="1" t="s">
        <v>267</v>
      </c>
      <c r="AR137" s="1" t="s">
        <v>268</v>
      </c>
    </row>
    <row r="138" spans="1:44" x14ac:dyDescent="0.2">
      <c r="A138" s="1" t="s">
        <v>190</v>
      </c>
      <c r="B138" s="1" t="s">
        <v>271</v>
      </c>
      <c r="C138" s="1">
        <v>-49.9</v>
      </c>
      <c r="D138" s="1">
        <v>475796</v>
      </c>
      <c r="E138" s="1">
        <v>5973477</v>
      </c>
      <c r="F138" s="1">
        <v>0</v>
      </c>
      <c r="G138" s="1">
        <v>-0.6</v>
      </c>
      <c r="H138" s="1">
        <v>0</v>
      </c>
      <c r="I138" s="1">
        <v>2</v>
      </c>
      <c r="J138" s="1">
        <v>0</v>
      </c>
      <c r="K138" s="1">
        <v>-79</v>
      </c>
      <c r="L138" s="1">
        <v>29.1</v>
      </c>
      <c r="M138" s="1">
        <v>2354.1260000000002</v>
      </c>
      <c r="N138" s="1">
        <v>104.4</v>
      </c>
      <c r="O138" s="1">
        <v>8</v>
      </c>
      <c r="P138" s="1">
        <v>11</v>
      </c>
      <c r="Q138" s="1">
        <v>2.5909</v>
      </c>
      <c r="R138" s="1">
        <v>70</v>
      </c>
      <c r="S138" s="1">
        <v>117</v>
      </c>
      <c r="T138" s="1">
        <v>149</v>
      </c>
      <c r="U138" s="1">
        <v>1711.1120000000001</v>
      </c>
      <c r="V138" s="1">
        <v>361.44</v>
      </c>
      <c r="W138" s="1">
        <v>752.85199999999998</v>
      </c>
      <c r="X138" s="1">
        <v>132.18100000000001</v>
      </c>
      <c r="Y138" s="1">
        <v>4.9400000000000004</v>
      </c>
      <c r="Z138" s="1">
        <v>8.0150000000000006</v>
      </c>
      <c r="AA138" s="1">
        <v>21.7</v>
      </c>
      <c r="AB138" s="1">
        <v>290.5</v>
      </c>
      <c r="AC138" s="1">
        <v>13842</v>
      </c>
      <c r="AD138" s="1">
        <v>4311</v>
      </c>
      <c r="AE138" s="1">
        <v>268</v>
      </c>
      <c r="AF138" s="1">
        <v>19</v>
      </c>
      <c r="AG138" s="1">
        <v>19</v>
      </c>
      <c r="AH138" s="1">
        <v>24.7</v>
      </c>
      <c r="AI138" s="1">
        <v>61.8</v>
      </c>
      <c r="AJ138" s="1">
        <v>13.5</v>
      </c>
      <c r="AK138" s="1">
        <v>93.6</v>
      </c>
      <c r="AL138" s="1">
        <v>31.9</v>
      </c>
      <c r="AM138" s="1">
        <v>8</v>
      </c>
      <c r="AN138" s="1">
        <v>0</v>
      </c>
      <c r="AO138" s="1">
        <v>0</v>
      </c>
      <c r="AP138" s="1" t="s">
        <v>270</v>
      </c>
      <c r="AQ138" s="1" t="s">
        <v>267</v>
      </c>
      <c r="AR138" s="1" t="s">
        <v>268</v>
      </c>
    </row>
    <row r="139" spans="1:44" x14ac:dyDescent="0.2">
      <c r="A139" s="1" t="s">
        <v>99</v>
      </c>
      <c r="B139" s="1" t="s">
        <v>265</v>
      </c>
      <c r="C139" s="1">
        <v>-37.1</v>
      </c>
      <c r="D139" s="1">
        <v>453203</v>
      </c>
      <c r="E139" s="1">
        <v>5973772.4000000004</v>
      </c>
      <c r="F139" s="1">
        <v>0</v>
      </c>
      <c r="G139" s="1">
        <v>-0.7</v>
      </c>
      <c r="H139" s="1">
        <v>0</v>
      </c>
      <c r="I139" s="1">
        <v>2</v>
      </c>
      <c r="J139" s="1">
        <v>0</v>
      </c>
      <c r="K139" s="1">
        <v>-62</v>
      </c>
      <c r="L139" s="1">
        <v>24.9</v>
      </c>
      <c r="M139" s="1">
        <v>1600.0519999999999</v>
      </c>
      <c r="N139" s="1">
        <v>87.4</v>
      </c>
      <c r="O139" s="1">
        <v>8</v>
      </c>
      <c r="P139" s="1">
        <v>10</v>
      </c>
      <c r="Q139" s="1">
        <v>2.42</v>
      </c>
      <c r="R139" s="1">
        <v>68</v>
      </c>
      <c r="S139" s="1">
        <v>110</v>
      </c>
      <c r="T139" s="1">
        <v>147</v>
      </c>
      <c r="U139" s="1">
        <v>1295.4290000000001</v>
      </c>
      <c r="V139" s="1">
        <v>458.73500000000001</v>
      </c>
      <c r="W139" s="1">
        <v>752.85199999999998</v>
      </c>
      <c r="X139" s="1">
        <v>132.18100000000001</v>
      </c>
      <c r="Y139" s="1">
        <v>4.9400000000000004</v>
      </c>
      <c r="Z139" s="1">
        <v>8.0150000000000006</v>
      </c>
      <c r="AA139" s="1">
        <v>21.7</v>
      </c>
      <c r="AB139" s="1">
        <v>290.5</v>
      </c>
      <c r="AC139" s="1">
        <v>12423</v>
      </c>
      <c r="AD139" s="1">
        <v>3317</v>
      </c>
      <c r="AE139" s="1">
        <v>268</v>
      </c>
      <c r="AF139" s="1">
        <v>15</v>
      </c>
      <c r="AG139" s="1">
        <v>15</v>
      </c>
      <c r="AH139" s="1">
        <v>34.200000000000003</v>
      </c>
      <c r="AI139" s="1">
        <v>52.4</v>
      </c>
      <c r="AJ139" s="1">
        <v>13.3</v>
      </c>
      <c r="AK139" s="1">
        <v>82.5</v>
      </c>
      <c r="AL139" s="1">
        <v>31.9</v>
      </c>
      <c r="AM139" s="1">
        <v>8</v>
      </c>
      <c r="AN139" s="1">
        <v>0</v>
      </c>
      <c r="AO139" s="1">
        <v>0</v>
      </c>
      <c r="AP139" s="1" t="s">
        <v>266</v>
      </c>
      <c r="AQ139" s="1" t="s">
        <v>267</v>
      </c>
      <c r="AR139" s="1" t="s">
        <v>268</v>
      </c>
    </row>
    <row r="140" spans="1:44" x14ac:dyDescent="0.2">
      <c r="A140" s="1" t="s">
        <v>34</v>
      </c>
      <c r="B140" s="1" t="s">
        <v>265</v>
      </c>
      <c r="C140" s="1">
        <v>-36.700000000000003</v>
      </c>
      <c r="D140" s="1">
        <v>454659.2</v>
      </c>
      <c r="E140" s="1">
        <v>5974634.2000000002</v>
      </c>
      <c r="F140" s="1">
        <v>0</v>
      </c>
      <c r="G140" s="1">
        <v>-0.6</v>
      </c>
      <c r="H140" s="1">
        <v>0</v>
      </c>
      <c r="I140" s="1">
        <v>2</v>
      </c>
      <c r="J140" s="1">
        <v>0</v>
      </c>
      <c r="K140" s="1">
        <v>-66.400000000000006</v>
      </c>
      <c r="L140" s="1">
        <v>29.7</v>
      </c>
      <c r="M140" s="1">
        <v>1684.078</v>
      </c>
      <c r="N140" s="1">
        <v>91.8</v>
      </c>
      <c r="O140" s="1">
        <v>8</v>
      </c>
      <c r="P140" s="1">
        <v>10</v>
      </c>
      <c r="Q140" s="1">
        <v>2.91</v>
      </c>
      <c r="R140" s="1">
        <v>68</v>
      </c>
      <c r="S140" s="1">
        <v>110</v>
      </c>
      <c r="T140" s="1">
        <v>147</v>
      </c>
      <c r="U140" s="1">
        <v>1357.7840000000001</v>
      </c>
      <c r="V140" s="1">
        <v>427.83499999999998</v>
      </c>
      <c r="W140" s="1">
        <v>752.85199999999998</v>
      </c>
      <c r="X140" s="1">
        <v>132.18100000000001</v>
      </c>
      <c r="Y140" s="1">
        <v>4.9400000000000004</v>
      </c>
      <c r="Z140" s="1">
        <v>8.0150000000000006</v>
      </c>
      <c r="AA140" s="1">
        <v>21.7</v>
      </c>
      <c r="AB140" s="1">
        <v>290.5</v>
      </c>
      <c r="AC140" s="1">
        <v>12697</v>
      </c>
      <c r="AD140" s="1">
        <v>3292</v>
      </c>
      <c r="AE140" s="1">
        <v>268</v>
      </c>
      <c r="AF140" s="1">
        <v>19</v>
      </c>
      <c r="AG140" s="1">
        <v>19</v>
      </c>
      <c r="AH140" s="1">
        <v>32.5</v>
      </c>
      <c r="AI140" s="1">
        <v>54.8</v>
      </c>
      <c r="AJ140" s="1">
        <v>12.7</v>
      </c>
      <c r="AK140" s="1">
        <v>82.3</v>
      </c>
      <c r="AL140" s="1">
        <v>31.9</v>
      </c>
      <c r="AM140" s="1">
        <v>8</v>
      </c>
      <c r="AN140" s="1">
        <v>0</v>
      </c>
      <c r="AO140" s="1">
        <v>0</v>
      </c>
      <c r="AP140" s="1" t="s">
        <v>266</v>
      </c>
      <c r="AQ140" s="1" t="s">
        <v>267</v>
      </c>
      <c r="AR140" s="1" t="s">
        <v>268</v>
      </c>
    </row>
    <row r="141" spans="1:44" x14ac:dyDescent="0.2">
      <c r="A141" s="1" t="s">
        <v>179</v>
      </c>
      <c r="B141" s="1" t="s">
        <v>265</v>
      </c>
      <c r="C141" s="1">
        <v>-38.1</v>
      </c>
      <c r="D141" s="1">
        <v>457879</v>
      </c>
      <c r="E141" s="1">
        <v>5972650</v>
      </c>
      <c r="F141" s="1">
        <v>0</v>
      </c>
      <c r="G141" s="1">
        <v>-0.6</v>
      </c>
      <c r="H141" s="1">
        <v>0</v>
      </c>
      <c r="I141" s="1">
        <v>2</v>
      </c>
      <c r="J141" s="1">
        <v>0</v>
      </c>
      <c r="K141" s="1">
        <v>-68.5</v>
      </c>
      <c r="L141" s="1">
        <v>30.4</v>
      </c>
      <c r="M141" s="1">
        <v>1751.258</v>
      </c>
      <c r="N141" s="1">
        <v>93.9</v>
      </c>
      <c r="O141" s="1">
        <v>8</v>
      </c>
      <c r="P141" s="1">
        <v>10.5</v>
      </c>
      <c r="Q141" s="1">
        <v>2.8380999999999998</v>
      </c>
      <c r="R141" s="1">
        <v>72</v>
      </c>
      <c r="S141" s="1">
        <v>112</v>
      </c>
      <c r="T141" s="1">
        <v>146</v>
      </c>
      <c r="U141" s="1">
        <v>1406.259</v>
      </c>
      <c r="V141" s="1">
        <v>486.70800000000003</v>
      </c>
      <c r="W141" s="1">
        <v>752.85199999999998</v>
      </c>
      <c r="X141" s="1">
        <v>132.18100000000001</v>
      </c>
      <c r="Y141" s="1">
        <v>4.9400000000000004</v>
      </c>
      <c r="Z141" s="1">
        <v>8.0150000000000006</v>
      </c>
      <c r="AA141" s="1">
        <v>21.7</v>
      </c>
      <c r="AB141" s="1">
        <v>290.5</v>
      </c>
      <c r="AC141" s="1">
        <v>12983</v>
      </c>
      <c r="AD141" s="1">
        <v>3447</v>
      </c>
      <c r="AE141" s="1">
        <v>268</v>
      </c>
      <c r="AF141" s="1">
        <v>19</v>
      </c>
      <c r="AG141" s="1">
        <v>19</v>
      </c>
      <c r="AH141" s="1">
        <v>32.4</v>
      </c>
      <c r="AI141" s="1">
        <v>52.9</v>
      </c>
      <c r="AJ141" s="1">
        <v>14.7</v>
      </c>
      <c r="AK141" s="1">
        <v>81.599999999999994</v>
      </c>
      <c r="AL141" s="1">
        <v>31.9</v>
      </c>
      <c r="AM141" s="1">
        <v>8</v>
      </c>
      <c r="AN141" s="1">
        <v>0</v>
      </c>
      <c r="AO141" s="1">
        <v>0</v>
      </c>
      <c r="AP141" s="1" t="s">
        <v>270</v>
      </c>
      <c r="AQ141" s="1" t="s">
        <v>267</v>
      </c>
      <c r="AR141" s="1" t="s">
        <v>268</v>
      </c>
    </row>
    <row r="142" spans="1:44" x14ac:dyDescent="0.2">
      <c r="A142" s="1" t="s">
        <v>41</v>
      </c>
      <c r="B142" s="1" t="s">
        <v>265</v>
      </c>
      <c r="C142" s="1">
        <v>-37.6</v>
      </c>
      <c r="D142" s="1">
        <v>461024.6</v>
      </c>
      <c r="E142" s="1">
        <v>5970908</v>
      </c>
      <c r="F142" s="1">
        <v>0</v>
      </c>
      <c r="G142" s="1">
        <v>-0.6</v>
      </c>
      <c r="H142" s="1">
        <v>0</v>
      </c>
      <c r="I142" s="1">
        <v>2</v>
      </c>
      <c r="J142" s="1">
        <v>0</v>
      </c>
      <c r="K142" s="1">
        <v>-68.099999999999994</v>
      </c>
      <c r="L142" s="1">
        <v>30.5</v>
      </c>
      <c r="M142" s="1">
        <v>1729.912</v>
      </c>
      <c r="N142" s="1">
        <v>93.5</v>
      </c>
      <c r="O142" s="1">
        <v>8</v>
      </c>
      <c r="P142" s="1">
        <v>10</v>
      </c>
      <c r="Q142" s="1">
        <v>2.99</v>
      </c>
      <c r="R142" s="1">
        <v>68</v>
      </c>
      <c r="S142" s="1">
        <v>110</v>
      </c>
      <c r="T142" s="1">
        <v>147</v>
      </c>
      <c r="U142" s="1">
        <v>1420.069</v>
      </c>
      <c r="V142" s="1">
        <v>483.84300000000002</v>
      </c>
      <c r="W142" s="1">
        <v>752.85199999999998</v>
      </c>
      <c r="X142" s="1">
        <v>132.18100000000001</v>
      </c>
      <c r="Y142" s="1">
        <v>4.9400000000000004</v>
      </c>
      <c r="Z142" s="1">
        <v>8.0150000000000006</v>
      </c>
      <c r="AA142" s="1">
        <v>21.7</v>
      </c>
      <c r="AB142" s="1">
        <v>290.5</v>
      </c>
      <c r="AC142" s="1">
        <v>12803</v>
      </c>
      <c r="AD142" s="1">
        <v>3347</v>
      </c>
      <c r="AE142" s="1">
        <v>268</v>
      </c>
      <c r="AF142" s="1">
        <v>19</v>
      </c>
      <c r="AG142" s="1">
        <v>19</v>
      </c>
      <c r="AH142" s="1">
        <v>31.7</v>
      </c>
      <c r="AI142" s="1">
        <v>56</v>
      </c>
      <c r="AJ142" s="1">
        <v>12.3</v>
      </c>
      <c r="AK142" s="1">
        <v>82.8</v>
      </c>
      <c r="AL142" s="1">
        <v>31.9</v>
      </c>
      <c r="AM142" s="1">
        <v>8</v>
      </c>
      <c r="AN142" s="1">
        <v>0</v>
      </c>
      <c r="AO142" s="1">
        <v>0</v>
      </c>
      <c r="AP142" s="1" t="s">
        <v>266</v>
      </c>
      <c r="AQ142" s="1" t="s">
        <v>267</v>
      </c>
      <c r="AR142" s="1" t="s">
        <v>268</v>
      </c>
    </row>
    <row r="143" spans="1:44" x14ac:dyDescent="0.2">
      <c r="A143" s="1" t="s">
        <v>201</v>
      </c>
      <c r="B143" s="1" t="s">
        <v>265</v>
      </c>
      <c r="C143" s="1">
        <v>-43.5</v>
      </c>
      <c r="D143" s="1">
        <v>464140.2</v>
      </c>
      <c r="E143" s="1">
        <v>5969190</v>
      </c>
      <c r="F143" s="1">
        <v>0</v>
      </c>
      <c r="G143" s="1">
        <v>-0.7</v>
      </c>
      <c r="H143" s="1">
        <v>0</v>
      </c>
      <c r="I143" s="1">
        <v>2</v>
      </c>
      <c r="J143" s="1">
        <v>0</v>
      </c>
      <c r="K143" s="1">
        <v>-76.5</v>
      </c>
      <c r="L143" s="1">
        <v>33</v>
      </c>
      <c r="M143" s="1">
        <v>2078.5120000000002</v>
      </c>
      <c r="N143" s="1">
        <v>101.9</v>
      </c>
      <c r="O143" s="1">
        <v>8</v>
      </c>
      <c r="P143" s="1">
        <v>11</v>
      </c>
      <c r="Q143" s="1">
        <v>2.9363999999999999</v>
      </c>
      <c r="R143" s="1">
        <v>70</v>
      </c>
      <c r="S143" s="1">
        <v>117</v>
      </c>
      <c r="T143" s="1">
        <v>149</v>
      </c>
      <c r="U143" s="1">
        <v>1575.1569999999999</v>
      </c>
      <c r="V143" s="1">
        <v>369.238</v>
      </c>
      <c r="W143" s="1">
        <v>752.85199999999998</v>
      </c>
      <c r="X143" s="1">
        <v>132.18100000000001</v>
      </c>
      <c r="Y143" s="1">
        <v>4.9400000000000004</v>
      </c>
      <c r="Z143" s="1">
        <v>8.0150000000000006</v>
      </c>
      <c r="AA143" s="1">
        <v>21.7</v>
      </c>
      <c r="AB143" s="1">
        <v>290.5</v>
      </c>
      <c r="AC143" s="1">
        <v>13675</v>
      </c>
      <c r="AD143" s="1">
        <v>3874</v>
      </c>
      <c r="AE143" s="1">
        <v>268</v>
      </c>
      <c r="AF143" s="1">
        <v>23</v>
      </c>
      <c r="AG143" s="1">
        <v>23</v>
      </c>
      <c r="AH143" s="1">
        <v>29.1</v>
      </c>
      <c r="AI143" s="1">
        <v>55</v>
      </c>
      <c r="AJ143" s="1">
        <v>15.9</v>
      </c>
      <c r="AK143" s="1">
        <v>86.2</v>
      </c>
      <c r="AL143" s="1">
        <v>31.9</v>
      </c>
      <c r="AM143" s="1">
        <v>8</v>
      </c>
      <c r="AN143" s="1">
        <v>0</v>
      </c>
      <c r="AO143" s="1">
        <v>0</v>
      </c>
      <c r="AP143" s="1" t="s">
        <v>270</v>
      </c>
      <c r="AQ143" s="1" t="s">
        <v>267</v>
      </c>
      <c r="AR143" s="1" t="s">
        <v>268</v>
      </c>
    </row>
    <row r="144" spans="1:44" x14ac:dyDescent="0.2">
      <c r="A144" s="1" t="s">
        <v>204</v>
      </c>
      <c r="B144" s="1" t="s">
        <v>265</v>
      </c>
      <c r="C144" s="1">
        <v>-44.8</v>
      </c>
      <c r="D144" s="1">
        <v>467775.4</v>
      </c>
      <c r="E144" s="1">
        <v>5966700.2999999998</v>
      </c>
      <c r="F144" s="1">
        <v>0</v>
      </c>
      <c r="G144" s="1">
        <v>-0.6</v>
      </c>
      <c r="H144" s="1">
        <v>0</v>
      </c>
      <c r="I144" s="1">
        <v>2</v>
      </c>
      <c r="J144" s="1">
        <v>0</v>
      </c>
      <c r="K144" s="1">
        <v>-75.5</v>
      </c>
      <c r="L144" s="1">
        <v>30.7</v>
      </c>
      <c r="M144" s="1">
        <v>2016.578</v>
      </c>
      <c r="N144" s="1">
        <v>100.9</v>
      </c>
      <c r="O144" s="1">
        <v>8</v>
      </c>
      <c r="P144" s="1">
        <v>11</v>
      </c>
      <c r="Q144" s="1">
        <v>2.7364000000000002</v>
      </c>
      <c r="R144" s="1">
        <v>70</v>
      </c>
      <c r="S144" s="1">
        <v>117</v>
      </c>
      <c r="T144" s="1">
        <v>149</v>
      </c>
      <c r="U144" s="1">
        <v>1575.433</v>
      </c>
      <c r="V144" s="1">
        <v>507.053</v>
      </c>
      <c r="W144" s="1">
        <v>752.85199999999998</v>
      </c>
      <c r="X144" s="1">
        <v>132.18100000000001</v>
      </c>
      <c r="Y144" s="1">
        <v>4.9400000000000004</v>
      </c>
      <c r="Z144" s="1">
        <v>8.0150000000000006</v>
      </c>
      <c r="AA144" s="1">
        <v>21.7</v>
      </c>
      <c r="AB144" s="1">
        <v>290.5</v>
      </c>
      <c r="AC144" s="1">
        <v>13608</v>
      </c>
      <c r="AD144" s="1">
        <v>3964</v>
      </c>
      <c r="AE144" s="1">
        <v>268</v>
      </c>
      <c r="AF144" s="1">
        <v>21</v>
      </c>
      <c r="AG144" s="1">
        <v>21</v>
      </c>
      <c r="AH144" s="1">
        <v>29.8</v>
      </c>
      <c r="AI144" s="1">
        <v>54</v>
      </c>
      <c r="AJ144" s="1">
        <v>16.2</v>
      </c>
      <c r="AK144" s="1">
        <v>84.7</v>
      </c>
      <c r="AL144" s="1">
        <v>31.9</v>
      </c>
      <c r="AM144" s="1">
        <v>8</v>
      </c>
      <c r="AN144" s="1">
        <v>0</v>
      </c>
      <c r="AO144" s="1">
        <v>0</v>
      </c>
      <c r="AP144" s="1" t="s">
        <v>270</v>
      </c>
      <c r="AQ144" s="1" t="s">
        <v>267</v>
      </c>
      <c r="AR144" s="1" t="s">
        <v>268</v>
      </c>
    </row>
    <row r="145" spans="1:44" x14ac:dyDescent="0.2">
      <c r="A145" s="1" t="s">
        <v>19</v>
      </c>
      <c r="B145" s="1" t="s">
        <v>269</v>
      </c>
      <c r="C145" s="1">
        <v>-37.9</v>
      </c>
      <c r="D145" s="1">
        <v>470333.6</v>
      </c>
      <c r="E145" s="1">
        <v>5965984.5</v>
      </c>
      <c r="F145" s="1">
        <v>0</v>
      </c>
      <c r="G145" s="1">
        <v>-0.7</v>
      </c>
      <c r="H145" s="1">
        <v>0</v>
      </c>
      <c r="I145" s="1">
        <v>2</v>
      </c>
      <c r="J145" s="1">
        <v>0</v>
      </c>
      <c r="K145" s="1">
        <v>-67.8</v>
      </c>
      <c r="L145" s="1">
        <v>29.9</v>
      </c>
      <c r="M145" s="1">
        <v>1767.933</v>
      </c>
      <c r="N145" s="1">
        <v>93.2</v>
      </c>
      <c r="O145" s="1">
        <v>8</v>
      </c>
      <c r="P145" s="1">
        <v>10</v>
      </c>
      <c r="Q145" s="1">
        <v>2.92</v>
      </c>
      <c r="R145" s="1">
        <v>68</v>
      </c>
      <c r="S145" s="1">
        <v>110</v>
      </c>
      <c r="T145" s="1">
        <v>147</v>
      </c>
      <c r="U145" s="1">
        <v>1419.7860000000001</v>
      </c>
      <c r="V145" s="1">
        <v>489.37200000000001</v>
      </c>
      <c r="W145" s="1">
        <v>752.85199999999998</v>
      </c>
      <c r="X145" s="1">
        <v>132.18100000000001</v>
      </c>
      <c r="Y145" s="1">
        <v>4.9400000000000004</v>
      </c>
      <c r="Z145" s="1">
        <v>8.0150000000000006</v>
      </c>
      <c r="AA145" s="1">
        <v>21.7</v>
      </c>
      <c r="AB145" s="1">
        <v>290.5</v>
      </c>
      <c r="AC145" s="1">
        <v>12783</v>
      </c>
      <c r="AD145" s="1">
        <v>3365</v>
      </c>
      <c r="AE145" s="1">
        <v>268</v>
      </c>
      <c r="AF145" s="1">
        <v>19</v>
      </c>
      <c r="AG145" s="1">
        <v>19</v>
      </c>
      <c r="AH145" s="1">
        <v>31</v>
      </c>
      <c r="AI145" s="1">
        <v>56.9</v>
      </c>
      <c r="AJ145" s="1">
        <v>12.1</v>
      </c>
      <c r="AK145" s="1">
        <v>84.8</v>
      </c>
      <c r="AL145" s="1">
        <v>31.9</v>
      </c>
      <c r="AM145" s="1">
        <v>8</v>
      </c>
      <c r="AN145" s="1">
        <v>0</v>
      </c>
      <c r="AO145" s="1">
        <v>0</v>
      </c>
      <c r="AP145" s="1" t="s">
        <v>266</v>
      </c>
      <c r="AQ145" s="1" t="s">
        <v>267</v>
      </c>
      <c r="AR145" s="1" t="s">
        <v>268</v>
      </c>
    </row>
    <row r="146" spans="1:44" x14ac:dyDescent="0.2">
      <c r="A146" s="1" t="s">
        <v>15</v>
      </c>
      <c r="B146" s="1" t="s">
        <v>265</v>
      </c>
      <c r="C146" s="1">
        <v>-33.5</v>
      </c>
      <c r="D146" s="1">
        <v>474004.5</v>
      </c>
      <c r="E146" s="1">
        <v>5963438.7000000002</v>
      </c>
      <c r="F146" s="1">
        <v>0</v>
      </c>
      <c r="G146" s="1">
        <v>-0.7</v>
      </c>
      <c r="H146" s="1">
        <v>0</v>
      </c>
      <c r="I146" s="1">
        <v>2</v>
      </c>
      <c r="J146" s="1">
        <v>0</v>
      </c>
      <c r="K146" s="1">
        <v>-62.2</v>
      </c>
      <c r="L146" s="1">
        <v>28.7</v>
      </c>
      <c r="M146" s="1">
        <v>1572.8789999999999</v>
      </c>
      <c r="N146" s="1">
        <v>87.6</v>
      </c>
      <c r="O146" s="1">
        <v>8</v>
      </c>
      <c r="P146" s="1">
        <v>10</v>
      </c>
      <c r="Q146" s="1">
        <v>2.8</v>
      </c>
      <c r="R146" s="1">
        <v>64</v>
      </c>
      <c r="S146" s="1">
        <v>110</v>
      </c>
      <c r="T146" s="1">
        <v>147</v>
      </c>
      <c r="U146" s="1">
        <v>1358.0350000000001</v>
      </c>
      <c r="V146" s="1">
        <v>461.714</v>
      </c>
      <c r="W146" s="1">
        <v>752.85199999999998</v>
      </c>
      <c r="X146" s="1">
        <v>132.18100000000001</v>
      </c>
      <c r="Y146" s="1">
        <v>4.9400000000000004</v>
      </c>
      <c r="Z146" s="1">
        <v>8.0150000000000006</v>
      </c>
      <c r="AA146" s="1">
        <v>21.7</v>
      </c>
      <c r="AB146" s="1">
        <v>290.5</v>
      </c>
      <c r="AC146" s="1">
        <v>12436</v>
      </c>
      <c r="AD146" s="1">
        <v>3094</v>
      </c>
      <c r="AE146" s="1">
        <v>268</v>
      </c>
      <c r="AF146" s="1">
        <v>19</v>
      </c>
      <c r="AG146" s="1">
        <v>19</v>
      </c>
      <c r="AH146" s="1">
        <v>33.9</v>
      </c>
      <c r="AI146" s="1">
        <v>54.6</v>
      </c>
      <c r="AJ146" s="1">
        <v>11.4</v>
      </c>
      <c r="AK146" s="1">
        <v>80.7</v>
      </c>
      <c r="AL146" s="1">
        <v>31.9</v>
      </c>
      <c r="AM146" s="1">
        <v>8</v>
      </c>
      <c r="AN146" s="1">
        <v>0</v>
      </c>
      <c r="AO146" s="1">
        <v>0</v>
      </c>
      <c r="AP146" s="1" t="s">
        <v>266</v>
      </c>
      <c r="AQ146" s="1" t="s">
        <v>267</v>
      </c>
      <c r="AR146" s="1" t="s">
        <v>268</v>
      </c>
    </row>
    <row r="147" spans="1:44" x14ac:dyDescent="0.2">
      <c r="A147" s="1" t="s">
        <v>193</v>
      </c>
      <c r="B147" s="1" t="s">
        <v>265</v>
      </c>
      <c r="C147" s="1">
        <v>-49.6</v>
      </c>
      <c r="D147" s="1">
        <v>472295</v>
      </c>
      <c r="E147" s="1">
        <v>5969540</v>
      </c>
      <c r="F147" s="1">
        <v>0</v>
      </c>
      <c r="G147" s="1">
        <v>-0.6</v>
      </c>
      <c r="H147" s="1">
        <v>0</v>
      </c>
      <c r="I147" s="1">
        <v>2</v>
      </c>
      <c r="J147" s="1">
        <v>0</v>
      </c>
      <c r="K147" s="1">
        <v>-79.8</v>
      </c>
      <c r="L147" s="1">
        <v>30.2</v>
      </c>
      <c r="M147" s="1">
        <v>2270.7539999999999</v>
      </c>
      <c r="N147" s="1">
        <v>105.2</v>
      </c>
      <c r="O147" s="1">
        <v>8</v>
      </c>
      <c r="P147" s="1">
        <v>11</v>
      </c>
      <c r="Q147" s="1">
        <v>2.6909000000000001</v>
      </c>
      <c r="R147" s="1">
        <v>70</v>
      </c>
      <c r="S147" s="1">
        <v>117</v>
      </c>
      <c r="T147" s="1">
        <v>149</v>
      </c>
      <c r="U147" s="1">
        <v>1643.153</v>
      </c>
      <c r="V147" s="1">
        <v>403.11700000000002</v>
      </c>
      <c r="W147" s="1">
        <v>752.85199999999998</v>
      </c>
      <c r="X147" s="1">
        <v>132.18100000000001</v>
      </c>
      <c r="Y147" s="1">
        <v>4.9400000000000004</v>
      </c>
      <c r="Z147" s="1">
        <v>8.0150000000000006</v>
      </c>
      <c r="AA147" s="1">
        <v>21.7</v>
      </c>
      <c r="AB147" s="1">
        <v>290.5</v>
      </c>
      <c r="AC147" s="1">
        <v>13899</v>
      </c>
      <c r="AD147" s="1">
        <v>4291</v>
      </c>
      <c r="AE147" s="1">
        <v>268</v>
      </c>
      <c r="AF147" s="1">
        <v>19</v>
      </c>
      <c r="AG147" s="1">
        <v>19</v>
      </c>
      <c r="AH147" s="1">
        <v>26</v>
      </c>
      <c r="AI147" s="1">
        <v>59.7</v>
      </c>
      <c r="AJ147" s="1">
        <v>14.3</v>
      </c>
      <c r="AK147" s="1">
        <v>90.1</v>
      </c>
      <c r="AL147" s="1">
        <v>31.9</v>
      </c>
      <c r="AM147" s="1">
        <v>8</v>
      </c>
      <c r="AN147" s="1">
        <v>0</v>
      </c>
      <c r="AO147" s="1">
        <v>0</v>
      </c>
      <c r="AP147" s="1" t="s">
        <v>270</v>
      </c>
      <c r="AQ147" s="1" t="s">
        <v>267</v>
      </c>
      <c r="AR147" s="1" t="s">
        <v>268</v>
      </c>
    </row>
    <row r="148" spans="1:44" x14ac:dyDescent="0.2">
      <c r="A148" s="1" t="s">
        <v>26</v>
      </c>
      <c r="B148" s="1" t="s">
        <v>269</v>
      </c>
      <c r="C148" s="1">
        <v>-37.6</v>
      </c>
      <c r="D148" s="1">
        <v>474485.7</v>
      </c>
      <c r="E148" s="1">
        <v>5969293.2000000002</v>
      </c>
      <c r="F148" s="1">
        <v>0</v>
      </c>
      <c r="G148" s="1">
        <v>-0.8</v>
      </c>
      <c r="H148" s="1">
        <v>0</v>
      </c>
      <c r="I148" s="1">
        <v>2</v>
      </c>
      <c r="J148" s="1">
        <v>0</v>
      </c>
      <c r="K148" s="1">
        <v>-67.7</v>
      </c>
      <c r="L148" s="1">
        <v>30.1</v>
      </c>
      <c r="M148" s="1">
        <v>1754.0920000000001</v>
      </c>
      <c r="N148" s="1">
        <v>93.1</v>
      </c>
      <c r="O148" s="1">
        <v>8</v>
      </c>
      <c r="P148" s="1">
        <v>10</v>
      </c>
      <c r="Q148" s="1">
        <v>2.93</v>
      </c>
      <c r="R148" s="1">
        <v>68</v>
      </c>
      <c r="S148" s="1">
        <v>110</v>
      </c>
      <c r="T148" s="1">
        <v>147</v>
      </c>
      <c r="U148" s="1">
        <v>1419.8620000000001</v>
      </c>
      <c r="V148" s="1">
        <v>483.68</v>
      </c>
      <c r="W148" s="1">
        <v>752.85199999999998</v>
      </c>
      <c r="X148" s="1">
        <v>132.18100000000001</v>
      </c>
      <c r="Y148" s="1">
        <v>4.9400000000000004</v>
      </c>
      <c r="Z148" s="1">
        <v>8.0150000000000006</v>
      </c>
      <c r="AA148" s="1">
        <v>21.7</v>
      </c>
      <c r="AB148" s="1">
        <v>290.5</v>
      </c>
      <c r="AC148" s="1">
        <v>12777</v>
      </c>
      <c r="AD148" s="1">
        <v>3347</v>
      </c>
      <c r="AE148" s="1">
        <v>268</v>
      </c>
      <c r="AF148" s="1">
        <v>19</v>
      </c>
      <c r="AG148" s="1">
        <v>19</v>
      </c>
      <c r="AH148" s="1">
        <v>31.2</v>
      </c>
      <c r="AI148" s="1">
        <v>56.6</v>
      </c>
      <c r="AJ148" s="1">
        <v>12.2</v>
      </c>
      <c r="AK148" s="1">
        <v>84.2</v>
      </c>
      <c r="AL148" s="1">
        <v>31.9</v>
      </c>
      <c r="AM148" s="1">
        <v>8</v>
      </c>
      <c r="AN148" s="1">
        <v>0</v>
      </c>
      <c r="AO148" s="1">
        <v>0</v>
      </c>
      <c r="AP148" s="1" t="s">
        <v>266</v>
      </c>
      <c r="AQ148" s="1" t="s">
        <v>267</v>
      </c>
      <c r="AR148" s="1" t="s">
        <v>268</v>
      </c>
    </row>
    <row r="149" spans="1:44" x14ac:dyDescent="0.2">
      <c r="A149" s="1" t="s">
        <v>158</v>
      </c>
      <c r="B149" s="1" t="s">
        <v>272</v>
      </c>
      <c r="C149" s="1">
        <v>-27.7</v>
      </c>
      <c r="D149" s="1">
        <v>475028.2</v>
      </c>
      <c r="E149" s="1">
        <v>5971616</v>
      </c>
      <c r="F149" s="1">
        <v>0</v>
      </c>
      <c r="G149" s="1">
        <v>-0.6</v>
      </c>
      <c r="H149" s="1">
        <v>0</v>
      </c>
      <c r="I149" s="1">
        <v>2</v>
      </c>
      <c r="J149" s="1">
        <v>0</v>
      </c>
      <c r="K149" s="1">
        <v>-58</v>
      </c>
      <c r="L149" s="1">
        <v>30.3</v>
      </c>
      <c r="M149" s="1">
        <v>1425.029</v>
      </c>
      <c r="N149" s="1">
        <v>83.4</v>
      </c>
      <c r="O149" s="1">
        <v>8</v>
      </c>
      <c r="P149" s="1">
        <v>10</v>
      </c>
      <c r="Q149" s="1">
        <v>2.97</v>
      </c>
      <c r="R149" s="1">
        <v>64</v>
      </c>
      <c r="S149" s="1">
        <v>110</v>
      </c>
      <c r="T149" s="1">
        <v>147</v>
      </c>
      <c r="U149" s="1">
        <v>1233.7909999999999</v>
      </c>
      <c r="V149" s="1">
        <v>456.00799999999998</v>
      </c>
      <c r="W149" s="1">
        <v>752.85199999999998</v>
      </c>
      <c r="X149" s="1">
        <v>132.18100000000001</v>
      </c>
      <c r="Y149" s="1">
        <v>4.9400000000000004</v>
      </c>
      <c r="Z149" s="1">
        <v>8.0150000000000006</v>
      </c>
      <c r="AA149" s="1">
        <v>21.7</v>
      </c>
      <c r="AB149" s="1">
        <v>290.5</v>
      </c>
      <c r="AC149" s="1">
        <v>12176</v>
      </c>
      <c r="AD149" s="1">
        <v>2733</v>
      </c>
      <c r="AE149" s="1">
        <v>268</v>
      </c>
      <c r="AF149" s="1">
        <v>19</v>
      </c>
      <c r="AG149" s="1">
        <v>19</v>
      </c>
      <c r="AH149" s="1">
        <v>37.4</v>
      </c>
      <c r="AI149" s="1">
        <v>49.9</v>
      </c>
      <c r="AJ149" s="1">
        <v>12.6</v>
      </c>
      <c r="AK149" s="1">
        <v>77.5</v>
      </c>
      <c r="AL149" s="1">
        <v>31.9</v>
      </c>
      <c r="AM149" s="1">
        <v>8</v>
      </c>
      <c r="AN149" s="1">
        <v>0</v>
      </c>
      <c r="AO149" s="1">
        <v>0</v>
      </c>
      <c r="AP149" s="1" t="s">
        <v>266</v>
      </c>
      <c r="AQ149" s="1" t="s">
        <v>267</v>
      </c>
      <c r="AR149" s="1" t="s">
        <v>268</v>
      </c>
    </row>
    <row r="150" spans="1:44" x14ac:dyDescent="0.2">
      <c r="A150" s="1" t="s">
        <v>37</v>
      </c>
      <c r="B150" s="1" t="s">
        <v>265</v>
      </c>
      <c r="C150" s="1">
        <v>-38.700000000000003</v>
      </c>
      <c r="D150" s="1">
        <v>452477.5</v>
      </c>
      <c r="E150" s="1">
        <v>5974927</v>
      </c>
      <c r="F150" s="1">
        <v>0</v>
      </c>
      <c r="G150" s="1">
        <v>-0.6</v>
      </c>
      <c r="H150" s="1">
        <v>0</v>
      </c>
      <c r="I150" s="1">
        <v>2</v>
      </c>
      <c r="J150" s="1">
        <v>0</v>
      </c>
      <c r="K150" s="1">
        <v>-65</v>
      </c>
      <c r="L150" s="1">
        <v>26.3</v>
      </c>
      <c r="M150" s="1">
        <v>1715.348</v>
      </c>
      <c r="N150" s="1">
        <v>90.4</v>
      </c>
      <c r="O150" s="1">
        <v>8</v>
      </c>
      <c r="P150" s="1">
        <v>10</v>
      </c>
      <c r="Q150" s="1">
        <v>2.57</v>
      </c>
      <c r="R150" s="1">
        <v>68</v>
      </c>
      <c r="S150" s="1">
        <v>110</v>
      </c>
      <c r="T150" s="1">
        <v>147</v>
      </c>
      <c r="U150" s="1">
        <v>1419.7860000000001</v>
      </c>
      <c r="V150" s="1">
        <v>458.55900000000003</v>
      </c>
      <c r="W150" s="1">
        <v>752.85199999999998</v>
      </c>
      <c r="X150" s="1">
        <v>132.18100000000001</v>
      </c>
      <c r="Y150" s="1">
        <v>4.9400000000000004</v>
      </c>
      <c r="Z150" s="1">
        <v>8.0150000000000006</v>
      </c>
      <c r="AA150" s="1">
        <v>21.7</v>
      </c>
      <c r="AB150" s="1">
        <v>290.5</v>
      </c>
      <c r="AC150" s="1">
        <v>12608</v>
      </c>
      <c r="AD150" s="1">
        <v>3416</v>
      </c>
      <c r="AE150" s="1">
        <v>268</v>
      </c>
      <c r="AF150" s="1">
        <v>15</v>
      </c>
      <c r="AG150" s="1">
        <v>15</v>
      </c>
      <c r="AH150" s="1">
        <v>31.7</v>
      </c>
      <c r="AI150" s="1">
        <v>56.1</v>
      </c>
      <c r="AJ150" s="1">
        <v>12.2</v>
      </c>
      <c r="AK150" s="1">
        <v>84.9</v>
      </c>
      <c r="AL150" s="1">
        <v>31.9</v>
      </c>
      <c r="AM150" s="1">
        <v>8</v>
      </c>
      <c r="AN150" s="1">
        <v>0</v>
      </c>
      <c r="AO150" s="1">
        <v>0</v>
      </c>
      <c r="AP150" s="1" t="s">
        <v>266</v>
      </c>
      <c r="AQ150" s="1" t="s">
        <v>267</v>
      </c>
      <c r="AR150" s="1" t="s">
        <v>268</v>
      </c>
    </row>
    <row r="151" spans="1:44" x14ac:dyDescent="0.2">
      <c r="A151" s="1" t="s">
        <v>81</v>
      </c>
      <c r="B151" s="1" t="s">
        <v>269</v>
      </c>
      <c r="C151" s="1">
        <v>-37.299999999999997</v>
      </c>
      <c r="D151" s="1">
        <v>453759.5</v>
      </c>
      <c r="E151" s="1">
        <v>5976097.0999999996</v>
      </c>
      <c r="F151" s="1">
        <v>0</v>
      </c>
      <c r="G151" s="1">
        <v>-0.7</v>
      </c>
      <c r="H151" s="1">
        <v>0</v>
      </c>
      <c r="I151" s="1">
        <v>2</v>
      </c>
      <c r="J151" s="1">
        <v>0</v>
      </c>
      <c r="K151" s="1">
        <v>-63.2</v>
      </c>
      <c r="L151" s="1">
        <v>25.9</v>
      </c>
      <c r="M151" s="1">
        <v>1670.76</v>
      </c>
      <c r="N151" s="1">
        <v>88.6</v>
      </c>
      <c r="O151" s="1">
        <v>8</v>
      </c>
      <c r="P151" s="1">
        <v>10</v>
      </c>
      <c r="Q151" s="1">
        <v>2.52</v>
      </c>
      <c r="R151" s="1">
        <v>68</v>
      </c>
      <c r="S151" s="1">
        <v>110</v>
      </c>
      <c r="T151" s="1">
        <v>147</v>
      </c>
      <c r="U151" s="1">
        <v>1295.1780000000001</v>
      </c>
      <c r="V151" s="1">
        <v>514.59299999999996</v>
      </c>
      <c r="W151" s="1">
        <v>752.85199999999998</v>
      </c>
      <c r="X151" s="1">
        <v>132.18100000000001</v>
      </c>
      <c r="Y151" s="1">
        <v>4.9400000000000004</v>
      </c>
      <c r="Z151" s="1">
        <v>8.0150000000000006</v>
      </c>
      <c r="AA151" s="1">
        <v>21.7</v>
      </c>
      <c r="AB151" s="1">
        <v>290.5</v>
      </c>
      <c r="AC151" s="1">
        <v>12496</v>
      </c>
      <c r="AD151" s="1">
        <v>3329</v>
      </c>
      <c r="AE151" s="1">
        <v>268</v>
      </c>
      <c r="AF151" s="1">
        <v>15</v>
      </c>
      <c r="AG151" s="1">
        <v>15</v>
      </c>
      <c r="AH151" s="1">
        <v>32.799999999999997</v>
      </c>
      <c r="AI151" s="1">
        <v>54.4</v>
      </c>
      <c r="AJ151" s="1">
        <v>12.8</v>
      </c>
      <c r="AK151" s="1">
        <v>84.7</v>
      </c>
      <c r="AL151" s="1">
        <v>31.9</v>
      </c>
      <c r="AM151" s="1">
        <v>8</v>
      </c>
      <c r="AN151" s="1">
        <v>0</v>
      </c>
      <c r="AO151" s="1">
        <v>0</v>
      </c>
      <c r="AP151" s="1" t="s">
        <v>266</v>
      </c>
      <c r="AQ151" s="1" t="s">
        <v>267</v>
      </c>
      <c r="AR151" s="1" t="s">
        <v>268</v>
      </c>
    </row>
    <row r="152" spans="1:44" x14ac:dyDescent="0.2">
      <c r="A152" s="1" t="s">
        <v>103</v>
      </c>
      <c r="B152" s="1" t="s">
        <v>265</v>
      </c>
      <c r="C152" s="1">
        <v>-36.6</v>
      </c>
      <c r="D152" s="1">
        <v>456981.4</v>
      </c>
      <c r="E152" s="1">
        <v>5974090</v>
      </c>
      <c r="F152" s="1">
        <v>0</v>
      </c>
      <c r="G152" s="1">
        <v>-0.6</v>
      </c>
      <c r="H152" s="1">
        <v>0</v>
      </c>
      <c r="I152" s="1">
        <v>2</v>
      </c>
      <c r="J152" s="1">
        <v>0</v>
      </c>
      <c r="K152" s="1">
        <v>-61.7</v>
      </c>
      <c r="L152" s="1">
        <v>25.1</v>
      </c>
      <c r="M152" s="1">
        <v>1578.502</v>
      </c>
      <c r="N152" s="1">
        <v>87.1</v>
      </c>
      <c r="O152" s="1">
        <v>8</v>
      </c>
      <c r="P152" s="1">
        <v>10</v>
      </c>
      <c r="Q152" s="1">
        <v>2.4500000000000002</v>
      </c>
      <c r="R152" s="1">
        <v>68</v>
      </c>
      <c r="S152" s="1">
        <v>110</v>
      </c>
      <c r="T152" s="1">
        <v>147</v>
      </c>
      <c r="U152" s="1">
        <v>1295.53</v>
      </c>
      <c r="V152" s="1">
        <v>521.02700000000004</v>
      </c>
      <c r="W152" s="1">
        <v>752.85199999999998</v>
      </c>
      <c r="X152" s="1">
        <v>132.18100000000001</v>
      </c>
      <c r="Y152" s="1">
        <v>4.9400000000000004</v>
      </c>
      <c r="Z152" s="1">
        <v>8.0150000000000006</v>
      </c>
      <c r="AA152" s="1">
        <v>21.7</v>
      </c>
      <c r="AB152" s="1">
        <v>290.5</v>
      </c>
      <c r="AC152" s="1">
        <v>12404</v>
      </c>
      <c r="AD152" s="1">
        <v>3286</v>
      </c>
      <c r="AE152" s="1">
        <v>268</v>
      </c>
      <c r="AF152" s="1">
        <v>15</v>
      </c>
      <c r="AG152" s="1">
        <v>15</v>
      </c>
      <c r="AH152" s="1">
        <v>34.700000000000003</v>
      </c>
      <c r="AI152" s="1">
        <v>51.8</v>
      </c>
      <c r="AJ152" s="1">
        <v>13.5</v>
      </c>
      <c r="AK152" s="1">
        <v>81.8</v>
      </c>
      <c r="AL152" s="1">
        <v>31.9</v>
      </c>
      <c r="AM152" s="1">
        <v>8</v>
      </c>
      <c r="AN152" s="1">
        <v>0</v>
      </c>
      <c r="AO152" s="1">
        <v>0</v>
      </c>
      <c r="AP152" s="1" t="s">
        <v>266</v>
      </c>
      <c r="AQ152" s="1" t="s">
        <v>267</v>
      </c>
      <c r="AR152" s="1" t="s">
        <v>268</v>
      </c>
    </row>
    <row r="153" spans="1:44" x14ac:dyDescent="0.2">
      <c r="A153" s="1" t="s">
        <v>72</v>
      </c>
      <c r="B153" s="1" t="s">
        <v>265</v>
      </c>
      <c r="C153" s="1">
        <v>-36.6</v>
      </c>
      <c r="D153" s="1">
        <v>459452</v>
      </c>
      <c r="E153" s="1">
        <v>5973390</v>
      </c>
      <c r="F153" s="1">
        <v>0</v>
      </c>
      <c r="G153" s="1">
        <v>-0.8</v>
      </c>
      <c r="H153" s="1">
        <v>0</v>
      </c>
      <c r="I153" s="1">
        <v>2</v>
      </c>
      <c r="J153" s="1">
        <v>0</v>
      </c>
      <c r="K153" s="1">
        <v>-63.9</v>
      </c>
      <c r="L153" s="1">
        <v>27.3</v>
      </c>
      <c r="M153" s="1">
        <v>1632.479</v>
      </c>
      <c r="N153" s="1">
        <v>89.3</v>
      </c>
      <c r="O153" s="1">
        <v>8</v>
      </c>
      <c r="P153" s="1">
        <v>10</v>
      </c>
      <c r="Q153" s="1">
        <v>2.65</v>
      </c>
      <c r="R153" s="1">
        <v>68</v>
      </c>
      <c r="S153" s="1">
        <v>110</v>
      </c>
      <c r="T153" s="1">
        <v>147</v>
      </c>
      <c r="U153" s="1">
        <v>1295.5170000000001</v>
      </c>
      <c r="V153" s="1">
        <v>577.14800000000002</v>
      </c>
      <c r="W153" s="1">
        <v>752.85199999999998</v>
      </c>
      <c r="X153" s="1">
        <v>132.18100000000001</v>
      </c>
      <c r="Y153" s="1">
        <v>4.9400000000000004</v>
      </c>
      <c r="Z153" s="1">
        <v>8.0150000000000006</v>
      </c>
      <c r="AA153" s="1">
        <v>21.7</v>
      </c>
      <c r="AB153" s="1">
        <v>290.5</v>
      </c>
      <c r="AC153" s="1">
        <v>12541</v>
      </c>
      <c r="AD153" s="1">
        <v>3286</v>
      </c>
      <c r="AE153" s="1">
        <v>268</v>
      </c>
      <c r="AF153" s="1">
        <v>17</v>
      </c>
      <c r="AG153" s="1">
        <v>17</v>
      </c>
      <c r="AH153" s="1">
        <v>33.6</v>
      </c>
      <c r="AI153" s="1">
        <v>53.4</v>
      </c>
      <c r="AJ153" s="1">
        <v>13.1</v>
      </c>
      <c r="AK153" s="1">
        <v>82.2</v>
      </c>
      <c r="AL153" s="1">
        <v>31.9</v>
      </c>
      <c r="AM153" s="1">
        <v>8</v>
      </c>
      <c r="AN153" s="1">
        <v>0</v>
      </c>
      <c r="AO153" s="1">
        <v>0</v>
      </c>
      <c r="AP153" s="1" t="s">
        <v>266</v>
      </c>
      <c r="AQ153" s="1" t="s">
        <v>267</v>
      </c>
      <c r="AR153" s="1" t="s">
        <v>268</v>
      </c>
    </row>
    <row r="154" spans="1:44" x14ac:dyDescent="0.2">
      <c r="A154" s="1" t="s">
        <v>66</v>
      </c>
      <c r="B154" s="1" t="s">
        <v>265</v>
      </c>
      <c r="C154" s="1">
        <v>-37.9</v>
      </c>
      <c r="D154" s="1">
        <v>463237.4</v>
      </c>
      <c r="E154" s="1">
        <v>5970640</v>
      </c>
      <c r="F154" s="1">
        <v>0</v>
      </c>
      <c r="G154" s="1">
        <v>-0.6</v>
      </c>
      <c r="H154" s="1">
        <v>0</v>
      </c>
      <c r="I154" s="1">
        <v>2</v>
      </c>
      <c r="J154" s="1">
        <v>0</v>
      </c>
      <c r="K154" s="1">
        <v>-63.8</v>
      </c>
      <c r="L154" s="1">
        <v>25.9</v>
      </c>
      <c r="M154" s="1">
        <v>1641.8910000000001</v>
      </c>
      <c r="N154" s="1">
        <v>89.2</v>
      </c>
      <c r="O154" s="1">
        <v>8</v>
      </c>
      <c r="P154" s="1">
        <v>10</v>
      </c>
      <c r="Q154" s="1">
        <v>2.5299999999999998</v>
      </c>
      <c r="R154" s="1">
        <v>68</v>
      </c>
      <c r="S154" s="1">
        <v>110</v>
      </c>
      <c r="T154" s="1">
        <v>147</v>
      </c>
      <c r="U154" s="1">
        <v>1357.7460000000001</v>
      </c>
      <c r="V154" s="1">
        <v>452.86700000000002</v>
      </c>
      <c r="W154" s="1">
        <v>752.85199999999998</v>
      </c>
      <c r="X154" s="1">
        <v>132.18100000000001</v>
      </c>
      <c r="Y154" s="1">
        <v>4.9400000000000004</v>
      </c>
      <c r="Z154" s="1">
        <v>8.0150000000000006</v>
      </c>
      <c r="AA154" s="1">
        <v>21.7</v>
      </c>
      <c r="AB154" s="1">
        <v>290.5</v>
      </c>
      <c r="AC154" s="1">
        <v>12535</v>
      </c>
      <c r="AD154" s="1">
        <v>3366</v>
      </c>
      <c r="AE154" s="1">
        <v>268</v>
      </c>
      <c r="AF154" s="1">
        <v>15</v>
      </c>
      <c r="AG154" s="1">
        <v>15</v>
      </c>
      <c r="AH154" s="1">
        <v>33.4</v>
      </c>
      <c r="AI154" s="1">
        <v>53.5</v>
      </c>
      <c r="AJ154" s="1">
        <v>13.1</v>
      </c>
      <c r="AK154" s="1">
        <v>82.8</v>
      </c>
      <c r="AL154" s="1">
        <v>31.9</v>
      </c>
      <c r="AM154" s="1">
        <v>8</v>
      </c>
      <c r="AN154" s="1">
        <v>0</v>
      </c>
      <c r="AO154" s="1">
        <v>0</v>
      </c>
      <c r="AP154" s="1" t="s">
        <v>266</v>
      </c>
      <c r="AQ154" s="1" t="s">
        <v>267</v>
      </c>
      <c r="AR154" s="1" t="s">
        <v>268</v>
      </c>
    </row>
    <row r="155" spans="1:44" x14ac:dyDescent="0.2">
      <c r="A155" s="1" t="s">
        <v>172</v>
      </c>
      <c r="B155" s="1" t="s">
        <v>265</v>
      </c>
      <c r="C155" s="1">
        <v>-39.9</v>
      </c>
      <c r="D155" s="1">
        <v>466616</v>
      </c>
      <c r="E155" s="1">
        <v>5968560</v>
      </c>
      <c r="F155" s="1">
        <v>0</v>
      </c>
      <c r="G155" s="1">
        <v>-0.7</v>
      </c>
      <c r="H155" s="1">
        <v>0</v>
      </c>
      <c r="I155" s="1">
        <v>2</v>
      </c>
      <c r="J155" s="1">
        <v>0</v>
      </c>
      <c r="K155" s="1">
        <v>-68</v>
      </c>
      <c r="L155" s="1">
        <v>28.1</v>
      </c>
      <c r="M155" s="1">
        <v>1771.9159999999999</v>
      </c>
      <c r="N155" s="1">
        <v>93.4</v>
      </c>
      <c r="O155" s="1">
        <v>8</v>
      </c>
      <c r="P155" s="1">
        <v>10.5</v>
      </c>
      <c r="Q155" s="1">
        <v>2.6095000000000002</v>
      </c>
      <c r="R155" s="1">
        <v>72</v>
      </c>
      <c r="S155" s="1">
        <v>112</v>
      </c>
      <c r="T155" s="1">
        <v>146</v>
      </c>
      <c r="U155" s="1">
        <v>1405.9949999999999</v>
      </c>
      <c r="V155" s="1">
        <v>329.00599999999997</v>
      </c>
      <c r="W155" s="1">
        <v>752.85199999999998</v>
      </c>
      <c r="X155" s="1">
        <v>132.18100000000001</v>
      </c>
      <c r="Y155" s="1">
        <v>4.9400000000000004</v>
      </c>
      <c r="Z155" s="1">
        <v>8.0150000000000006</v>
      </c>
      <c r="AA155" s="1">
        <v>21.7</v>
      </c>
      <c r="AB155" s="1">
        <v>290.5</v>
      </c>
      <c r="AC155" s="1">
        <v>12950</v>
      </c>
      <c r="AD155" s="1">
        <v>3564</v>
      </c>
      <c r="AE155" s="1">
        <v>268</v>
      </c>
      <c r="AF155" s="1">
        <v>17</v>
      </c>
      <c r="AG155" s="1">
        <v>17</v>
      </c>
      <c r="AH155" s="1">
        <v>33.200000000000003</v>
      </c>
      <c r="AI155" s="1">
        <v>51.7</v>
      </c>
      <c r="AJ155" s="1">
        <v>15.1</v>
      </c>
      <c r="AK155" s="1">
        <v>83.2</v>
      </c>
      <c r="AL155" s="1">
        <v>31.9</v>
      </c>
      <c r="AM155" s="1">
        <v>8</v>
      </c>
      <c r="AN155" s="1">
        <v>0</v>
      </c>
      <c r="AO155" s="1">
        <v>0</v>
      </c>
      <c r="AP155" s="1" t="s">
        <v>270</v>
      </c>
      <c r="AQ155" s="1" t="s">
        <v>267</v>
      </c>
      <c r="AR155" s="1" t="s">
        <v>268</v>
      </c>
    </row>
    <row r="156" spans="1:44" x14ac:dyDescent="0.2">
      <c r="A156" s="1" t="s">
        <v>199</v>
      </c>
      <c r="B156" s="1" t="s">
        <v>265</v>
      </c>
      <c r="C156" s="1">
        <v>-45.1</v>
      </c>
      <c r="D156" s="1">
        <v>469237</v>
      </c>
      <c r="E156" s="1">
        <v>5967750</v>
      </c>
      <c r="F156" s="1">
        <v>0</v>
      </c>
      <c r="G156" s="1">
        <v>-0.7</v>
      </c>
      <c r="H156" s="1">
        <v>0</v>
      </c>
      <c r="I156" s="1">
        <v>2</v>
      </c>
      <c r="J156" s="1">
        <v>0</v>
      </c>
      <c r="K156" s="1">
        <v>-78.7</v>
      </c>
      <c r="L156" s="1">
        <v>33.6</v>
      </c>
      <c r="M156" s="1">
        <v>2094.7669999999998</v>
      </c>
      <c r="N156" s="1">
        <v>104.1</v>
      </c>
      <c r="O156" s="1">
        <v>8</v>
      </c>
      <c r="P156" s="1">
        <v>11</v>
      </c>
      <c r="Q156" s="1">
        <v>2.9908999999999999</v>
      </c>
      <c r="R156" s="1">
        <v>70</v>
      </c>
      <c r="S156" s="1">
        <v>117</v>
      </c>
      <c r="T156" s="1">
        <v>149</v>
      </c>
      <c r="U156" s="1">
        <v>1643.9580000000001</v>
      </c>
      <c r="V156" s="1">
        <v>472.935</v>
      </c>
      <c r="W156" s="1">
        <v>752.85199999999998</v>
      </c>
      <c r="X156" s="1">
        <v>132.18100000000001</v>
      </c>
      <c r="Y156" s="1">
        <v>4.9400000000000004</v>
      </c>
      <c r="Z156" s="1">
        <v>8.0150000000000006</v>
      </c>
      <c r="AA156" s="1">
        <v>21.7</v>
      </c>
      <c r="AB156" s="1">
        <v>290.5</v>
      </c>
      <c r="AC156" s="1">
        <v>13827</v>
      </c>
      <c r="AD156" s="1">
        <v>3984</v>
      </c>
      <c r="AE156" s="1">
        <v>268</v>
      </c>
      <c r="AF156" s="1">
        <v>23</v>
      </c>
      <c r="AG156" s="1">
        <v>23</v>
      </c>
      <c r="AH156" s="1">
        <v>29.1</v>
      </c>
      <c r="AI156" s="1">
        <v>55.3</v>
      </c>
      <c r="AJ156" s="1">
        <v>15.7</v>
      </c>
      <c r="AK156" s="1">
        <v>85</v>
      </c>
      <c r="AL156" s="1">
        <v>31.9</v>
      </c>
      <c r="AM156" s="1">
        <v>8</v>
      </c>
      <c r="AN156" s="1">
        <v>0</v>
      </c>
      <c r="AO156" s="1">
        <v>0</v>
      </c>
      <c r="AP156" s="1" t="s">
        <v>270</v>
      </c>
      <c r="AQ156" s="1" t="s">
        <v>267</v>
      </c>
      <c r="AR156" s="1" t="s">
        <v>268</v>
      </c>
    </row>
    <row r="157" spans="1:44" x14ac:dyDescent="0.2">
      <c r="A157" s="1" t="s">
        <v>31</v>
      </c>
      <c r="B157" s="1" t="s">
        <v>269</v>
      </c>
      <c r="C157" s="1">
        <v>-36.799999999999997</v>
      </c>
      <c r="D157" s="1">
        <v>473128.1</v>
      </c>
      <c r="E157" s="1">
        <v>5964859.7999999998</v>
      </c>
      <c r="F157" s="1">
        <v>0</v>
      </c>
      <c r="G157" s="1">
        <v>-0.7</v>
      </c>
      <c r="H157" s="1">
        <v>0</v>
      </c>
      <c r="I157" s="1">
        <v>2</v>
      </c>
      <c r="J157" s="1">
        <v>0</v>
      </c>
      <c r="K157" s="1">
        <v>-66.8</v>
      </c>
      <c r="L157" s="1">
        <v>30</v>
      </c>
      <c r="M157" s="1">
        <v>1715.9159999999999</v>
      </c>
      <c r="N157" s="1">
        <v>92.2</v>
      </c>
      <c r="O157" s="1">
        <v>8</v>
      </c>
      <c r="P157" s="1">
        <v>10</v>
      </c>
      <c r="Q157" s="1">
        <v>2.93</v>
      </c>
      <c r="R157" s="1">
        <v>68</v>
      </c>
      <c r="S157" s="1">
        <v>110</v>
      </c>
      <c r="T157" s="1">
        <v>147</v>
      </c>
      <c r="U157" s="1">
        <v>1357.646</v>
      </c>
      <c r="V157" s="1">
        <v>452.86700000000002</v>
      </c>
      <c r="W157" s="1">
        <v>752.85199999999998</v>
      </c>
      <c r="X157" s="1">
        <v>132.18100000000001</v>
      </c>
      <c r="Y157" s="1">
        <v>4.9400000000000004</v>
      </c>
      <c r="Z157" s="1">
        <v>8.0150000000000006</v>
      </c>
      <c r="AA157" s="1">
        <v>21.7</v>
      </c>
      <c r="AB157" s="1">
        <v>290.5</v>
      </c>
      <c r="AC157" s="1">
        <v>12721</v>
      </c>
      <c r="AD157" s="1">
        <v>3298</v>
      </c>
      <c r="AE157" s="1">
        <v>268</v>
      </c>
      <c r="AF157" s="1">
        <v>19</v>
      </c>
      <c r="AG157" s="1">
        <v>19</v>
      </c>
      <c r="AH157" s="1">
        <v>31.9</v>
      </c>
      <c r="AI157" s="1">
        <v>55.5</v>
      </c>
      <c r="AJ157" s="1">
        <v>12.5</v>
      </c>
      <c r="AK157" s="1">
        <v>83.4</v>
      </c>
      <c r="AL157" s="1">
        <v>31.9</v>
      </c>
      <c r="AM157" s="1">
        <v>8</v>
      </c>
      <c r="AN157" s="1">
        <v>0</v>
      </c>
      <c r="AO157" s="1">
        <v>0</v>
      </c>
      <c r="AP157" s="1" t="s">
        <v>266</v>
      </c>
      <c r="AQ157" s="1" t="s">
        <v>267</v>
      </c>
      <c r="AR157" s="1" t="s">
        <v>268</v>
      </c>
    </row>
    <row r="158" spans="1:44" x14ac:dyDescent="0.2">
      <c r="A158" s="1" t="s">
        <v>184</v>
      </c>
      <c r="B158" s="1" t="s">
        <v>265</v>
      </c>
      <c r="C158" s="1">
        <v>-39.9</v>
      </c>
      <c r="D158" s="1">
        <v>471135</v>
      </c>
      <c r="E158" s="1">
        <v>5971400</v>
      </c>
      <c r="F158" s="1">
        <v>0</v>
      </c>
      <c r="G158" s="1">
        <v>-0.6</v>
      </c>
      <c r="H158" s="1">
        <v>0</v>
      </c>
      <c r="I158" s="1">
        <v>2</v>
      </c>
      <c r="J158" s="1">
        <v>0</v>
      </c>
      <c r="K158" s="1">
        <v>-66.8</v>
      </c>
      <c r="L158" s="1">
        <v>26.9</v>
      </c>
      <c r="M158" s="1">
        <v>1722.5239999999999</v>
      </c>
      <c r="N158" s="1">
        <v>92.2</v>
      </c>
      <c r="O158" s="1">
        <v>8</v>
      </c>
      <c r="P158" s="1">
        <v>10.5</v>
      </c>
      <c r="Q158" s="1">
        <v>2.5047999999999999</v>
      </c>
      <c r="R158" s="1">
        <v>70</v>
      </c>
      <c r="S158" s="1">
        <v>112</v>
      </c>
      <c r="T158" s="1">
        <v>146</v>
      </c>
      <c r="U158" s="1">
        <v>1406.2080000000001</v>
      </c>
      <c r="V158" s="1">
        <v>423.21699999999998</v>
      </c>
      <c r="W158" s="1">
        <v>752.85199999999998</v>
      </c>
      <c r="X158" s="1">
        <v>132.18100000000001</v>
      </c>
      <c r="Y158" s="1">
        <v>4.9400000000000004</v>
      </c>
      <c r="Z158" s="1">
        <v>8.0150000000000006</v>
      </c>
      <c r="AA158" s="1">
        <v>21.7</v>
      </c>
      <c r="AB158" s="1">
        <v>290.5</v>
      </c>
      <c r="AC158" s="1">
        <v>12872</v>
      </c>
      <c r="AD158" s="1">
        <v>3565</v>
      </c>
      <c r="AE158" s="1">
        <v>268</v>
      </c>
      <c r="AF158" s="1">
        <v>17</v>
      </c>
      <c r="AG158" s="1">
        <v>17</v>
      </c>
      <c r="AH158" s="1">
        <v>33.299999999999997</v>
      </c>
      <c r="AI158" s="1">
        <v>51.8</v>
      </c>
      <c r="AJ158" s="1">
        <v>14.9</v>
      </c>
      <c r="AK158" s="1">
        <v>81.900000000000006</v>
      </c>
      <c r="AL158" s="1">
        <v>31.9</v>
      </c>
      <c r="AM158" s="1">
        <v>8</v>
      </c>
      <c r="AN158" s="1">
        <v>0</v>
      </c>
      <c r="AO158" s="1">
        <v>0</v>
      </c>
      <c r="AP158" s="1" t="s">
        <v>270</v>
      </c>
      <c r="AQ158" s="1" t="s">
        <v>267</v>
      </c>
      <c r="AR158" s="1" t="s">
        <v>268</v>
      </c>
    </row>
    <row r="159" spans="1:44" x14ac:dyDescent="0.2">
      <c r="A159" s="1" t="s">
        <v>24</v>
      </c>
      <c r="B159" s="1" t="s">
        <v>269</v>
      </c>
      <c r="C159" s="1">
        <v>-35.9</v>
      </c>
      <c r="D159" s="1">
        <v>473540.5</v>
      </c>
      <c r="E159" s="1">
        <v>5970810</v>
      </c>
      <c r="F159" s="1">
        <v>0</v>
      </c>
      <c r="G159" s="1">
        <v>-0.6</v>
      </c>
      <c r="H159" s="1">
        <v>0</v>
      </c>
      <c r="I159" s="1">
        <v>2</v>
      </c>
      <c r="J159" s="1">
        <v>0</v>
      </c>
      <c r="K159" s="1">
        <v>-67.2</v>
      </c>
      <c r="L159" s="1">
        <v>31.3</v>
      </c>
      <c r="M159" s="1">
        <v>1699.1369999999999</v>
      </c>
      <c r="N159" s="1">
        <v>92.6</v>
      </c>
      <c r="O159" s="1">
        <v>8</v>
      </c>
      <c r="P159" s="1">
        <v>10</v>
      </c>
      <c r="Q159" s="1">
        <v>3.07</v>
      </c>
      <c r="R159" s="1">
        <v>68</v>
      </c>
      <c r="S159" s="1">
        <v>110</v>
      </c>
      <c r="T159" s="1">
        <v>147</v>
      </c>
      <c r="U159" s="1">
        <v>1420.1379999999999</v>
      </c>
      <c r="V159" s="1">
        <v>483.86799999999999</v>
      </c>
      <c r="W159" s="1">
        <v>752.85199999999998</v>
      </c>
      <c r="X159" s="1">
        <v>132.18100000000001</v>
      </c>
      <c r="Y159" s="1">
        <v>4.9400000000000004</v>
      </c>
      <c r="Z159" s="1">
        <v>8.0150000000000006</v>
      </c>
      <c r="AA159" s="1">
        <v>21.7</v>
      </c>
      <c r="AB159" s="1">
        <v>290.5</v>
      </c>
      <c r="AC159" s="1">
        <v>12747</v>
      </c>
      <c r="AD159" s="1">
        <v>3242</v>
      </c>
      <c r="AE159" s="1">
        <v>268</v>
      </c>
      <c r="AF159" s="1">
        <v>21</v>
      </c>
      <c r="AG159" s="1">
        <v>21</v>
      </c>
      <c r="AH159" s="1">
        <v>32.200000000000003</v>
      </c>
      <c r="AI159" s="1">
        <v>55.2</v>
      </c>
      <c r="AJ159" s="1">
        <v>12.6</v>
      </c>
      <c r="AK159" s="1">
        <v>82.3</v>
      </c>
      <c r="AL159" s="1">
        <v>31.9</v>
      </c>
      <c r="AM159" s="1">
        <v>8</v>
      </c>
      <c r="AN159" s="1">
        <v>0</v>
      </c>
      <c r="AO159" s="1">
        <v>0</v>
      </c>
      <c r="AP159" s="1" t="s">
        <v>266</v>
      </c>
      <c r="AQ159" s="1" t="s">
        <v>267</v>
      </c>
      <c r="AR159" s="1" t="s">
        <v>268</v>
      </c>
    </row>
    <row r="160" spans="1:44" x14ac:dyDescent="0.2">
      <c r="A160" s="1" t="s">
        <v>129</v>
      </c>
      <c r="B160" s="1" t="s">
        <v>265</v>
      </c>
      <c r="C160" s="1">
        <v>-31.2</v>
      </c>
      <c r="D160" s="1">
        <v>474030</v>
      </c>
      <c r="E160" s="1">
        <v>5973220</v>
      </c>
      <c r="F160" s="1">
        <v>0</v>
      </c>
      <c r="G160" s="1">
        <v>-0.6</v>
      </c>
      <c r="H160" s="1">
        <v>0</v>
      </c>
      <c r="I160" s="1">
        <v>2</v>
      </c>
      <c r="J160" s="1">
        <v>0</v>
      </c>
      <c r="K160" s="1">
        <v>-60.2</v>
      </c>
      <c r="L160" s="1">
        <v>29</v>
      </c>
      <c r="M160" s="1">
        <v>1478.508</v>
      </c>
      <c r="N160" s="1">
        <v>85.6</v>
      </c>
      <c r="O160" s="1">
        <v>8</v>
      </c>
      <c r="P160" s="1">
        <v>10</v>
      </c>
      <c r="Q160" s="1">
        <v>2.84</v>
      </c>
      <c r="R160" s="1">
        <v>68</v>
      </c>
      <c r="S160" s="1">
        <v>110</v>
      </c>
      <c r="T160" s="1">
        <v>147</v>
      </c>
      <c r="U160" s="1">
        <v>1296.0329999999999</v>
      </c>
      <c r="V160" s="1">
        <v>586.55999999999995</v>
      </c>
      <c r="W160" s="1">
        <v>752.85199999999998</v>
      </c>
      <c r="X160" s="1">
        <v>132.18100000000001</v>
      </c>
      <c r="Y160" s="1">
        <v>4.9400000000000004</v>
      </c>
      <c r="Z160" s="1">
        <v>8.0150000000000006</v>
      </c>
      <c r="AA160" s="1">
        <v>21.7</v>
      </c>
      <c r="AB160" s="1">
        <v>290.5</v>
      </c>
      <c r="AC160" s="1">
        <v>12313</v>
      </c>
      <c r="AD160" s="1">
        <v>2950</v>
      </c>
      <c r="AE160" s="1">
        <v>268</v>
      </c>
      <c r="AF160" s="1">
        <v>19</v>
      </c>
      <c r="AG160" s="1">
        <v>19</v>
      </c>
      <c r="AH160" s="1">
        <v>36.5</v>
      </c>
      <c r="AI160" s="1">
        <v>50.3</v>
      </c>
      <c r="AJ160" s="1">
        <v>13.2</v>
      </c>
      <c r="AK160" s="1">
        <v>78.2</v>
      </c>
      <c r="AL160" s="1">
        <v>31.9</v>
      </c>
      <c r="AM160" s="1">
        <v>8</v>
      </c>
      <c r="AN160" s="1">
        <v>0</v>
      </c>
      <c r="AO160" s="1">
        <v>0</v>
      </c>
      <c r="AP160" s="1" t="s">
        <v>266</v>
      </c>
      <c r="AQ160" s="1" t="s">
        <v>267</v>
      </c>
      <c r="AR160" s="1" t="s">
        <v>268</v>
      </c>
    </row>
    <row r="161" spans="1:44" x14ac:dyDescent="0.2">
      <c r="A161" s="1" t="s">
        <v>168</v>
      </c>
      <c r="B161" s="1" t="s">
        <v>265</v>
      </c>
      <c r="C161" s="1">
        <v>-37.4</v>
      </c>
      <c r="D161" s="1">
        <v>451758.6</v>
      </c>
      <c r="E161" s="1">
        <v>5976071.2000000002</v>
      </c>
      <c r="F161" s="1">
        <v>0</v>
      </c>
      <c r="G161" s="1">
        <v>-0.6</v>
      </c>
      <c r="H161" s="1">
        <v>0</v>
      </c>
      <c r="I161" s="1">
        <v>2</v>
      </c>
      <c r="J161" s="1">
        <v>0</v>
      </c>
      <c r="K161" s="1">
        <v>-71.900000000000006</v>
      </c>
      <c r="L161" s="1">
        <v>34.5</v>
      </c>
      <c r="M161" s="1">
        <v>1855.6030000000001</v>
      </c>
      <c r="N161" s="1">
        <v>97.3</v>
      </c>
      <c r="O161" s="1">
        <v>8</v>
      </c>
      <c r="P161" s="1">
        <v>10.5</v>
      </c>
      <c r="Q161" s="1">
        <v>3.2286000000000001</v>
      </c>
      <c r="R161" s="1">
        <v>72</v>
      </c>
      <c r="S161" s="1">
        <v>112</v>
      </c>
      <c r="T161" s="1">
        <v>146</v>
      </c>
      <c r="U161" s="1">
        <v>1471.44</v>
      </c>
      <c r="V161" s="1">
        <v>493.01</v>
      </c>
      <c r="W161" s="1">
        <v>752.85199999999998</v>
      </c>
      <c r="X161" s="1">
        <v>132.18100000000001</v>
      </c>
      <c r="Y161" s="1">
        <v>4.9400000000000004</v>
      </c>
      <c r="Z161" s="1">
        <v>8.0150000000000006</v>
      </c>
      <c r="AA161" s="1">
        <v>21.7</v>
      </c>
      <c r="AB161" s="1">
        <v>290.5</v>
      </c>
      <c r="AC161" s="1">
        <v>13205</v>
      </c>
      <c r="AD161" s="1">
        <v>3400</v>
      </c>
      <c r="AE161" s="1">
        <v>268</v>
      </c>
      <c r="AF161" s="1">
        <v>23</v>
      </c>
      <c r="AG161" s="1">
        <v>23</v>
      </c>
      <c r="AH161" s="1">
        <v>32.1</v>
      </c>
      <c r="AI161" s="1">
        <v>53.4</v>
      </c>
      <c r="AJ161" s="1">
        <v>14.5</v>
      </c>
      <c r="AK161" s="1">
        <v>83.4</v>
      </c>
      <c r="AL161" s="1">
        <v>31.9</v>
      </c>
      <c r="AM161" s="1">
        <v>8</v>
      </c>
      <c r="AN161" s="1">
        <v>0</v>
      </c>
      <c r="AO161" s="1">
        <v>0</v>
      </c>
      <c r="AP161" s="1" t="s">
        <v>270</v>
      </c>
      <c r="AQ161" s="1" t="s">
        <v>267</v>
      </c>
      <c r="AR161" s="1" t="s">
        <v>268</v>
      </c>
    </row>
    <row r="162" spans="1:44" x14ac:dyDescent="0.2">
      <c r="A162" s="1" t="s">
        <v>189</v>
      </c>
      <c r="B162" s="1" t="s">
        <v>265</v>
      </c>
      <c r="C162" s="1">
        <v>-39.5</v>
      </c>
      <c r="D162" s="1">
        <v>452933</v>
      </c>
      <c r="E162" s="1">
        <v>5977408</v>
      </c>
      <c r="F162" s="1">
        <v>0</v>
      </c>
      <c r="G162" s="1">
        <v>-0.6</v>
      </c>
      <c r="H162" s="1">
        <v>0</v>
      </c>
      <c r="I162" s="1">
        <v>2</v>
      </c>
      <c r="J162" s="1">
        <v>0</v>
      </c>
      <c r="K162" s="1">
        <v>-72.5</v>
      </c>
      <c r="L162" s="1">
        <v>33</v>
      </c>
      <c r="M162" s="1">
        <v>1907.65</v>
      </c>
      <c r="N162" s="1">
        <v>97.9</v>
      </c>
      <c r="O162" s="1">
        <v>8</v>
      </c>
      <c r="P162" s="1">
        <v>11</v>
      </c>
      <c r="Q162" s="1">
        <v>2.9455</v>
      </c>
      <c r="R162" s="1">
        <v>70</v>
      </c>
      <c r="S162" s="1">
        <v>117</v>
      </c>
      <c r="T162" s="1">
        <v>149</v>
      </c>
      <c r="U162" s="1">
        <v>1507.16</v>
      </c>
      <c r="V162" s="1">
        <v>438.47800000000001</v>
      </c>
      <c r="W162" s="1">
        <v>752.85199999999998</v>
      </c>
      <c r="X162" s="1">
        <v>132.18100000000001</v>
      </c>
      <c r="Y162" s="1">
        <v>4.9400000000000004</v>
      </c>
      <c r="Z162" s="1">
        <v>8.0150000000000006</v>
      </c>
      <c r="AA162" s="1">
        <v>21.7</v>
      </c>
      <c r="AB162" s="1">
        <v>290.5</v>
      </c>
      <c r="AC162" s="1">
        <v>13403</v>
      </c>
      <c r="AD162" s="1">
        <v>3601</v>
      </c>
      <c r="AE162" s="1">
        <v>268</v>
      </c>
      <c r="AF162" s="1">
        <v>23</v>
      </c>
      <c r="AG162" s="1">
        <v>23</v>
      </c>
      <c r="AH162" s="1">
        <v>30</v>
      </c>
      <c r="AI162" s="1">
        <v>53.5</v>
      </c>
      <c r="AJ162" s="1">
        <v>16.399999999999999</v>
      </c>
      <c r="AK162" s="1">
        <v>82.6</v>
      </c>
      <c r="AL162" s="1">
        <v>31.9</v>
      </c>
      <c r="AM162" s="1">
        <v>8</v>
      </c>
      <c r="AN162" s="1">
        <v>0</v>
      </c>
      <c r="AO162" s="1">
        <v>0</v>
      </c>
      <c r="AP162" s="1" t="s">
        <v>270</v>
      </c>
      <c r="AQ162" s="1" t="s">
        <v>267</v>
      </c>
      <c r="AR162" s="1" t="s">
        <v>268</v>
      </c>
    </row>
    <row r="163" spans="1:44" x14ac:dyDescent="0.2">
      <c r="A163" s="1" t="s">
        <v>57</v>
      </c>
      <c r="B163" s="1" t="s">
        <v>265</v>
      </c>
      <c r="C163" s="1">
        <v>-36.5</v>
      </c>
      <c r="D163" s="1">
        <v>456083.8</v>
      </c>
      <c r="E163" s="1">
        <v>5975530</v>
      </c>
      <c r="F163" s="1">
        <v>0</v>
      </c>
      <c r="G163" s="1">
        <v>-0.6</v>
      </c>
      <c r="H163" s="1">
        <v>0</v>
      </c>
      <c r="I163" s="1">
        <v>2</v>
      </c>
      <c r="J163" s="1">
        <v>0</v>
      </c>
      <c r="K163" s="1">
        <v>-64.900000000000006</v>
      </c>
      <c r="L163" s="1">
        <v>28.4</v>
      </c>
      <c r="M163" s="1">
        <v>1631.509</v>
      </c>
      <c r="N163" s="1">
        <v>90.3</v>
      </c>
      <c r="O163" s="1">
        <v>8</v>
      </c>
      <c r="P163" s="1">
        <v>10</v>
      </c>
      <c r="Q163" s="1">
        <v>2.78</v>
      </c>
      <c r="R163" s="1">
        <v>68</v>
      </c>
      <c r="S163" s="1">
        <v>110</v>
      </c>
      <c r="T163" s="1">
        <v>147</v>
      </c>
      <c r="U163" s="1">
        <v>1357.922</v>
      </c>
      <c r="V163" s="1">
        <v>552.01599999999996</v>
      </c>
      <c r="W163" s="1">
        <v>752.85199999999998</v>
      </c>
      <c r="X163" s="1">
        <v>132.18100000000001</v>
      </c>
      <c r="Y163" s="1">
        <v>4.9400000000000004</v>
      </c>
      <c r="Z163" s="1">
        <v>8.0150000000000006</v>
      </c>
      <c r="AA163" s="1">
        <v>21.7</v>
      </c>
      <c r="AB163" s="1">
        <v>290.5</v>
      </c>
      <c r="AC163" s="1">
        <v>12604</v>
      </c>
      <c r="AD163" s="1">
        <v>3279</v>
      </c>
      <c r="AE163" s="1">
        <v>268</v>
      </c>
      <c r="AF163" s="1">
        <v>17</v>
      </c>
      <c r="AG163" s="1">
        <v>17</v>
      </c>
      <c r="AH163" s="1">
        <v>33.6</v>
      </c>
      <c r="AI163" s="1">
        <v>53.3</v>
      </c>
      <c r="AJ163" s="1">
        <v>13.1</v>
      </c>
      <c r="AK163" s="1">
        <v>81.3</v>
      </c>
      <c r="AL163" s="1">
        <v>31.9</v>
      </c>
      <c r="AM163" s="1">
        <v>8</v>
      </c>
      <c r="AN163" s="1">
        <v>0</v>
      </c>
      <c r="AO163" s="1">
        <v>0</v>
      </c>
      <c r="AP163" s="1" t="s">
        <v>266</v>
      </c>
      <c r="AQ163" s="1" t="s">
        <v>267</v>
      </c>
      <c r="AR163" s="1" t="s">
        <v>268</v>
      </c>
    </row>
    <row r="164" spans="1:44" x14ac:dyDescent="0.2">
      <c r="A164" s="1" t="s">
        <v>70</v>
      </c>
      <c r="B164" s="1" t="s">
        <v>265</v>
      </c>
      <c r="C164" s="1">
        <v>-37.200000000000003</v>
      </c>
      <c r="D164" s="1">
        <v>458772</v>
      </c>
      <c r="E164" s="1">
        <v>5974480</v>
      </c>
      <c r="F164" s="1">
        <v>0</v>
      </c>
      <c r="G164" s="1">
        <v>-0.7</v>
      </c>
      <c r="H164" s="1">
        <v>0</v>
      </c>
      <c r="I164" s="1">
        <v>2</v>
      </c>
      <c r="J164" s="1">
        <v>0</v>
      </c>
      <c r="K164" s="1">
        <v>-63.6</v>
      </c>
      <c r="L164" s="1">
        <v>26.4</v>
      </c>
      <c r="M164" s="1">
        <v>1642.5650000000001</v>
      </c>
      <c r="N164" s="1">
        <v>89</v>
      </c>
      <c r="O164" s="1">
        <v>8</v>
      </c>
      <c r="P164" s="1">
        <v>10</v>
      </c>
      <c r="Q164" s="1">
        <v>2.57</v>
      </c>
      <c r="R164" s="1">
        <v>68</v>
      </c>
      <c r="S164" s="1">
        <v>110</v>
      </c>
      <c r="T164" s="1">
        <v>147</v>
      </c>
      <c r="U164" s="1">
        <v>1295.404</v>
      </c>
      <c r="V164" s="1">
        <v>396.85899999999998</v>
      </c>
      <c r="W164" s="1">
        <v>752.85199999999998</v>
      </c>
      <c r="X164" s="1">
        <v>132.18100000000001</v>
      </c>
      <c r="Y164" s="1">
        <v>4.9400000000000004</v>
      </c>
      <c r="Z164" s="1">
        <v>8.0150000000000006</v>
      </c>
      <c r="AA164" s="1">
        <v>21.7</v>
      </c>
      <c r="AB164" s="1">
        <v>290.5</v>
      </c>
      <c r="AC164" s="1">
        <v>12522</v>
      </c>
      <c r="AD164" s="1">
        <v>3323</v>
      </c>
      <c r="AE164" s="1">
        <v>268</v>
      </c>
      <c r="AF164" s="1">
        <v>15</v>
      </c>
      <c r="AG164" s="1">
        <v>15</v>
      </c>
      <c r="AH164" s="1">
        <v>33.299999999999997</v>
      </c>
      <c r="AI164" s="1">
        <v>53.6</v>
      </c>
      <c r="AJ164" s="1">
        <v>13.1</v>
      </c>
      <c r="AK164" s="1">
        <v>83</v>
      </c>
      <c r="AL164" s="1">
        <v>31.9</v>
      </c>
      <c r="AM164" s="1">
        <v>8</v>
      </c>
      <c r="AN164" s="1">
        <v>0</v>
      </c>
      <c r="AO164" s="1">
        <v>0</v>
      </c>
      <c r="AP164" s="1" t="s">
        <v>266</v>
      </c>
      <c r="AQ164" s="1" t="s">
        <v>267</v>
      </c>
      <c r="AR164" s="1" t="s">
        <v>268</v>
      </c>
    </row>
    <row r="165" spans="1:44" x14ac:dyDescent="0.2">
      <c r="A165" s="1" t="s">
        <v>165</v>
      </c>
      <c r="B165" s="1" t="s">
        <v>265</v>
      </c>
      <c r="C165" s="1">
        <v>-36.700000000000003</v>
      </c>
      <c r="D165" s="1">
        <v>462334.6</v>
      </c>
      <c r="E165" s="1">
        <v>5972090</v>
      </c>
      <c r="F165" s="1">
        <v>0</v>
      </c>
      <c r="G165" s="1">
        <v>-0.7</v>
      </c>
      <c r="H165" s="1">
        <v>0</v>
      </c>
      <c r="I165" s="1">
        <v>2</v>
      </c>
      <c r="J165" s="1">
        <v>0</v>
      </c>
      <c r="K165" s="1">
        <v>-65</v>
      </c>
      <c r="L165" s="1">
        <v>28.3</v>
      </c>
      <c r="M165" s="1">
        <v>1661.7539999999999</v>
      </c>
      <c r="N165" s="1">
        <v>90.4</v>
      </c>
      <c r="O165" s="1">
        <v>8</v>
      </c>
      <c r="P165" s="1">
        <v>10</v>
      </c>
      <c r="Q165" s="1">
        <v>2.76</v>
      </c>
      <c r="R165" s="1">
        <v>68</v>
      </c>
      <c r="S165" s="1">
        <v>110</v>
      </c>
      <c r="T165" s="1">
        <v>147</v>
      </c>
      <c r="U165" s="1">
        <v>1357.7460000000001</v>
      </c>
      <c r="V165" s="1">
        <v>427.78399999999999</v>
      </c>
      <c r="W165" s="1">
        <v>752.85199999999998</v>
      </c>
      <c r="X165" s="1">
        <v>132.18100000000001</v>
      </c>
      <c r="Y165" s="1">
        <v>4.9400000000000004</v>
      </c>
      <c r="Z165" s="1">
        <v>8.0150000000000006</v>
      </c>
      <c r="AA165" s="1">
        <v>21.7</v>
      </c>
      <c r="AB165" s="1">
        <v>290.5</v>
      </c>
      <c r="AC165" s="1">
        <v>12610</v>
      </c>
      <c r="AD165" s="1">
        <v>3292</v>
      </c>
      <c r="AE165" s="1">
        <v>268</v>
      </c>
      <c r="AF165" s="1">
        <v>17</v>
      </c>
      <c r="AG165" s="1">
        <v>17</v>
      </c>
      <c r="AH165" s="1">
        <v>33</v>
      </c>
      <c r="AI165" s="1">
        <v>54.2</v>
      </c>
      <c r="AJ165" s="1">
        <v>12.8</v>
      </c>
      <c r="AK165" s="1">
        <v>82.6</v>
      </c>
      <c r="AL165" s="1">
        <v>31.9</v>
      </c>
      <c r="AM165" s="1">
        <v>8</v>
      </c>
      <c r="AN165" s="1">
        <v>0</v>
      </c>
      <c r="AO165" s="1">
        <v>0</v>
      </c>
      <c r="AP165" s="1" t="s">
        <v>266</v>
      </c>
      <c r="AQ165" s="1" t="s">
        <v>267</v>
      </c>
      <c r="AR165" s="1" t="s">
        <v>268</v>
      </c>
    </row>
    <row r="166" spans="1:44" x14ac:dyDescent="0.2">
      <c r="A166" s="1" t="s">
        <v>94</v>
      </c>
      <c r="B166" s="1" t="s">
        <v>265</v>
      </c>
      <c r="C166" s="1">
        <v>-36.799999999999997</v>
      </c>
      <c r="D166" s="1">
        <v>465636.1</v>
      </c>
      <c r="E166" s="1">
        <v>5970130</v>
      </c>
      <c r="F166" s="1">
        <v>0</v>
      </c>
      <c r="G166" s="1">
        <v>-0.7</v>
      </c>
      <c r="H166" s="1">
        <v>0</v>
      </c>
      <c r="I166" s="1">
        <v>2</v>
      </c>
      <c r="J166" s="1">
        <v>0</v>
      </c>
      <c r="K166" s="1">
        <v>-62.6</v>
      </c>
      <c r="L166" s="1">
        <v>25.8</v>
      </c>
      <c r="M166" s="1">
        <v>1635.769</v>
      </c>
      <c r="N166" s="1">
        <v>88</v>
      </c>
      <c r="O166" s="1">
        <v>8</v>
      </c>
      <c r="P166" s="1">
        <v>10</v>
      </c>
      <c r="Q166" s="1">
        <v>2.5099999999999998</v>
      </c>
      <c r="R166" s="1">
        <v>68</v>
      </c>
      <c r="S166" s="1">
        <v>110</v>
      </c>
      <c r="T166" s="1">
        <v>147</v>
      </c>
      <c r="U166" s="1">
        <v>1295.3040000000001</v>
      </c>
      <c r="V166" s="1">
        <v>396.88400000000001</v>
      </c>
      <c r="W166" s="1">
        <v>752.85199999999998</v>
      </c>
      <c r="X166" s="1">
        <v>132.18100000000001</v>
      </c>
      <c r="Y166" s="1">
        <v>4.9400000000000004</v>
      </c>
      <c r="Z166" s="1">
        <v>8.0150000000000006</v>
      </c>
      <c r="AA166" s="1">
        <v>21.7</v>
      </c>
      <c r="AB166" s="1">
        <v>290.5</v>
      </c>
      <c r="AC166" s="1">
        <v>12459</v>
      </c>
      <c r="AD166" s="1">
        <v>3298</v>
      </c>
      <c r="AE166" s="1">
        <v>268</v>
      </c>
      <c r="AF166" s="1">
        <v>15</v>
      </c>
      <c r="AG166" s="1">
        <v>15</v>
      </c>
      <c r="AH166" s="1">
        <v>33.5</v>
      </c>
      <c r="AI166" s="1">
        <v>53.4</v>
      </c>
      <c r="AJ166" s="1">
        <v>13.1</v>
      </c>
      <c r="AK166" s="1">
        <v>83.6</v>
      </c>
      <c r="AL166" s="1">
        <v>31.9</v>
      </c>
      <c r="AM166" s="1">
        <v>8</v>
      </c>
      <c r="AN166" s="1">
        <v>0</v>
      </c>
      <c r="AO166" s="1">
        <v>0</v>
      </c>
      <c r="AP166" s="1" t="s">
        <v>266</v>
      </c>
      <c r="AQ166" s="1" t="s">
        <v>267</v>
      </c>
      <c r="AR166" s="1" t="s">
        <v>268</v>
      </c>
    </row>
    <row r="167" spans="1:44" x14ac:dyDescent="0.2">
      <c r="A167" s="1" t="s">
        <v>163</v>
      </c>
      <c r="B167" s="1" t="s">
        <v>265</v>
      </c>
      <c r="C167" s="1">
        <v>-38.200000000000003</v>
      </c>
      <c r="D167" s="1">
        <v>468137</v>
      </c>
      <c r="E167" s="1">
        <v>5969520</v>
      </c>
      <c r="F167" s="1">
        <v>0</v>
      </c>
      <c r="G167" s="1">
        <v>-0.6</v>
      </c>
      <c r="H167" s="1">
        <v>0</v>
      </c>
      <c r="I167" s="1">
        <v>2</v>
      </c>
      <c r="J167" s="1">
        <v>0</v>
      </c>
      <c r="K167" s="1">
        <v>-66.599999999999994</v>
      </c>
      <c r="L167" s="1">
        <v>28.4</v>
      </c>
      <c r="M167" s="1">
        <v>1734.807</v>
      </c>
      <c r="N167" s="1">
        <v>92</v>
      </c>
      <c r="O167" s="1">
        <v>8</v>
      </c>
      <c r="P167" s="1">
        <v>10</v>
      </c>
      <c r="Q167" s="1">
        <v>2.78</v>
      </c>
      <c r="R167" s="1">
        <v>68</v>
      </c>
      <c r="S167" s="1">
        <v>110</v>
      </c>
      <c r="T167" s="1">
        <v>147</v>
      </c>
      <c r="U167" s="1">
        <v>1357.482</v>
      </c>
      <c r="V167" s="1">
        <v>458.54700000000003</v>
      </c>
      <c r="W167" s="1">
        <v>752.85199999999998</v>
      </c>
      <c r="X167" s="1">
        <v>132.18100000000001</v>
      </c>
      <c r="Y167" s="1">
        <v>4.9400000000000004</v>
      </c>
      <c r="Z167" s="1">
        <v>8.0150000000000006</v>
      </c>
      <c r="AA167" s="1">
        <v>21.7</v>
      </c>
      <c r="AB167" s="1">
        <v>290.5</v>
      </c>
      <c r="AC167" s="1">
        <v>12708</v>
      </c>
      <c r="AD167" s="1">
        <v>3384</v>
      </c>
      <c r="AE167" s="1">
        <v>268</v>
      </c>
      <c r="AF167" s="1">
        <v>17</v>
      </c>
      <c r="AG167" s="1">
        <v>17</v>
      </c>
      <c r="AH167" s="1">
        <v>31.6</v>
      </c>
      <c r="AI167" s="1">
        <v>56.2</v>
      </c>
      <c r="AJ167" s="1">
        <v>12.2</v>
      </c>
      <c r="AK167" s="1">
        <v>84.4</v>
      </c>
      <c r="AL167" s="1">
        <v>31.9</v>
      </c>
      <c r="AM167" s="1">
        <v>8</v>
      </c>
      <c r="AN167" s="1">
        <v>0</v>
      </c>
      <c r="AO167" s="1">
        <v>0</v>
      </c>
      <c r="AP167" s="1" t="s">
        <v>266</v>
      </c>
      <c r="AQ167" s="1" t="s">
        <v>267</v>
      </c>
      <c r="AR167" s="1" t="s">
        <v>268</v>
      </c>
    </row>
    <row r="168" spans="1:44" x14ac:dyDescent="0.2">
      <c r="A168" s="1" t="s">
        <v>205</v>
      </c>
      <c r="B168" s="1" t="s">
        <v>265</v>
      </c>
      <c r="C168" s="1">
        <v>-42.4</v>
      </c>
      <c r="D168" s="1">
        <v>470250.7</v>
      </c>
      <c r="E168" s="1">
        <v>5969494.4000000004</v>
      </c>
      <c r="F168" s="1">
        <v>0</v>
      </c>
      <c r="G168" s="1">
        <v>-0.7</v>
      </c>
      <c r="H168" s="1">
        <v>0</v>
      </c>
      <c r="I168" s="1">
        <v>2</v>
      </c>
      <c r="J168" s="1">
        <v>0</v>
      </c>
      <c r="K168" s="1">
        <v>-74.7</v>
      </c>
      <c r="L168" s="1">
        <v>32.299999999999997</v>
      </c>
      <c r="M168" s="1">
        <v>1974.5409999999999</v>
      </c>
      <c r="N168" s="1">
        <v>100.1</v>
      </c>
      <c r="O168" s="1">
        <v>8</v>
      </c>
      <c r="P168" s="1">
        <v>11</v>
      </c>
      <c r="Q168" s="1">
        <v>2.8727</v>
      </c>
      <c r="R168" s="1">
        <v>70</v>
      </c>
      <c r="S168" s="1">
        <v>117</v>
      </c>
      <c r="T168" s="1">
        <v>149</v>
      </c>
      <c r="U168" s="1">
        <v>1575.5840000000001</v>
      </c>
      <c r="V168" s="1">
        <v>369.77800000000002</v>
      </c>
      <c r="W168" s="1">
        <v>752.85199999999998</v>
      </c>
      <c r="X168" s="1">
        <v>132.18100000000001</v>
      </c>
      <c r="Y168" s="1">
        <v>4.9400000000000004</v>
      </c>
      <c r="Z168" s="1">
        <v>8.0150000000000006</v>
      </c>
      <c r="AA168" s="1">
        <v>21.7</v>
      </c>
      <c r="AB168" s="1">
        <v>290.5</v>
      </c>
      <c r="AC168" s="1">
        <v>13554</v>
      </c>
      <c r="AD168" s="1">
        <v>3799</v>
      </c>
      <c r="AE168" s="1">
        <v>268</v>
      </c>
      <c r="AF168" s="1">
        <v>21</v>
      </c>
      <c r="AG168" s="1">
        <v>21</v>
      </c>
      <c r="AH168" s="1">
        <v>29.8</v>
      </c>
      <c r="AI168" s="1">
        <v>53.9</v>
      </c>
      <c r="AJ168" s="1">
        <v>16.3</v>
      </c>
      <c r="AK168" s="1">
        <v>83.6</v>
      </c>
      <c r="AL168" s="1">
        <v>31.9</v>
      </c>
      <c r="AM168" s="1">
        <v>8</v>
      </c>
      <c r="AN168" s="1">
        <v>0</v>
      </c>
      <c r="AO168" s="1">
        <v>0</v>
      </c>
      <c r="AP168" s="1" t="s">
        <v>270</v>
      </c>
      <c r="AQ168" s="1" t="s">
        <v>267</v>
      </c>
      <c r="AR168" s="1" t="s">
        <v>268</v>
      </c>
    </row>
    <row r="169" spans="1:44" x14ac:dyDescent="0.2">
      <c r="A169" s="1" t="s">
        <v>187</v>
      </c>
      <c r="B169" s="1" t="s">
        <v>265</v>
      </c>
      <c r="C169" s="1">
        <v>-37.4</v>
      </c>
      <c r="D169" s="1">
        <v>470107.9</v>
      </c>
      <c r="E169" s="1">
        <v>5973050</v>
      </c>
      <c r="F169" s="1">
        <v>0</v>
      </c>
      <c r="G169" s="1">
        <v>-0.6</v>
      </c>
      <c r="H169" s="1">
        <v>0</v>
      </c>
      <c r="I169" s="1">
        <v>2</v>
      </c>
      <c r="J169" s="1">
        <v>0</v>
      </c>
      <c r="K169" s="1">
        <v>-65</v>
      </c>
      <c r="L169" s="1">
        <v>27.6</v>
      </c>
      <c r="M169" s="1">
        <v>1662.0830000000001</v>
      </c>
      <c r="N169" s="1">
        <v>90.4</v>
      </c>
      <c r="O169" s="1">
        <v>8</v>
      </c>
      <c r="P169" s="1">
        <v>10.5</v>
      </c>
      <c r="Q169" s="1">
        <v>2.5714000000000001</v>
      </c>
      <c r="R169" s="1">
        <v>70</v>
      </c>
      <c r="S169" s="1">
        <v>112</v>
      </c>
      <c r="T169" s="1">
        <v>146</v>
      </c>
      <c r="U169" s="1">
        <v>1406.422</v>
      </c>
      <c r="V169" s="1">
        <v>323.19400000000002</v>
      </c>
      <c r="W169" s="1">
        <v>752.85199999999998</v>
      </c>
      <c r="X169" s="1">
        <v>132.18100000000001</v>
      </c>
      <c r="Y169" s="1">
        <v>4.9400000000000004</v>
      </c>
      <c r="Z169" s="1">
        <v>8.0150000000000006</v>
      </c>
      <c r="AA169" s="1">
        <v>21.7</v>
      </c>
      <c r="AB169" s="1">
        <v>290.5</v>
      </c>
      <c r="AC169" s="1">
        <v>12755</v>
      </c>
      <c r="AD169" s="1">
        <v>3402</v>
      </c>
      <c r="AE169" s="1">
        <v>268</v>
      </c>
      <c r="AF169" s="1">
        <v>17</v>
      </c>
      <c r="AG169" s="1">
        <v>17</v>
      </c>
      <c r="AH169" s="1">
        <v>33.6</v>
      </c>
      <c r="AI169" s="1">
        <v>51.4</v>
      </c>
      <c r="AJ169" s="1">
        <v>15</v>
      </c>
      <c r="AK169" s="1">
        <v>80.7</v>
      </c>
      <c r="AL169" s="1">
        <v>31.9</v>
      </c>
      <c r="AM169" s="1">
        <v>8</v>
      </c>
      <c r="AN169" s="1">
        <v>0</v>
      </c>
      <c r="AO169" s="1">
        <v>0</v>
      </c>
      <c r="AP169" s="1" t="s">
        <v>270</v>
      </c>
      <c r="AQ169" s="1" t="s">
        <v>267</v>
      </c>
      <c r="AR169" s="1" t="s">
        <v>268</v>
      </c>
    </row>
    <row r="170" spans="1:44" x14ac:dyDescent="0.2">
      <c r="A170" s="1" t="s">
        <v>85</v>
      </c>
      <c r="B170" s="1" t="s">
        <v>265</v>
      </c>
      <c r="C170" s="1">
        <v>-33.4</v>
      </c>
      <c r="D170" s="1">
        <v>472600</v>
      </c>
      <c r="E170" s="1">
        <v>5972320</v>
      </c>
      <c r="F170" s="1">
        <v>0</v>
      </c>
      <c r="G170" s="1">
        <v>-0.6</v>
      </c>
      <c r="H170" s="1">
        <v>0</v>
      </c>
      <c r="I170" s="1">
        <v>2</v>
      </c>
      <c r="J170" s="1">
        <v>0</v>
      </c>
      <c r="K170" s="1">
        <v>-63.6</v>
      </c>
      <c r="L170" s="1">
        <v>30.2</v>
      </c>
      <c r="M170" s="1">
        <v>1566.5540000000001</v>
      </c>
      <c r="N170" s="1">
        <v>89</v>
      </c>
      <c r="O170" s="1">
        <v>8</v>
      </c>
      <c r="P170" s="1">
        <v>10</v>
      </c>
      <c r="Q170" s="1">
        <v>2.96</v>
      </c>
      <c r="R170" s="1">
        <v>68</v>
      </c>
      <c r="S170" s="1">
        <v>110</v>
      </c>
      <c r="T170" s="1">
        <v>147</v>
      </c>
      <c r="U170" s="1">
        <v>1358.211</v>
      </c>
      <c r="V170" s="1">
        <v>574.18299999999999</v>
      </c>
      <c r="W170" s="1">
        <v>752.85199999999998</v>
      </c>
      <c r="X170" s="1">
        <v>132.18100000000001</v>
      </c>
      <c r="Y170" s="1">
        <v>4.9400000000000004</v>
      </c>
      <c r="Z170" s="1">
        <v>8.0150000000000006</v>
      </c>
      <c r="AA170" s="1">
        <v>21.7</v>
      </c>
      <c r="AB170" s="1">
        <v>290.5</v>
      </c>
      <c r="AC170" s="1">
        <v>12524</v>
      </c>
      <c r="AD170" s="1">
        <v>3087</v>
      </c>
      <c r="AE170" s="1">
        <v>268</v>
      </c>
      <c r="AF170" s="1">
        <v>19</v>
      </c>
      <c r="AG170" s="1">
        <v>19</v>
      </c>
      <c r="AH170" s="1">
        <v>34.799999999999997</v>
      </c>
      <c r="AI170" s="1">
        <v>52.3</v>
      </c>
      <c r="AJ170" s="1">
        <v>13</v>
      </c>
      <c r="AK170" s="1">
        <v>79.400000000000006</v>
      </c>
      <c r="AL170" s="1">
        <v>31.9</v>
      </c>
      <c r="AM170" s="1">
        <v>8</v>
      </c>
      <c r="AN170" s="1">
        <v>0</v>
      </c>
      <c r="AO170" s="1">
        <v>0</v>
      </c>
      <c r="AP170" s="1" t="s">
        <v>266</v>
      </c>
      <c r="AQ170" s="1" t="s">
        <v>267</v>
      </c>
      <c r="AR170" s="1" t="s">
        <v>268</v>
      </c>
    </row>
    <row r="171" spans="1:44" x14ac:dyDescent="0.2">
      <c r="A171" s="1" t="s">
        <v>182</v>
      </c>
      <c r="B171" s="1" t="s">
        <v>265</v>
      </c>
      <c r="C171" s="1">
        <v>-36.700000000000003</v>
      </c>
      <c r="D171" s="1">
        <v>451026.5</v>
      </c>
      <c r="E171" s="1">
        <v>5977236.2000000002</v>
      </c>
      <c r="F171" s="1">
        <v>0</v>
      </c>
      <c r="G171" s="1">
        <v>-0.7</v>
      </c>
      <c r="H171" s="1">
        <v>0</v>
      </c>
      <c r="I171" s="1">
        <v>2</v>
      </c>
      <c r="J171" s="1">
        <v>0</v>
      </c>
      <c r="K171" s="1">
        <v>-67.599999999999994</v>
      </c>
      <c r="L171" s="1">
        <v>30.9</v>
      </c>
      <c r="M171" s="1">
        <v>1744.1469999999999</v>
      </c>
      <c r="N171" s="1">
        <v>93</v>
      </c>
      <c r="O171" s="1">
        <v>8</v>
      </c>
      <c r="P171" s="1">
        <v>10.5</v>
      </c>
      <c r="Q171" s="1">
        <v>2.8761999999999999</v>
      </c>
      <c r="R171" s="1">
        <v>72</v>
      </c>
      <c r="S171" s="1">
        <v>112</v>
      </c>
      <c r="T171" s="1">
        <v>146</v>
      </c>
      <c r="U171" s="1">
        <v>1406.145</v>
      </c>
      <c r="V171" s="1">
        <v>454.13600000000002</v>
      </c>
      <c r="W171" s="1">
        <v>752.85199999999998</v>
      </c>
      <c r="X171" s="1">
        <v>132.18100000000001</v>
      </c>
      <c r="Y171" s="1">
        <v>4.9400000000000004</v>
      </c>
      <c r="Z171" s="1">
        <v>8.0150000000000006</v>
      </c>
      <c r="AA171" s="1">
        <v>21.7</v>
      </c>
      <c r="AB171" s="1">
        <v>290.5</v>
      </c>
      <c r="AC171" s="1">
        <v>12924</v>
      </c>
      <c r="AD171" s="1">
        <v>3355</v>
      </c>
      <c r="AE171" s="1">
        <v>268</v>
      </c>
      <c r="AF171" s="1">
        <v>21</v>
      </c>
      <c r="AG171" s="1">
        <v>21</v>
      </c>
      <c r="AH171" s="1">
        <v>33.299999999999997</v>
      </c>
      <c r="AI171" s="1">
        <v>51.7</v>
      </c>
      <c r="AJ171" s="1">
        <v>14.9</v>
      </c>
      <c r="AK171" s="1">
        <v>82.3</v>
      </c>
      <c r="AL171" s="1">
        <v>31.9</v>
      </c>
      <c r="AM171" s="1">
        <v>8</v>
      </c>
      <c r="AN171" s="1">
        <v>0</v>
      </c>
      <c r="AO171" s="1">
        <v>0</v>
      </c>
      <c r="AP171" s="1" t="s">
        <v>270</v>
      </c>
      <c r="AQ171" s="1" t="s">
        <v>267</v>
      </c>
      <c r="AR171" s="1" t="s">
        <v>268</v>
      </c>
    </row>
    <row r="172" spans="1:44" x14ac:dyDescent="0.2">
      <c r="A172" s="1" t="s">
        <v>188</v>
      </c>
      <c r="B172" s="1" t="s">
        <v>265</v>
      </c>
      <c r="C172" s="1">
        <v>-38.6</v>
      </c>
      <c r="D172" s="1">
        <v>452100.5</v>
      </c>
      <c r="E172" s="1">
        <v>5978746</v>
      </c>
      <c r="F172" s="1">
        <v>0</v>
      </c>
      <c r="G172" s="1">
        <v>-0.7</v>
      </c>
      <c r="H172" s="1">
        <v>0</v>
      </c>
      <c r="I172" s="1">
        <v>2</v>
      </c>
      <c r="J172" s="1">
        <v>0</v>
      </c>
      <c r="K172" s="1">
        <v>-64.7</v>
      </c>
      <c r="L172" s="1">
        <v>26.1</v>
      </c>
      <c r="M172" s="1">
        <v>1673.0119999999999</v>
      </c>
      <c r="N172" s="1">
        <v>90.1</v>
      </c>
      <c r="O172" s="1">
        <v>8</v>
      </c>
      <c r="P172" s="1">
        <v>10.5</v>
      </c>
      <c r="Q172" s="1">
        <v>2.419</v>
      </c>
      <c r="R172" s="1">
        <v>70</v>
      </c>
      <c r="S172" s="1">
        <v>112</v>
      </c>
      <c r="T172" s="1">
        <v>146</v>
      </c>
      <c r="U172" s="1">
        <v>1340.8</v>
      </c>
      <c r="V172" s="1">
        <v>421.21199999999999</v>
      </c>
      <c r="W172" s="1">
        <v>752.85199999999998</v>
      </c>
      <c r="X172" s="1">
        <v>132.18100000000001</v>
      </c>
      <c r="Y172" s="1">
        <v>4.9400000000000004</v>
      </c>
      <c r="Z172" s="1">
        <v>8.0150000000000006</v>
      </c>
      <c r="AA172" s="1">
        <v>21.7</v>
      </c>
      <c r="AB172" s="1">
        <v>290.5</v>
      </c>
      <c r="AC172" s="1">
        <v>12735</v>
      </c>
      <c r="AD172" s="1">
        <v>3480</v>
      </c>
      <c r="AE172" s="1">
        <v>268</v>
      </c>
      <c r="AF172" s="1">
        <v>15</v>
      </c>
      <c r="AG172" s="1">
        <v>15</v>
      </c>
      <c r="AH172" s="1">
        <v>33.700000000000003</v>
      </c>
      <c r="AI172" s="1">
        <v>51.2</v>
      </c>
      <c r="AJ172" s="1">
        <v>15.1</v>
      </c>
      <c r="AK172" s="1">
        <v>81.5</v>
      </c>
      <c r="AL172" s="1">
        <v>31.9</v>
      </c>
      <c r="AM172" s="1">
        <v>8</v>
      </c>
      <c r="AN172" s="1">
        <v>0</v>
      </c>
      <c r="AO172" s="1">
        <v>0</v>
      </c>
      <c r="AP172" s="1" t="s">
        <v>270</v>
      </c>
      <c r="AQ172" s="1" t="s">
        <v>267</v>
      </c>
      <c r="AR172" s="1" t="s">
        <v>268</v>
      </c>
    </row>
    <row r="173" spans="1:44" x14ac:dyDescent="0.2">
      <c r="A173" s="1" t="s">
        <v>42</v>
      </c>
      <c r="B173" s="1" t="s">
        <v>265</v>
      </c>
      <c r="C173" s="1">
        <v>-37.299999999999997</v>
      </c>
      <c r="D173" s="1">
        <v>455186.2</v>
      </c>
      <c r="E173" s="1">
        <v>5976970</v>
      </c>
      <c r="F173" s="1">
        <v>0</v>
      </c>
      <c r="G173" s="1">
        <v>-0.7</v>
      </c>
      <c r="H173" s="1">
        <v>0</v>
      </c>
      <c r="I173" s="1">
        <v>2</v>
      </c>
      <c r="J173" s="1">
        <v>0</v>
      </c>
      <c r="K173" s="1">
        <v>-65.400000000000006</v>
      </c>
      <c r="L173" s="1">
        <v>28.1</v>
      </c>
      <c r="M173" s="1">
        <v>1679.402</v>
      </c>
      <c r="N173" s="1">
        <v>90.8</v>
      </c>
      <c r="O173" s="1">
        <v>8</v>
      </c>
      <c r="P173" s="1">
        <v>10</v>
      </c>
      <c r="Q173" s="1">
        <v>2.74</v>
      </c>
      <c r="R173" s="1">
        <v>68</v>
      </c>
      <c r="S173" s="1">
        <v>110</v>
      </c>
      <c r="T173" s="1">
        <v>147</v>
      </c>
      <c r="U173" s="1">
        <v>1357.683</v>
      </c>
      <c r="V173" s="1">
        <v>458.64699999999999</v>
      </c>
      <c r="W173" s="1">
        <v>752.85199999999998</v>
      </c>
      <c r="X173" s="1">
        <v>132.18100000000001</v>
      </c>
      <c r="Y173" s="1">
        <v>4.9400000000000004</v>
      </c>
      <c r="Z173" s="1">
        <v>8.0150000000000006</v>
      </c>
      <c r="AA173" s="1">
        <v>21.7</v>
      </c>
      <c r="AB173" s="1">
        <v>290.5</v>
      </c>
      <c r="AC173" s="1">
        <v>12634</v>
      </c>
      <c r="AD173" s="1">
        <v>3329</v>
      </c>
      <c r="AE173" s="1">
        <v>268</v>
      </c>
      <c r="AF173" s="1">
        <v>17</v>
      </c>
      <c r="AG173" s="1">
        <v>17</v>
      </c>
      <c r="AH173" s="1">
        <v>32.6</v>
      </c>
      <c r="AI173" s="1">
        <v>54.8</v>
      </c>
      <c r="AJ173" s="1">
        <v>12.6</v>
      </c>
      <c r="AK173" s="1">
        <v>83</v>
      </c>
      <c r="AL173" s="1">
        <v>31.9</v>
      </c>
      <c r="AM173" s="1">
        <v>8</v>
      </c>
      <c r="AN173" s="1">
        <v>0</v>
      </c>
      <c r="AO173" s="1">
        <v>0</v>
      </c>
      <c r="AP173" s="1" t="s">
        <v>266</v>
      </c>
      <c r="AQ173" s="1" t="s">
        <v>267</v>
      </c>
      <c r="AR173" s="1" t="s">
        <v>268</v>
      </c>
    </row>
    <row r="174" spans="1:44" x14ac:dyDescent="0.2">
      <c r="A174" s="1" t="s">
        <v>95</v>
      </c>
      <c r="B174" s="1" t="s">
        <v>265</v>
      </c>
      <c r="C174" s="1">
        <v>-37.299999999999997</v>
      </c>
      <c r="D174" s="1">
        <v>457662</v>
      </c>
      <c r="E174" s="1">
        <v>5976270</v>
      </c>
      <c r="F174" s="1">
        <v>0</v>
      </c>
      <c r="G174" s="1">
        <v>-0.6</v>
      </c>
      <c r="H174" s="1">
        <v>0</v>
      </c>
      <c r="I174" s="1">
        <v>2</v>
      </c>
      <c r="J174" s="1">
        <v>0</v>
      </c>
      <c r="K174" s="1">
        <v>-62.1</v>
      </c>
      <c r="L174" s="1">
        <v>24.8</v>
      </c>
      <c r="M174" s="1">
        <v>1605.7739999999999</v>
      </c>
      <c r="N174" s="1">
        <v>87.5</v>
      </c>
      <c r="O174" s="1">
        <v>8</v>
      </c>
      <c r="P174" s="1">
        <v>10</v>
      </c>
      <c r="Q174" s="1">
        <v>2.42</v>
      </c>
      <c r="R174" s="1">
        <v>68</v>
      </c>
      <c r="S174" s="1">
        <v>110</v>
      </c>
      <c r="T174" s="1">
        <v>147</v>
      </c>
      <c r="U174" s="1">
        <v>1295.404</v>
      </c>
      <c r="V174" s="1">
        <v>452.86700000000002</v>
      </c>
      <c r="W174" s="1">
        <v>752.85199999999998</v>
      </c>
      <c r="X174" s="1">
        <v>132.18100000000001</v>
      </c>
      <c r="Y174" s="1">
        <v>4.9400000000000004</v>
      </c>
      <c r="Z174" s="1">
        <v>8.0150000000000006</v>
      </c>
      <c r="AA174" s="1">
        <v>21.7</v>
      </c>
      <c r="AB174" s="1">
        <v>290.5</v>
      </c>
      <c r="AC174" s="1">
        <v>12429</v>
      </c>
      <c r="AD174" s="1">
        <v>3329</v>
      </c>
      <c r="AE174" s="1">
        <v>268</v>
      </c>
      <c r="AF174" s="1">
        <v>15</v>
      </c>
      <c r="AG174" s="1">
        <v>15</v>
      </c>
      <c r="AH174" s="1">
        <v>34.1</v>
      </c>
      <c r="AI174" s="1">
        <v>52.6</v>
      </c>
      <c r="AJ174" s="1">
        <v>13.3</v>
      </c>
      <c r="AK174" s="1">
        <v>82.7</v>
      </c>
      <c r="AL174" s="1">
        <v>31.9</v>
      </c>
      <c r="AM174" s="1">
        <v>8</v>
      </c>
      <c r="AN174" s="1">
        <v>0</v>
      </c>
      <c r="AO174" s="1">
        <v>0</v>
      </c>
      <c r="AP174" s="1" t="s">
        <v>266</v>
      </c>
      <c r="AQ174" s="1" t="s">
        <v>267</v>
      </c>
      <c r="AR174" s="1" t="s">
        <v>268</v>
      </c>
    </row>
    <row r="175" spans="1:44" x14ac:dyDescent="0.2">
      <c r="A175" s="1" t="s">
        <v>21</v>
      </c>
      <c r="B175" s="1" t="s">
        <v>265</v>
      </c>
      <c r="C175" s="1">
        <v>-37</v>
      </c>
      <c r="D175" s="1">
        <v>461431.8</v>
      </c>
      <c r="E175" s="1">
        <v>5973540</v>
      </c>
      <c r="F175" s="1">
        <v>0</v>
      </c>
      <c r="G175" s="1">
        <v>-0.6</v>
      </c>
      <c r="H175" s="1">
        <v>0</v>
      </c>
      <c r="I175" s="1">
        <v>2</v>
      </c>
      <c r="J175" s="1">
        <v>0</v>
      </c>
      <c r="K175" s="1">
        <v>-67.900000000000006</v>
      </c>
      <c r="L175" s="1">
        <v>30.9</v>
      </c>
      <c r="M175" s="1">
        <v>1732.886</v>
      </c>
      <c r="N175" s="1">
        <v>93.3</v>
      </c>
      <c r="O175" s="1">
        <v>8</v>
      </c>
      <c r="P175" s="1">
        <v>10</v>
      </c>
      <c r="Q175" s="1">
        <v>3.03</v>
      </c>
      <c r="R175" s="1">
        <v>68</v>
      </c>
      <c r="S175" s="1">
        <v>110</v>
      </c>
      <c r="T175" s="1">
        <v>147</v>
      </c>
      <c r="U175" s="1">
        <v>1420</v>
      </c>
      <c r="V175" s="1">
        <v>427.69600000000003</v>
      </c>
      <c r="W175" s="1">
        <v>752.85199999999998</v>
      </c>
      <c r="X175" s="1">
        <v>132.18100000000001</v>
      </c>
      <c r="Y175" s="1">
        <v>4.9400000000000004</v>
      </c>
      <c r="Z175" s="1">
        <v>8.0150000000000006</v>
      </c>
      <c r="AA175" s="1">
        <v>21.7</v>
      </c>
      <c r="AB175" s="1">
        <v>290.5</v>
      </c>
      <c r="AC175" s="1">
        <v>12790</v>
      </c>
      <c r="AD175" s="1">
        <v>3310</v>
      </c>
      <c r="AE175" s="1">
        <v>268</v>
      </c>
      <c r="AF175" s="1">
        <v>21</v>
      </c>
      <c r="AG175" s="1">
        <v>21</v>
      </c>
      <c r="AH175" s="1">
        <v>31.7</v>
      </c>
      <c r="AI175" s="1">
        <v>55.7</v>
      </c>
      <c r="AJ175" s="1">
        <v>12.6</v>
      </c>
      <c r="AK175" s="1">
        <v>83.2</v>
      </c>
      <c r="AL175" s="1">
        <v>31.9</v>
      </c>
      <c r="AM175" s="1">
        <v>8</v>
      </c>
      <c r="AN175" s="1">
        <v>0</v>
      </c>
      <c r="AO175" s="1">
        <v>0</v>
      </c>
      <c r="AP175" s="1" t="s">
        <v>266</v>
      </c>
      <c r="AQ175" s="1" t="s">
        <v>267</v>
      </c>
      <c r="AR175" s="1" t="s">
        <v>268</v>
      </c>
    </row>
    <row r="176" spans="1:44" x14ac:dyDescent="0.2">
      <c r="A176" s="1" t="s">
        <v>108</v>
      </c>
      <c r="B176" s="1" t="s">
        <v>265</v>
      </c>
      <c r="C176" s="1">
        <v>-36.9</v>
      </c>
      <c r="D176" s="1">
        <v>464638.4</v>
      </c>
      <c r="E176" s="1">
        <v>5971730</v>
      </c>
      <c r="F176" s="1">
        <v>0</v>
      </c>
      <c r="G176" s="1">
        <v>-0.7</v>
      </c>
      <c r="H176" s="1">
        <v>0</v>
      </c>
      <c r="I176" s="1">
        <v>2</v>
      </c>
      <c r="J176" s="1">
        <v>0</v>
      </c>
      <c r="K176" s="1">
        <v>-61.7</v>
      </c>
      <c r="L176" s="1">
        <v>24.8</v>
      </c>
      <c r="M176" s="1">
        <v>1576.171</v>
      </c>
      <c r="N176" s="1">
        <v>87.1</v>
      </c>
      <c r="O176" s="1">
        <v>8</v>
      </c>
      <c r="P176" s="1">
        <v>10</v>
      </c>
      <c r="Q176" s="1">
        <v>2.41</v>
      </c>
      <c r="R176" s="1">
        <v>68</v>
      </c>
      <c r="S176" s="1">
        <v>110</v>
      </c>
      <c r="T176" s="1">
        <v>147</v>
      </c>
      <c r="U176" s="1">
        <v>1295.5429999999999</v>
      </c>
      <c r="V176" s="1">
        <v>546.17200000000003</v>
      </c>
      <c r="W176" s="1">
        <v>752.85199999999998</v>
      </c>
      <c r="X176" s="1">
        <v>132.18100000000001</v>
      </c>
      <c r="Y176" s="1">
        <v>4.9400000000000004</v>
      </c>
      <c r="Z176" s="1">
        <v>8.0150000000000006</v>
      </c>
      <c r="AA176" s="1">
        <v>21.7</v>
      </c>
      <c r="AB176" s="1">
        <v>290.5</v>
      </c>
      <c r="AC176" s="1">
        <v>12404</v>
      </c>
      <c r="AD176" s="1">
        <v>3304</v>
      </c>
      <c r="AE176" s="1">
        <v>268</v>
      </c>
      <c r="AF176" s="1">
        <v>15</v>
      </c>
      <c r="AG176" s="1">
        <v>15</v>
      </c>
      <c r="AH176" s="1">
        <v>34.799999999999997</v>
      </c>
      <c r="AI176" s="1">
        <v>51.7</v>
      </c>
      <c r="AJ176" s="1">
        <v>13.5</v>
      </c>
      <c r="AK176" s="1">
        <v>81.7</v>
      </c>
      <c r="AL176" s="1">
        <v>31.9</v>
      </c>
      <c r="AM176" s="1">
        <v>8</v>
      </c>
      <c r="AN176" s="1">
        <v>0</v>
      </c>
      <c r="AO176" s="1">
        <v>0</v>
      </c>
      <c r="AP176" s="1" t="s">
        <v>266</v>
      </c>
      <c r="AQ176" s="1" t="s">
        <v>267</v>
      </c>
      <c r="AR176" s="1" t="s">
        <v>268</v>
      </c>
    </row>
    <row r="177" spans="1:44" x14ac:dyDescent="0.2">
      <c r="A177" s="1" t="s">
        <v>64</v>
      </c>
      <c r="B177" s="1" t="s">
        <v>265</v>
      </c>
      <c r="C177" s="1">
        <v>-37</v>
      </c>
      <c r="D177" s="1">
        <v>467158</v>
      </c>
      <c r="E177" s="1">
        <v>5971090</v>
      </c>
      <c r="F177" s="1">
        <v>0</v>
      </c>
      <c r="G177" s="1">
        <v>-0.7</v>
      </c>
      <c r="H177" s="1">
        <v>0</v>
      </c>
      <c r="I177" s="1">
        <v>2</v>
      </c>
      <c r="J177" s="1">
        <v>0</v>
      </c>
      <c r="K177" s="1">
        <v>-63.929000000000002</v>
      </c>
      <c r="L177" s="1">
        <v>26.928999999999998</v>
      </c>
      <c r="M177" s="1">
        <v>1663.443</v>
      </c>
      <c r="N177" s="1">
        <v>89.328999999999994</v>
      </c>
      <c r="O177" s="1">
        <v>8</v>
      </c>
      <c r="P177" s="1">
        <v>10</v>
      </c>
      <c r="Q177" s="1">
        <v>2.6229</v>
      </c>
      <c r="R177" s="1">
        <v>68</v>
      </c>
      <c r="S177" s="1">
        <v>110</v>
      </c>
      <c r="T177" s="1">
        <v>147</v>
      </c>
      <c r="U177" s="1">
        <v>1295.329</v>
      </c>
      <c r="V177" s="1">
        <v>427.77199999999999</v>
      </c>
      <c r="W177" s="1">
        <v>752.85199999999998</v>
      </c>
      <c r="X177" s="1">
        <v>132.18100000000001</v>
      </c>
      <c r="Y177" s="1">
        <v>4.9400000000000004</v>
      </c>
      <c r="Z177" s="1">
        <v>8.0150000000000006</v>
      </c>
      <c r="AA177" s="1">
        <v>21.7</v>
      </c>
      <c r="AB177" s="1">
        <v>290.5</v>
      </c>
      <c r="AC177" s="1">
        <v>12542</v>
      </c>
      <c r="AD177" s="1">
        <v>3310</v>
      </c>
      <c r="AE177" s="1">
        <v>268</v>
      </c>
      <c r="AF177" s="1">
        <v>17</v>
      </c>
      <c r="AG177" s="1">
        <v>17</v>
      </c>
      <c r="AH177" s="1">
        <v>32.9</v>
      </c>
      <c r="AI177" s="1">
        <v>54.2</v>
      </c>
      <c r="AJ177" s="1">
        <v>12.8</v>
      </c>
      <c r="AK177" s="1">
        <v>83.6</v>
      </c>
      <c r="AL177" s="1">
        <v>31.9</v>
      </c>
      <c r="AM177" s="1">
        <v>8</v>
      </c>
      <c r="AN177" s="1">
        <v>0</v>
      </c>
      <c r="AO177" s="1">
        <v>0</v>
      </c>
      <c r="AP177" s="1" t="s">
        <v>266</v>
      </c>
      <c r="AQ177" s="1" t="s">
        <v>267</v>
      </c>
      <c r="AR177" s="1" t="s">
        <v>268</v>
      </c>
    </row>
    <row r="178" spans="1:44" x14ac:dyDescent="0.2">
      <c r="A178" s="1" t="s">
        <v>49</v>
      </c>
      <c r="B178" s="1" t="s">
        <v>269</v>
      </c>
      <c r="C178" s="1">
        <v>-38</v>
      </c>
      <c r="D178" s="1">
        <v>469643</v>
      </c>
      <c r="E178" s="1">
        <v>5970460</v>
      </c>
      <c r="F178" s="1">
        <v>0</v>
      </c>
      <c r="G178" s="1">
        <v>-0.7</v>
      </c>
      <c r="H178" s="1">
        <v>0</v>
      </c>
      <c r="I178" s="1">
        <v>2</v>
      </c>
      <c r="J178" s="1">
        <v>0</v>
      </c>
      <c r="K178" s="1">
        <v>-65.099999999999994</v>
      </c>
      <c r="L178" s="1">
        <v>27.1</v>
      </c>
      <c r="M178" s="1">
        <v>1688.4069999999999</v>
      </c>
      <c r="N178" s="1">
        <v>90.5</v>
      </c>
      <c r="O178" s="1">
        <v>8</v>
      </c>
      <c r="P178" s="1">
        <v>10</v>
      </c>
      <c r="Q178" s="1">
        <v>2.64</v>
      </c>
      <c r="R178" s="1">
        <v>68</v>
      </c>
      <c r="S178" s="1">
        <v>110</v>
      </c>
      <c r="T178" s="1">
        <v>147</v>
      </c>
      <c r="U178" s="1">
        <v>1357.595</v>
      </c>
      <c r="V178" s="1">
        <v>505.87200000000001</v>
      </c>
      <c r="W178" s="1">
        <v>752.85199999999998</v>
      </c>
      <c r="X178" s="1">
        <v>132.18100000000001</v>
      </c>
      <c r="Y178" s="1">
        <v>4.9400000000000004</v>
      </c>
      <c r="Z178" s="1">
        <v>8.0150000000000006</v>
      </c>
      <c r="AA178" s="1">
        <v>21.7</v>
      </c>
      <c r="AB178" s="1">
        <v>290.5</v>
      </c>
      <c r="AC178" s="1">
        <v>12615</v>
      </c>
      <c r="AD178" s="1">
        <v>3372</v>
      </c>
      <c r="AE178" s="1">
        <v>268</v>
      </c>
      <c r="AF178" s="1">
        <v>17</v>
      </c>
      <c r="AG178" s="1">
        <v>17</v>
      </c>
      <c r="AH178" s="1">
        <v>32.4</v>
      </c>
      <c r="AI178" s="1">
        <v>54.9</v>
      </c>
      <c r="AJ178" s="1">
        <v>12.6</v>
      </c>
      <c r="AK178" s="1">
        <v>83.7</v>
      </c>
      <c r="AL178" s="1">
        <v>31.9</v>
      </c>
      <c r="AM178" s="1">
        <v>8</v>
      </c>
      <c r="AN178" s="1">
        <v>0</v>
      </c>
      <c r="AO178" s="1">
        <v>0</v>
      </c>
      <c r="AP178" s="1" t="s">
        <v>266</v>
      </c>
      <c r="AQ178" s="1" t="s">
        <v>267</v>
      </c>
      <c r="AR178" s="1" t="s">
        <v>268</v>
      </c>
    </row>
    <row r="179" spans="1:44" x14ac:dyDescent="0.2">
      <c r="A179" s="1" t="s">
        <v>97</v>
      </c>
      <c r="B179" s="1" t="s">
        <v>265</v>
      </c>
      <c r="C179" s="1">
        <v>-36.5</v>
      </c>
      <c r="D179" s="1">
        <v>469472.2</v>
      </c>
      <c r="E179" s="1">
        <v>5974062.7000000002</v>
      </c>
      <c r="F179" s="1">
        <v>0</v>
      </c>
      <c r="G179" s="1">
        <v>-0.6</v>
      </c>
      <c r="H179" s="1">
        <v>0</v>
      </c>
      <c r="I179" s="1">
        <v>2</v>
      </c>
      <c r="J179" s="1">
        <v>0</v>
      </c>
      <c r="K179" s="1">
        <v>-62.4</v>
      </c>
      <c r="L179" s="1">
        <v>25.9</v>
      </c>
      <c r="M179" s="1">
        <v>1616.7729999999999</v>
      </c>
      <c r="N179" s="1">
        <v>87.8</v>
      </c>
      <c r="O179" s="1">
        <v>8</v>
      </c>
      <c r="P179" s="1">
        <v>10</v>
      </c>
      <c r="Q179" s="1">
        <v>2.5299999999999998</v>
      </c>
      <c r="R179" s="1">
        <v>68</v>
      </c>
      <c r="S179" s="1">
        <v>110</v>
      </c>
      <c r="T179" s="1">
        <v>147</v>
      </c>
      <c r="U179" s="1">
        <v>1295.404</v>
      </c>
      <c r="V179" s="1">
        <v>452.96699999999998</v>
      </c>
      <c r="W179" s="1">
        <v>752.85199999999998</v>
      </c>
      <c r="X179" s="1">
        <v>132.18100000000001</v>
      </c>
      <c r="Y179" s="1">
        <v>4.9400000000000004</v>
      </c>
      <c r="Z179" s="1">
        <v>8.0150000000000006</v>
      </c>
      <c r="AA179" s="1">
        <v>21.7</v>
      </c>
      <c r="AB179" s="1">
        <v>290.5</v>
      </c>
      <c r="AC179" s="1">
        <v>12447</v>
      </c>
      <c r="AD179" s="1">
        <v>3279</v>
      </c>
      <c r="AE179" s="1">
        <v>268</v>
      </c>
      <c r="AF179" s="1">
        <v>15</v>
      </c>
      <c r="AG179" s="1">
        <v>15</v>
      </c>
      <c r="AH179" s="1">
        <v>33.9</v>
      </c>
      <c r="AI179" s="1">
        <v>52.9</v>
      </c>
      <c r="AJ179" s="1">
        <v>13.2</v>
      </c>
      <c r="AK179" s="1">
        <v>82.9</v>
      </c>
      <c r="AL179" s="1">
        <v>31.9</v>
      </c>
      <c r="AM179" s="1">
        <v>8</v>
      </c>
      <c r="AN179" s="1">
        <v>0</v>
      </c>
      <c r="AO179" s="1">
        <v>0</v>
      </c>
      <c r="AP179" s="1" t="s">
        <v>266</v>
      </c>
      <c r="AQ179" s="1" t="s">
        <v>267</v>
      </c>
      <c r="AR179" s="1" t="s">
        <v>268</v>
      </c>
    </row>
    <row r="180" spans="1:44" x14ac:dyDescent="0.2">
      <c r="A180" s="1" t="s">
        <v>133</v>
      </c>
      <c r="B180" s="1" t="s">
        <v>265</v>
      </c>
      <c r="C180" s="1">
        <v>-31.9</v>
      </c>
      <c r="D180" s="1">
        <v>471621</v>
      </c>
      <c r="E180" s="1">
        <v>5973890</v>
      </c>
      <c r="F180" s="1">
        <v>0</v>
      </c>
      <c r="G180" s="1">
        <v>-0.6</v>
      </c>
      <c r="H180" s="1">
        <v>0</v>
      </c>
      <c r="I180" s="1">
        <v>2</v>
      </c>
      <c r="J180" s="1">
        <v>0</v>
      </c>
      <c r="K180" s="1">
        <v>-59.9</v>
      </c>
      <c r="L180" s="1">
        <v>28</v>
      </c>
      <c r="M180" s="1">
        <v>1473.646</v>
      </c>
      <c r="N180" s="1">
        <v>85.3</v>
      </c>
      <c r="O180" s="1">
        <v>8</v>
      </c>
      <c r="P180" s="1">
        <v>10</v>
      </c>
      <c r="Q180" s="1">
        <v>2.74</v>
      </c>
      <c r="R180" s="1">
        <v>68</v>
      </c>
      <c r="S180" s="1">
        <v>110</v>
      </c>
      <c r="T180" s="1">
        <v>147</v>
      </c>
      <c r="U180" s="1">
        <v>1296.02</v>
      </c>
      <c r="V180" s="1">
        <v>580.70500000000004</v>
      </c>
      <c r="W180" s="1">
        <v>752.85199999999998</v>
      </c>
      <c r="X180" s="1">
        <v>132.18100000000001</v>
      </c>
      <c r="Y180" s="1">
        <v>4.9400000000000004</v>
      </c>
      <c r="Z180" s="1">
        <v>8.0150000000000006</v>
      </c>
      <c r="AA180" s="1">
        <v>21.7</v>
      </c>
      <c r="AB180" s="1">
        <v>290.5</v>
      </c>
      <c r="AC180" s="1">
        <v>12294</v>
      </c>
      <c r="AD180" s="1">
        <v>2994</v>
      </c>
      <c r="AE180" s="1">
        <v>268</v>
      </c>
      <c r="AF180" s="1">
        <v>17</v>
      </c>
      <c r="AG180" s="1">
        <v>17</v>
      </c>
      <c r="AH180" s="1">
        <v>36.6</v>
      </c>
      <c r="AI180" s="1">
        <v>50.2</v>
      </c>
      <c r="AJ180" s="1">
        <v>13.1</v>
      </c>
      <c r="AK180" s="1">
        <v>78.2</v>
      </c>
      <c r="AL180" s="1">
        <v>31.9</v>
      </c>
      <c r="AM180" s="1">
        <v>8</v>
      </c>
      <c r="AN180" s="1">
        <v>0</v>
      </c>
      <c r="AO180" s="1">
        <v>0</v>
      </c>
      <c r="AP180" s="1" t="s">
        <v>266</v>
      </c>
      <c r="AQ180" s="1" t="s">
        <v>267</v>
      </c>
      <c r="AR180" s="1" t="s">
        <v>268</v>
      </c>
    </row>
    <row r="181" spans="1:44" x14ac:dyDescent="0.2">
      <c r="A181" s="1" t="s">
        <v>51</v>
      </c>
      <c r="B181" s="1" t="s">
        <v>265</v>
      </c>
      <c r="C181" s="1">
        <v>-36.200000000000003</v>
      </c>
      <c r="D181" s="1">
        <v>450301</v>
      </c>
      <c r="E181" s="1">
        <v>5978390.7999999998</v>
      </c>
      <c r="F181" s="1">
        <v>0</v>
      </c>
      <c r="G181" s="1">
        <v>-0.8</v>
      </c>
      <c r="H181" s="1">
        <v>0</v>
      </c>
      <c r="I181" s="1">
        <v>2</v>
      </c>
      <c r="J181" s="1">
        <v>0</v>
      </c>
      <c r="K181" s="1">
        <v>-64.400000000000006</v>
      </c>
      <c r="L181" s="1">
        <v>28.2</v>
      </c>
      <c r="M181" s="1">
        <v>1678.133</v>
      </c>
      <c r="N181" s="1">
        <v>89.8</v>
      </c>
      <c r="O181" s="1">
        <v>8</v>
      </c>
      <c r="P181" s="1">
        <v>10</v>
      </c>
      <c r="Q181" s="1">
        <v>2.74</v>
      </c>
      <c r="R181" s="1">
        <v>68</v>
      </c>
      <c r="S181" s="1">
        <v>110</v>
      </c>
      <c r="T181" s="1">
        <v>147</v>
      </c>
      <c r="U181" s="1">
        <v>1357.57</v>
      </c>
      <c r="V181" s="1">
        <v>396.83300000000003</v>
      </c>
      <c r="W181" s="1">
        <v>752.85199999999998</v>
      </c>
      <c r="X181" s="1">
        <v>132.18100000000001</v>
      </c>
      <c r="Y181" s="1">
        <v>4.9400000000000004</v>
      </c>
      <c r="Z181" s="1">
        <v>8.0150000000000006</v>
      </c>
      <c r="AA181" s="1">
        <v>21.7</v>
      </c>
      <c r="AB181" s="1">
        <v>290.5</v>
      </c>
      <c r="AC181" s="1">
        <v>12571</v>
      </c>
      <c r="AD181" s="1">
        <v>3260</v>
      </c>
      <c r="AE181" s="1">
        <v>268</v>
      </c>
      <c r="AF181" s="1">
        <v>17</v>
      </c>
      <c r="AG181" s="1">
        <v>17</v>
      </c>
      <c r="AH181" s="1">
        <v>32.6</v>
      </c>
      <c r="AI181" s="1">
        <v>54.4</v>
      </c>
      <c r="AJ181" s="1">
        <v>12.9</v>
      </c>
      <c r="AK181" s="1">
        <v>83.9</v>
      </c>
      <c r="AL181" s="1">
        <v>31.9</v>
      </c>
      <c r="AM181" s="1">
        <v>8</v>
      </c>
      <c r="AN181" s="1">
        <v>0</v>
      </c>
      <c r="AO181" s="1">
        <v>0</v>
      </c>
      <c r="AP181" s="1" t="s">
        <v>266</v>
      </c>
      <c r="AQ181" s="1" t="s">
        <v>267</v>
      </c>
      <c r="AR181" s="1" t="s">
        <v>268</v>
      </c>
    </row>
    <row r="182" spans="1:44" x14ac:dyDescent="0.2">
      <c r="A182" s="1" t="s">
        <v>196</v>
      </c>
      <c r="B182" s="1" t="s">
        <v>271</v>
      </c>
      <c r="C182" s="1">
        <v>-46.9</v>
      </c>
      <c r="D182" s="1">
        <v>450985.8</v>
      </c>
      <c r="E182" s="1">
        <v>5980535.7000000002</v>
      </c>
      <c r="F182" s="1">
        <v>0</v>
      </c>
      <c r="G182" s="1">
        <v>-0.6</v>
      </c>
      <c r="H182" s="1">
        <v>0</v>
      </c>
      <c r="I182" s="1">
        <v>2</v>
      </c>
      <c r="J182" s="1">
        <v>0</v>
      </c>
      <c r="K182" s="1">
        <v>-78.099999999999994</v>
      </c>
      <c r="L182" s="1">
        <v>31.2</v>
      </c>
      <c r="M182" s="1">
        <v>2199.31</v>
      </c>
      <c r="N182" s="1">
        <v>103.5</v>
      </c>
      <c r="O182" s="1">
        <v>8</v>
      </c>
      <c r="P182" s="1">
        <v>11</v>
      </c>
      <c r="Q182" s="1">
        <v>2.7818000000000001</v>
      </c>
      <c r="R182" s="1">
        <v>70</v>
      </c>
      <c r="S182" s="1">
        <v>117</v>
      </c>
      <c r="T182" s="1">
        <v>149</v>
      </c>
      <c r="U182" s="1">
        <v>1643.317</v>
      </c>
      <c r="V182" s="1">
        <v>403.10399999999998</v>
      </c>
      <c r="W182" s="1">
        <v>752.85199999999998</v>
      </c>
      <c r="X182" s="1">
        <v>132.18100000000001</v>
      </c>
      <c r="Y182" s="1">
        <v>4.9400000000000004</v>
      </c>
      <c r="Z182" s="1">
        <v>8.0150000000000006</v>
      </c>
      <c r="AA182" s="1">
        <v>21.7</v>
      </c>
      <c r="AB182" s="1">
        <v>290.5</v>
      </c>
      <c r="AC182" s="1">
        <v>13783</v>
      </c>
      <c r="AD182" s="1">
        <v>4106</v>
      </c>
      <c r="AE182" s="1">
        <v>268</v>
      </c>
      <c r="AF182" s="1">
        <v>21</v>
      </c>
      <c r="AG182" s="1">
        <v>21</v>
      </c>
      <c r="AH182" s="1">
        <v>27.2</v>
      </c>
      <c r="AI182" s="1">
        <v>58</v>
      </c>
      <c r="AJ182" s="1">
        <v>14.8</v>
      </c>
      <c r="AK182" s="1">
        <v>89.1</v>
      </c>
      <c r="AL182" s="1">
        <v>31.9</v>
      </c>
      <c r="AM182" s="1">
        <v>8</v>
      </c>
      <c r="AN182" s="1">
        <v>0</v>
      </c>
      <c r="AO182" s="1">
        <v>0</v>
      </c>
      <c r="AP182" s="1" t="s">
        <v>270</v>
      </c>
      <c r="AQ182" s="1" t="s">
        <v>267</v>
      </c>
      <c r="AR182" s="1" t="s">
        <v>268</v>
      </c>
    </row>
    <row r="183" spans="1:44" x14ac:dyDescent="0.2">
      <c r="A183" s="1" t="s">
        <v>203</v>
      </c>
      <c r="B183" s="1" t="s">
        <v>265</v>
      </c>
      <c r="C183" s="1">
        <v>-44.1</v>
      </c>
      <c r="D183" s="1">
        <v>452333</v>
      </c>
      <c r="E183" s="1">
        <v>5979940</v>
      </c>
      <c r="F183" s="1">
        <v>0</v>
      </c>
      <c r="G183" s="1">
        <v>-0.7</v>
      </c>
      <c r="H183" s="1">
        <v>0</v>
      </c>
      <c r="I183" s="1">
        <v>2</v>
      </c>
      <c r="J183" s="1">
        <v>0</v>
      </c>
      <c r="K183" s="1">
        <v>-74.8</v>
      </c>
      <c r="L183" s="1">
        <v>30.7</v>
      </c>
      <c r="M183" s="1">
        <v>2033.2829999999999</v>
      </c>
      <c r="N183" s="1">
        <v>100.2</v>
      </c>
      <c r="O183" s="1">
        <v>8</v>
      </c>
      <c r="P183" s="1">
        <v>11</v>
      </c>
      <c r="Q183" s="1">
        <v>2.7273000000000001</v>
      </c>
      <c r="R183" s="1">
        <v>72</v>
      </c>
      <c r="S183" s="1">
        <v>117</v>
      </c>
      <c r="T183" s="1">
        <v>149</v>
      </c>
      <c r="U183" s="1">
        <v>1575.22</v>
      </c>
      <c r="V183" s="1">
        <v>369.25</v>
      </c>
      <c r="W183" s="1">
        <v>752.85199999999998</v>
      </c>
      <c r="X183" s="1">
        <v>132.18100000000001</v>
      </c>
      <c r="Y183" s="1">
        <v>4.9400000000000004</v>
      </c>
      <c r="Z183" s="1">
        <v>8.0150000000000006</v>
      </c>
      <c r="AA183" s="1">
        <v>21.7</v>
      </c>
      <c r="AB183" s="1">
        <v>290.5</v>
      </c>
      <c r="AC183" s="1">
        <v>13559</v>
      </c>
      <c r="AD183" s="1">
        <v>3915</v>
      </c>
      <c r="AE183" s="1">
        <v>268</v>
      </c>
      <c r="AF183" s="1">
        <v>21</v>
      </c>
      <c r="AG183" s="1">
        <v>21</v>
      </c>
      <c r="AH183" s="1">
        <v>29.6</v>
      </c>
      <c r="AI183" s="1">
        <v>54.3</v>
      </c>
      <c r="AJ183" s="1">
        <v>16.100000000000001</v>
      </c>
      <c r="AK183" s="1">
        <v>85.9</v>
      </c>
      <c r="AL183" s="1">
        <v>31.9</v>
      </c>
      <c r="AM183" s="1">
        <v>8</v>
      </c>
      <c r="AN183" s="1">
        <v>0</v>
      </c>
      <c r="AO183" s="1">
        <v>0</v>
      </c>
      <c r="AP183" s="1" t="s">
        <v>270</v>
      </c>
      <c r="AQ183" s="1" t="s">
        <v>267</v>
      </c>
      <c r="AR183" s="1" t="s">
        <v>268</v>
      </c>
    </row>
    <row r="184" spans="1:44" x14ac:dyDescent="0.2">
      <c r="A184" s="1" t="s">
        <v>209</v>
      </c>
      <c r="B184" s="1" t="s">
        <v>265</v>
      </c>
      <c r="C184" s="1">
        <v>-40.799999999999997</v>
      </c>
      <c r="D184" s="1">
        <v>454288.6</v>
      </c>
      <c r="E184" s="1">
        <v>5978410</v>
      </c>
      <c r="F184" s="1">
        <v>0</v>
      </c>
      <c r="G184" s="1">
        <v>-0.7</v>
      </c>
      <c r="H184" s="1">
        <v>0</v>
      </c>
      <c r="I184" s="1">
        <v>2</v>
      </c>
      <c r="J184" s="1">
        <v>0</v>
      </c>
      <c r="K184" s="1">
        <v>-73.8</v>
      </c>
      <c r="L184" s="1">
        <v>33</v>
      </c>
      <c r="M184" s="1">
        <v>1931.7750000000001</v>
      </c>
      <c r="N184" s="1">
        <v>99.2</v>
      </c>
      <c r="O184" s="1">
        <v>8</v>
      </c>
      <c r="P184" s="1">
        <v>11</v>
      </c>
      <c r="Q184" s="1">
        <v>2.9363999999999999</v>
      </c>
      <c r="R184" s="1">
        <v>70</v>
      </c>
      <c r="S184" s="1">
        <v>117</v>
      </c>
      <c r="T184" s="1">
        <v>149</v>
      </c>
      <c r="U184" s="1">
        <v>1575.798</v>
      </c>
      <c r="V184" s="1">
        <v>301.178</v>
      </c>
      <c r="W184" s="1">
        <v>752.85199999999998</v>
      </c>
      <c r="X184" s="1">
        <v>132.18100000000001</v>
      </c>
      <c r="Y184" s="1">
        <v>4.9400000000000004</v>
      </c>
      <c r="Z184" s="1">
        <v>8.0150000000000006</v>
      </c>
      <c r="AA184" s="1">
        <v>21.7</v>
      </c>
      <c r="AB184" s="1">
        <v>290.5</v>
      </c>
      <c r="AC184" s="1">
        <v>13493</v>
      </c>
      <c r="AD184" s="1">
        <v>3690</v>
      </c>
      <c r="AE184" s="1">
        <v>268</v>
      </c>
      <c r="AF184" s="1">
        <v>23</v>
      </c>
      <c r="AG184" s="1">
        <v>23</v>
      </c>
      <c r="AH184" s="1">
        <v>29.7</v>
      </c>
      <c r="AI184" s="1">
        <v>54.1</v>
      </c>
      <c r="AJ184" s="1">
        <v>16.2</v>
      </c>
      <c r="AK184" s="1">
        <v>82.4</v>
      </c>
      <c r="AL184" s="1">
        <v>31.9</v>
      </c>
      <c r="AM184" s="1">
        <v>8</v>
      </c>
      <c r="AN184" s="1">
        <v>0</v>
      </c>
      <c r="AO184" s="1">
        <v>0</v>
      </c>
      <c r="AP184" s="1" t="s">
        <v>270</v>
      </c>
      <c r="AQ184" s="1" t="s">
        <v>267</v>
      </c>
      <c r="AR184" s="1" t="s">
        <v>268</v>
      </c>
    </row>
    <row r="185" spans="1:44" x14ac:dyDescent="0.2">
      <c r="A185" s="1" t="s">
        <v>181</v>
      </c>
      <c r="B185" s="1" t="s">
        <v>265</v>
      </c>
      <c r="C185" s="1">
        <v>-39.799999999999997</v>
      </c>
      <c r="D185" s="1">
        <v>456701</v>
      </c>
      <c r="E185" s="1">
        <v>5977810</v>
      </c>
      <c r="F185" s="1">
        <v>0</v>
      </c>
      <c r="G185" s="1">
        <v>-0.7</v>
      </c>
      <c r="H185" s="1">
        <v>0</v>
      </c>
      <c r="I185" s="1">
        <v>2</v>
      </c>
      <c r="J185" s="1">
        <v>0</v>
      </c>
      <c r="K185" s="1">
        <v>-67.8</v>
      </c>
      <c r="L185" s="1">
        <v>28</v>
      </c>
      <c r="M185" s="1">
        <v>1741.1569999999999</v>
      </c>
      <c r="N185" s="1">
        <v>93.2</v>
      </c>
      <c r="O185" s="1">
        <v>8</v>
      </c>
      <c r="P185" s="1">
        <v>10.5</v>
      </c>
      <c r="Q185" s="1">
        <v>2.6</v>
      </c>
      <c r="R185" s="1">
        <v>72</v>
      </c>
      <c r="S185" s="1">
        <v>112</v>
      </c>
      <c r="T185" s="1">
        <v>146</v>
      </c>
      <c r="U185" s="1">
        <v>1406.2080000000001</v>
      </c>
      <c r="V185" s="1">
        <v>454.161</v>
      </c>
      <c r="W185" s="1">
        <v>752.85199999999998</v>
      </c>
      <c r="X185" s="1">
        <v>132.18100000000001</v>
      </c>
      <c r="Y185" s="1">
        <v>4.9400000000000004</v>
      </c>
      <c r="Z185" s="1">
        <v>8.0150000000000006</v>
      </c>
      <c r="AA185" s="1">
        <v>21.7</v>
      </c>
      <c r="AB185" s="1">
        <v>290.5</v>
      </c>
      <c r="AC185" s="1">
        <v>12937</v>
      </c>
      <c r="AD185" s="1">
        <v>3558</v>
      </c>
      <c r="AE185" s="1">
        <v>268</v>
      </c>
      <c r="AF185" s="1">
        <v>17</v>
      </c>
      <c r="AG185" s="1">
        <v>17</v>
      </c>
      <c r="AH185" s="1">
        <v>32.9</v>
      </c>
      <c r="AI185" s="1">
        <v>52.3</v>
      </c>
      <c r="AJ185" s="1">
        <v>14.8</v>
      </c>
      <c r="AK185" s="1">
        <v>81.8</v>
      </c>
      <c r="AL185" s="1">
        <v>31.9</v>
      </c>
      <c r="AM185" s="1">
        <v>8</v>
      </c>
      <c r="AN185" s="1">
        <v>0</v>
      </c>
      <c r="AO185" s="1">
        <v>0</v>
      </c>
      <c r="AP185" s="1" t="s">
        <v>270</v>
      </c>
      <c r="AQ185" s="1" t="s">
        <v>267</v>
      </c>
      <c r="AR185" s="1" t="s">
        <v>268</v>
      </c>
    </row>
    <row r="186" spans="1:44" x14ac:dyDescent="0.2">
      <c r="A186" s="1" t="s">
        <v>104</v>
      </c>
      <c r="B186" s="1" t="s">
        <v>265</v>
      </c>
      <c r="C186" s="1">
        <v>-36.5</v>
      </c>
      <c r="D186" s="1">
        <v>460529</v>
      </c>
      <c r="E186" s="1">
        <v>5974990</v>
      </c>
      <c r="F186" s="1">
        <v>0</v>
      </c>
      <c r="G186" s="1">
        <v>-0.7</v>
      </c>
      <c r="H186" s="1">
        <v>0</v>
      </c>
      <c r="I186" s="1">
        <v>2</v>
      </c>
      <c r="J186" s="1">
        <v>0</v>
      </c>
      <c r="K186" s="1">
        <v>-62.1</v>
      </c>
      <c r="L186" s="1">
        <v>25.6</v>
      </c>
      <c r="M186" s="1">
        <v>1578.864</v>
      </c>
      <c r="N186" s="1">
        <v>87.5</v>
      </c>
      <c r="O186" s="1">
        <v>8</v>
      </c>
      <c r="P186" s="1">
        <v>10</v>
      </c>
      <c r="Q186" s="1">
        <v>2.4900000000000002</v>
      </c>
      <c r="R186" s="1">
        <v>68</v>
      </c>
      <c r="S186" s="1">
        <v>110</v>
      </c>
      <c r="T186" s="1">
        <v>147</v>
      </c>
      <c r="U186" s="1">
        <v>1295.58</v>
      </c>
      <c r="V186" s="1">
        <v>546.197</v>
      </c>
      <c r="W186" s="1">
        <v>752.85199999999998</v>
      </c>
      <c r="X186" s="1">
        <v>132.18100000000001</v>
      </c>
      <c r="Y186" s="1">
        <v>4.9400000000000004</v>
      </c>
      <c r="Z186" s="1">
        <v>8.0150000000000006</v>
      </c>
      <c r="AA186" s="1">
        <v>21.7</v>
      </c>
      <c r="AB186" s="1">
        <v>290.5</v>
      </c>
      <c r="AC186" s="1">
        <v>12430</v>
      </c>
      <c r="AD186" s="1">
        <v>3280</v>
      </c>
      <c r="AE186" s="1">
        <v>268</v>
      </c>
      <c r="AF186" s="1">
        <v>15</v>
      </c>
      <c r="AG186" s="1">
        <v>15</v>
      </c>
      <c r="AH186" s="1">
        <v>34.6</v>
      </c>
      <c r="AI186" s="1">
        <v>52.1</v>
      </c>
      <c r="AJ186" s="1">
        <v>13.3</v>
      </c>
      <c r="AK186" s="1">
        <v>81.400000000000006</v>
      </c>
      <c r="AL186" s="1">
        <v>31.9</v>
      </c>
      <c r="AM186" s="1">
        <v>8</v>
      </c>
      <c r="AN186" s="1">
        <v>0</v>
      </c>
      <c r="AO186" s="1">
        <v>0</v>
      </c>
      <c r="AP186" s="1" t="s">
        <v>266</v>
      </c>
      <c r="AQ186" s="1" t="s">
        <v>267</v>
      </c>
      <c r="AR186" s="1" t="s">
        <v>268</v>
      </c>
    </row>
    <row r="187" spans="1:44" x14ac:dyDescent="0.2">
      <c r="A187" s="1" t="s">
        <v>80</v>
      </c>
      <c r="B187" s="1" t="s">
        <v>265</v>
      </c>
      <c r="C187" s="1">
        <v>-36.799999999999997</v>
      </c>
      <c r="D187" s="1">
        <v>463640.7</v>
      </c>
      <c r="E187" s="1">
        <v>5973330</v>
      </c>
      <c r="F187" s="1">
        <v>0</v>
      </c>
      <c r="G187" s="1">
        <v>-0.7</v>
      </c>
      <c r="H187" s="1">
        <v>0</v>
      </c>
      <c r="I187" s="1">
        <v>2</v>
      </c>
      <c r="J187" s="1">
        <v>0</v>
      </c>
      <c r="K187" s="1">
        <v>-63.7</v>
      </c>
      <c r="L187" s="1">
        <v>26.9</v>
      </c>
      <c r="M187" s="1">
        <v>1647.51</v>
      </c>
      <c r="N187" s="1">
        <v>89.1</v>
      </c>
      <c r="O187" s="1">
        <v>8</v>
      </c>
      <c r="P187" s="1">
        <v>10</v>
      </c>
      <c r="Q187" s="1">
        <v>2.62</v>
      </c>
      <c r="R187" s="1">
        <v>68</v>
      </c>
      <c r="S187" s="1">
        <v>110</v>
      </c>
      <c r="T187" s="1">
        <v>147</v>
      </c>
      <c r="U187" s="1">
        <v>1295.3920000000001</v>
      </c>
      <c r="V187" s="1">
        <v>458.69799999999998</v>
      </c>
      <c r="W187" s="1">
        <v>752.85199999999998</v>
      </c>
      <c r="X187" s="1">
        <v>132.18100000000001</v>
      </c>
      <c r="Y187" s="1">
        <v>4.9400000000000004</v>
      </c>
      <c r="Z187" s="1">
        <v>8.0150000000000006</v>
      </c>
      <c r="AA187" s="1">
        <v>21.7</v>
      </c>
      <c r="AB187" s="1">
        <v>290.5</v>
      </c>
      <c r="AC187" s="1">
        <v>12528</v>
      </c>
      <c r="AD187" s="1">
        <v>3298</v>
      </c>
      <c r="AE187" s="1">
        <v>268</v>
      </c>
      <c r="AF187" s="1">
        <v>17</v>
      </c>
      <c r="AG187" s="1">
        <v>17</v>
      </c>
      <c r="AH187" s="1">
        <v>33.200000000000003</v>
      </c>
      <c r="AI187" s="1">
        <v>53.8</v>
      </c>
      <c r="AJ187" s="1">
        <v>12.9</v>
      </c>
      <c r="AK187" s="1">
        <v>83.1</v>
      </c>
      <c r="AL187" s="1">
        <v>31.9</v>
      </c>
      <c r="AM187" s="1">
        <v>8</v>
      </c>
      <c r="AN187" s="1">
        <v>0</v>
      </c>
      <c r="AO187" s="1">
        <v>0</v>
      </c>
      <c r="AP187" s="1" t="s">
        <v>266</v>
      </c>
      <c r="AQ187" s="1" t="s">
        <v>267</v>
      </c>
      <c r="AR187" s="1" t="s">
        <v>268</v>
      </c>
    </row>
    <row r="188" spans="1:44" x14ac:dyDescent="0.2">
      <c r="A188" s="1" t="s">
        <v>93</v>
      </c>
      <c r="B188" s="1" t="s">
        <v>265</v>
      </c>
      <c r="C188" s="1">
        <v>-36.700000000000003</v>
      </c>
      <c r="D188" s="1">
        <v>466239</v>
      </c>
      <c r="E188" s="1">
        <v>5972619</v>
      </c>
      <c r="F188" s="1">
        <v>0</v>
      </c>
      <c r="G188" s="1">
        <v>-0.7</v>
      </c>
      <c r="H188" s="1">
        <v>0</v>
      </c>
      <c r="I188" s="1">
        <v>2</v>
      </c>
      <c r="J188" s="1">
        <v>0</v>
      </c>
      <c r="K188" s="1">
        <v>-62.8</v>
      </c>
      <c r="L188" s="1">
        <v>26.1</v>
      </c>
      <c r="M188" s="1">
        <v>1610.481</v>
      </c>
      <c r="N188" s="1">
        <v>88.2</v>
      </c>
      <c r="O188" s="1">
        <v>8</v>
      </c>
      <c r="P188" s="1">
        <v>10</v>
      </c>
      <c r="Q188" s="1">
        <v>2.54</v>
      </c>
      <c r="R188" s="1">
        <v>68</v>
      </c>
      <c r="S188" s="1">
        <v>110</v>
      </c>
      <c r="T188" s="1">
        <v>147</v>
      </c>
      <c r="U188" s="1">
        <v>1295.48</v>
      </c>
      <c r="V188" s="1">
        <v>484.33300000000003</v>
      </c>
      <c r="W188" s="1">
        <v>752.85199999999998</v>
      </c>
      <c r="X188" s="1">
        <v>132.18100000000001</v>
      </c>
      <c r="Y188" s="1">
        <v>4.9400000000000004</v>
      </c>
      <c r="Z188" s="1">
        <v>8.0150000000000006</v>
      </c>
      <c r="AA188" s="1">
        <v>21.7</v>
      </c>
      <c r="AB188" s="1">
        <v>290.5</v>
      </c>
      <c r="AC188" s="1">
        <v>12473</v>
      </c>
      <c r="AD188" s="1">
        <v>3292</v>
      </c>
      <c r="AE188" s="1">
        <v>268</v>
      </c>
      <c r="AF188" s="1">
        <v>15</v>
      </c>
      <c r="AG188" s="1">
        <v>15</v>
      </c>
      <c r="AH188" s="1">
        <v>34</v>
      </c>
      <c r="AI188" s="1">
        <v>52.7</v>
      </c>
      <c r="AJ188" s="1">
        <v>13.2</v>
      </c>
      <c r="AK188" s="1">
        <v>82.2</v>
      </c>
      <c r="AL188" s="1">
        <v>31.9</v>
      </c>
      <c r="AM188" s="1">
        <v>8</v>
      </c>
      <c r="AN188" s="1">
        <v>0</v>
      </c>
      <c r="AO188" s="1">
        <v>0</v>
      </c>
      <c r="AP188" s="1" t="s">
        <v>266</v>
      </c>
      <c r="AQ188" s="1" t="s">
        <v>267</v>
      </c>
      <c r="AR188" s="1" t="s">
        <v>268</v>
      </c>
    </row>
    <row r="189" spans="1:44" x14ac:dyDescent="0.2">
      <c r="A189" s="1" t="s">
        <v>78</v>
      </c>
      <c r="B189" s="1" t="s">
        <v>265</v>
      </c>
      <c r="C189" s="1">
        <v>-37.299999999999997</v>
      </c>
      <c r="D189" s="1">
        <v>468664.1</v>
      </c>
      <c r="E189" s="1">
        <v>5972040</v>
      </c>
      <c r="F189" s="1">
        <v>0</v>
      </c>
      <c r="G189" s="1">
        <v>-0.6</v>
      </c>
      <c r="H189" s="1">
        <v>0</v>
      </c>
      <c r="I189" s="1">
        <v>2</v>
      </c>
      <c r="J189" s="1">
        <v>0</v>
      </c>
      <c r="K189" s="1">
        <v>-63.3</v>
      </c>
      <c r="L189" s="1">
        <v>26</v>
      </c>
      <c r="M189" s="1">
        <v>1636.0039999999999</v>
      </c>
      <c r="N189" s="1">
        <v>88.7</v>
      </c>
      <c r="O189" s="1">
        <v>8</v>
      </c>
      <c r="P189" s="1">
        <v>10</v>
      </c>
      <c r="Q189" s="1">
        <v>2.54</v>
      </c>
      <c r="R189" s="1">
        <v>68</v>
      </c>
      <c r="S189" s="1">
        <v>110</v>
      </c>
      <c r="T189" s="1">
        <v>147</v>
      </c>
      <c r="U189" s="1">
        <v>1357.7339999999999</v>
      </c>
      <c r="V189" s="1">
        <v>452.90499999999997</v>
      </c>
      <c r="W189" s="1">
        <v>752.85199999999998</v>
      </c>
      <c r="X189" s="1">
        <v>132.18100000000001</v>
      </c>
      <c r="Y189" s="1">
        <v>4.9400000000000004</v>
      </c>
      <c r="Z189" s="1">
        <v>8.0150000000000006</v>
      </c>
      <c r="AA189" s="1">
        <v>21.7</v>
      </c>
      <c r="AB189" s="1">
        <v>290.5</v>
      </c>
      <c r="AC189" s="1">
        <v>12503</v>
      </c>
      <c r="AD189" s="1">
        <v>3329</v>
      </c>
      <c r="AE189" s="1">
        <v>268</v>
      </c>
      <c r="AF189" s="1">
        <v>15</v>
      </c>
      <c r="AG189" s="1">
        <v>15</v>
      </c>
      <c r="AH189" s="1">
        <v>33.5</v>
      </c>
      <c r="AI189" s="1">
        <v>53.5</v>
      </c>
      <c r="AJ189" s="1">
        <v>13</v>
      </c>
      <c r="AK189" s="1">
        <v>83</v>
      </c>
      <c r="AL189" s="1">
        <v>31.9</v>
      </c>
      <c r="AM189" s="1">
        <v>8</v>
      </c>
      <c r="AN189" s="1">
        <v>0</v>
      </c>
      <c r="AO189" s="1">
        <v>0</v>
      </c>
      <c r="AP189" s="1" t="s">
        <v>266</v>
      </c>
      <c r="AQ189" s="1" t="s">
        <v>267</v>
      </c>
      <c r="AR189" s="1" t="s">
        <v>268</v>
      </c>
    </row>
    <row r="190" spans="1:44" x14ac:dyDescent="0.2">
      <c r="A190" s="1" t="s">
        <v>100</v>
      </c>
      <c r="B190" s="1" t="s">
        <v>265</v>
      </c>
      <c r="C190" s="1">
        <v>-34.5</v>
      </c>
      <c r="D190" s="1">
        <v>468816.3</v>
      </c>
      <c r="E190" s="1">
        <v>5975125.7999999998</v>
      </c>
      <c r="F190" s="1">
        <v>0</v>
      </c>
      <c r="G190" s="1">
        <v>-0.6</v>
      </c>
      <c r="H190" s="1">
        <v>0</v>
      </c>
      <c r="I190" s="1">
        <v>2</v>
      </c>
      <c r="J190" s="1">
        <v>0</v>
      </c>
      <c r="K190" s="1">
        <v>-62.9</v>
      </c>
      <c r="L190" s="1">
        <v>28.4</v>
      </c>
      <c r="M190" s="1">
        <v>1559.289</v>
      </c>
      <c r="N190" s="1">
        <v>88.3</v>
      </c>
      <c r="O190" s="1">
        <v>8</v>
      </c>
      <c r="P190" s="1">
        <v>10</v>
      </c>
      <c r="Q190" s="1">
        <v>2.78</v>
      </c>
      <c r="R190" s="1">
        <v>68</v>
      </c>
      <c r="S190" s="1">
        <v>110</v>
      </c>
      <c r="T190" s="1">
        <v>147</v>
      </c>
      <c r="U190" s="1">
        <v>1358.173</v>
      </c>
      <c r="V190" s="1">
        <v>553.30999999999995</v>
      </c>
      <c r="W190" s="1">
        <v>752.85199999999998</v>
      </c>
      <c r="X190" s="1">
        <v>132.18100000000001</v>
      </c>
      <c r="Y190" s="1">
        <v>4.9400000000000004</v>
      </c>
      <c r="Z190" s="1">
        <v>8.0150000000000006</v>
      </c>
      <c r="AA190" s="1">
        <v>21.7</v>
      </c>
      <c r="AB190" s="1">
        <v>290.5</v>
      </c>
      <c r="AC190" s="1">
        <v>12480</v>
      </c>
      <c r="AD190" s="1">
        <v>3156</v>
      </c>
      <c r="AE190" s="1">
        <v>268</v>
      </c>
      <c r="AF190" s="1">
        <v>17</v>
      </c>
      <c r="AG190" s="1">
        <v>17</v>
      </c>
      <c r="AH190" s="1">
        <v>34.799999999999997</v>
      </c>
      <c r="AI190" s="1">
        <v>52</v>
      </c>
      <c r="AJ190" s="1">
        <v>13.2</v>
      </c>
      <c r="AK190" s="1">
        <v>79.7</v>
      </c>
      <c r="AL190" s="1">
        <v>31.9</v>
      </c>
      <c r="AM190" s="1">
        <v>8</v>
      </c>
      <c r="AN190" s="1">
        <v>0</v>
      </c>
      <c r="AO190" s="1">
        <v>0</v>
      </c>
      <c r="AP190" s="1" t="s">
        <v>266</v>
      </c>
      <c r="AQ190" s="1" t="s">
        <v>267</v>
      </c>
      <c r="AR190" s="1" t="s">
        <v>268</v>
      </c>
    </row>
    <row r="191" spans="1:44" x14ac:dyDescent="0.2">
      <c r="A191" s="1" t="s">
        <v>69</v>
      </c>
      <c r="B191" s="1" t="s">
        <v>265</v>
      </c>
      <c r="C191" s="1">
        <v>-38.4</v>
      </c>
      <c r="D191" s="1">
        <v>470347</v>
      </c>
      <c r="E191" s="1">
        <v>5975940</v>
      </c>
      <c r="F191" s="1">
        <v>0</v>
      </c>
      <c r="G191" s="1">
        <v>-0.6</v>
      </c>
      <c r="H191" s="1">
        <v>0</v>
      </c>
      <c r="I191" s="1">
        <v>2</v>
      </c>
      <c r="J191" s="1">
        <v>0</v>
      </c>
      <c r="K191" s="1">
        <v>-63.6</v>
      </c>
      <c r="L191" s="1">
        <v>25.2</v>
      </c>
      <c r="M191" s="1">
        <v>1662.922</v>
      </c>
      <c r="N191" s="1">
        <v>89</v>
      </c>
      <c r="O191" s="1">
        <v>8</v>
      </c>
      <c r="P191" s="1">
        <v>10</v>
      </c>
      <c r="Q191" s="1">
        <v>2.46</v>
      </c>
      <c r="R191" s="1">
        <v>68</v>
      </c>
      <c r="S191" s="1">
        <v>110</v>
      </c>
      <c r="T191" s="1">
        <v>147</v>
      </c>
      <c r="U191" s="1">
        <v>1295.279</v>
      </c>
      <c r="V191" s="1">
        <v>483.80500000000001</v>
      </c>
      <c r="W191" s="1">
        <v>752.85199999999998</v>
      </c>
      <c r="X191" s="1">
        <v>132.18100000000001</v>
      </c>
      <c r="Y191" s="1">
        <v>4.9400000000000004</v>
      </c>
      <c r="Z191" s="1">
        <v>8.0150000000000006</v>
      </c>
      <c r="AA191" s="1">
        <v>21.7</v>
      </c>
      <c r="AB191" s="1">
        <v>290.5</v>
      </c>
      <c r="AC191" s="1">
        <v>12522</v>
      </c>
      <c r="AD191" s="1">
        <v>3397</v>
      </c>
      <c r="AE191" s="1">
        <v>268</v>
      </c>
      <c r="AF191" s="1">
        <v>15</v>
      </c>
      <c r="AG191" s="1">
        <v>15</v>
      </c>
      <c r="AH191" s="1">
        <v>32.9</v>
      </c>
      <c r="AI191" s="1">
        <v>54.1</v>
      </c>
      <c r="AJ191" s="1">
        <v>12.9</v>
      </c>
      <c r="AK191" s="1">
        <v>83.9</v>
      </c>
      <c r="AL191" s="1">
        <v>31.9</v>
      </c>
      <c r="AM191" s="1">
        <v>8</v>
      </c>
      <c r="AN191" s="1">
        <v>0</v>
      </c>
      <c r="AO191" s="1">
        <v>0</v>
      </c>
      <c r="AP191" s="1" t="s">
        <v>266</v>
      </c>
      <c r="AQ191" s="1" t="s">
        <v>267</v>
      </c>
      <c r="AR191" s="1" t="s">
        <v>268</v>
      </c>
    </row>
    <row r="192" spans="1:44" x14ac:dyDescent="0.2">
      <c r="A192" s="1" t="s">
        <v>16</v>
      </c>
      <c r="B192" s="1" t="s">
        <v>271</v>
      </c>
      <c r="C192" s="1">
        <v>-36.700000000000003</v>
      </c>
      <c r="D192" s="1">
        <v>471760</v>
      </c>
      <c r="E192" s="1">
        <v>5975245</v>
      </c>
      <c r="F192" s="1">
        <v>0</v>
      </c>
      <c r="G192" s="1">
        <v>-0.7</v>
      </c>
      <c r="H192" s="1">
        <v>0</v>
      </c>
      <c r="I192" s="1">
        <v>2</v>
      </c>
      <c r="J192" s="1">
        <v>0</v>
      </c>
      <c r="K192" s="1">
        <v>-71.099999999999994</v>
      </c>
      <c r="L192" s="1">
        <v>34.4</v>
      </c>
      <c r="M192" s="1">
        <v>1822.8019999999999</v>
      </c>
      <c r="N192" s="1">
        <v>96.5</v>
      </c>
      <c r="O192" s="1">
        <v>8</v>
      </c>
      <c r="P192" s="1">
        <v>10</v>
      </c>
      <c r="Q192" s="1">
        <v>3.37</v>
      </c>
      <c r="R192" s="1">
        <v>68</v>
      </c>
      <c r="S192" s="1">
        <v>110</v>
      </c>
      <c r="T192" s="1">
        <v>147</v>
      </c>
      <c r="U192" s="1">
        <v>1419.837</v>
      </c>
      <c r="V192" s="1">
        <v>489.51</v>
      </c>
      <c r="W192" s="1">
        <v>752.85199999999998</v>
      </c>
      <c r="X192" s="1">
        <v>132.18100000000001</v>
      </c>
      <c r="Y192" s="1">
        <v>4.9400000000000004</v>
      </c>
      <c r="Z192" s="1">
        <v>8.0150000000000006</v>
      </c>
      <c r="AA192" s="1">
        <v>21.7</v>
      </c>
      <c r="AB192" s="1">
        <v>290.5</v>
      </c>
      <c r="AC192" s="1">
        <v>12989</v>
      </c>
      <c r="AD192" s="1">
        <v>3291</v>
      </c>
      <c r="AE192" s="1">
        <v>268</v>
      </c>
      <c r="AF192" s="1">
        <v>23</v>
      </c>
      <c r="AG192" s="1">
        <v>23</v>
      </c>
      <c r="AH192" s="1">
        <v>30</v>
      </c>
      <c r="AI192" s="1">
        <v>58.2</v>
      </c>
      <c r="AJ192" s="1">
        <v>11.8</v>
      </c>
      <c r="AK192" s="1">
        <v>84.2</v>
      </c>
      <c r="AL192" s="1">
        <v>31.9</v>
      </c>
      <c r="AM192" s="1">
        <v>8</v>
      </c>
      <c r="AN192" s="1">
        <v>0</v>
      </c>
      <c r="AO192" s="1">
        <v>0</v>
      </c>
      <c r="AP192" s="1" t="s">
        <v>266</v>
      </c>
      <c r="AQ192" s="1" t="s">
        <v>267</v>
      </c>
      <c r="AR192" s="1" t="s">
        <v>268</v>
      </c>
    </row>
    <row r="193" spans="1:44" x14ac:dyDescent="0.2">
      <c r="A193" s="1" t="s">
        <v>54</v>
      </c>
      <c r="B193" s="1" t="s">
        <v>265</v>
      </c>
      <c r="C193" s="1">
        <v>-37.4</v>
      </c>
      <c r="D193" s="1">
        <v>449575.5</v>
      </c>
      <c r="E193" s="1">
        <v>5979545.4000000004</v>
      </c>
      <c r="F193" s="1">
        <v>0</v>
      </c>
      <c r="G193" s="1">
        <v>-0.7</v>
      </c>
      <c r="H193" s="1">
        <v>0</v>
      </c>
      <c r="I193" s="1">
        <v>2</v>
      </c>
      <c r="J193" s="1">
        <v>0</v>
      </c>
      <c r="K193" s="1">
        <v>-64.5</v>
      </c>
      <c r="L193" s="1">
        <v>27.1</v>
      </c>
      <c r="M193" s="1">
        <v>1677.104</v>
      </c>
      <c r="N193" s="1">
        <v>89.9</v>
      </c>
      <c r="O193" s="1">
        <v>8</v>
      </c>
      <c r="P193" s="1">
        <v>10</v>
      </c>
      <c r="Q193" s="1">
        <v>2.64</v>
      </c>
      <c r="R193" s="1">
        <v>68</v>
      </c>
      <c r="S193" s="1">
        <v>110</v>
      </c>
      <c r="T193" s="1">
        <v>147</v>
      </c>
      <c r="U193" s="1">
        <v>1357.595</v>
      </c>
      <c r="V193" s="1">
        <v>427.709</v>
      </c>
      <c r="W193" s="1">
        <v>752.85199999999998</v>
      </c>
      <c r="X193" s="1">
        <v>132.18100000000001</v>
      </c>
      <c r="Y193" s="1">
        <v>4.9400000000000004</v>
      </c>
      <c r="Z193" s="1">
        <v>8.0150000000000006</v>
      </c>
      <c r="AA193" s="1">
        <v>21.7</v>
      </c>
      <c r="AB193" s="1">
        <v>290.5</v>
      </c>
      <c r="AC193" s="1">
        <v>12578</v>
      </c>
      <c r="AD193" s="1">
        <v>3335</v>
      </c>
      <c r="AE193" s="1">
        <v>268</v>
      </c>
      <c r="AF193" s="1">
        <v>17</v>
      </c>
      <c r="AG193" s="1">
        <v>17</v>
      </c>
      <c r="AH193" s="1">
        <v>32.799999999999997</v>
      </c>
      <c r="AI193" s="1">
        <v>54.3</v>
      </c>
      <c r="AJ193" s="1">
        <v>12.9</v>
      </c>
      <c r="AK193" s="1">
        <v>83.8</v>
      </c>
      <c r="AL193" s="1">
        <v>31.9</v>
      </c>
      <c r="AM193" s="1">
        <v>8</v>
      </c>
      <c r="AN193" s="1">
        <v>0</v>
      </c>
      <c r="AO193" s="1">
        <v>0</v>
      </c>
      <c r="AP193" s="1" t="s">
        <v>266</v>
      </c>
      <c r="AQ193" s="1" t="s">
        <v>267</v>
      </c>
      <c r="AR193" s="1" t="s">
        <v>268</v>
      </c>
    </row>
    <row r="194" spans="1:44" x14ac:dyDescent="0.2">
      <c r="A194" s="1" t="s">
        <v>194</v>
      </c>
      <c r="B194" s="1" t="s">
        <v>265</v>
      </c>
      <c r="C194" s="1">
        <v>-46.6</v>
      </c>
      <c r="D194" s="1">
        <v>453391</v>
      </c>
      <c r="E194" s="1">
        <v>5979850</v>
      </c>
      <c r="F194" s="1">
        <v>0</v>
      </c>
      <c r="G194" s="1">
        <v>-0.7</v>
      </c>
      <c r="H194" s="1">
        <v>0</v>
      </c>
      <c r="I194" s="1">
        <v>2</v>
      </c>
      <c r="J194" s="1">
        <v>0</v>
      </c>
      <c r="K194" s="1">
        <v>-78.8</v>
      </c>
      <c r="L194" s="1">
        <v>32.200000000000003</v>
      </c>
      <c r="M194" s="1">
        <v>2224.1889999999999</v>
      </c>
      <c r="N194" s="1">
        <v>104.2</v>
      </c>
      <c r="O194" s="1">
        <v>8</v>
      </c>
      <c r="P194" s="1">
        <v>11</v>
      </c>
      <c r="Q194" s="1">
        <v>2.8635999999999999</v>
      </c>
      <c r="R194" s="1">
        <v>70</v>
      </c>
      <c r="S194" s="1">
        <v>117</v>
      </c>
      <c r="T194" s="1">
        <v>149</v>
      </c>
      <c r="U194" s="1">
        <v>1643.2670000000001</v>
      </c>
      <c r="V194" s="1">
        <v>403.10399999999998</v>
      </c>
      <c r="W194" s="1">
        <v>752.85199999999998</v>
      </c>
      <c r="X194" s="1">
        <v>132.18100000000001</v>
      </c>
      <c r="Y194" s="1">
        <v>4.9400000000000004</v>
      </c>
      <c r="Z194" s="1">
        <v>8.0150000000000006</v>
      </c>
      <c r="AA194" s="1">
        <v>21.7</v>
      </c>
      <c r="AB194" s="1">
        <v>290.5</v>
      </c>
      <c r="AC194" s="1">
        <v>13831</v>
      </c>
      <c r="AD194" s="1">
        <v>4086</v>
      </c>
      <c r="AE194" s="1">
        <v>268</v>
      </c>
      <c r="AF194" s="1">
        <v>21</v>
      </c>
      <c r="AG194" s="1">
        <v>21</v>
      </c>
      <c r="AH194" s="1">
        <v>26.6</v>
      </c>
      <c r="AI194" s="1">
        <v>58.9</v>
      </c>
      <c r="AJ194" s="1">
        <v>14.6</v>
      </c>
      <c r="AK194" s="1">
        <v>89.3</v>
      </c>
      <c r="AL194" s="1">
        <v>31.9</v>
      </c>
      <c r="AM194" s="1">
        <v>8</v>
      </c>
      <c r="AN194" s="1">
        <v>0</v>
      </c>
      <c r="AO194" s="1">
        <v>0</v>
      </c>
      <c r="AP194" s="1" t="s">
        <v>270</v>
      </c>
      <c r="AQ194" s="1" t="s">
        <v>267</v>
      </c>
      <c r="AR194" s="1" t="s">
        <v>268</v>
      </c>
    </row>
    <row r="195" spans="1:44" x14ac:dyDescent="0.2">
      <c r="A195" s="1" t="s">
        <v>9</v>
      </c>
      <c r="B195" s="1" t="s">
        <v>265</v>
      </c>
      <c r="C195" s="1">
        <v>-47.9</v>
      </c>
      <c r="D195" s="1">
        <v>454519.4</v>
      </c>
      <c r="E195" s="1">
        <v>5979707.2999999998</v>
      </c>
      <c r="F195" s="1">
        <v>0</v>
      </c>
      <c r="G195" s="1">
        <v>-0.7</v>
      </c>
      <c r="H195" s="1">
        <v>0</v>
      </c>
      <c r="I195" s="1">
        <v>2</v>
      </c>
      <c r="J195" s="1">
        <v>0</v>
      </c>
      <c r="K195" s="1">
        <v>-79.599999999999994</v>
      </c>
      <c r="L195" s="1">
        <v>31.7</v>
      </c>
      <c r="M195" s="1">
        <v>2258.44</v>
      </c>
      <c r="N195" s="1">
        <v>105</v>
      </c>
      <c r="O195" s="1">
        <v>8</v>
      </c>
      <c r="P195" s="1">
        <v>11</v>
      </c>
      <c r="Q195" s="1">
        <v>2.8182</v>
      </c>
      <c r="R195" s="1">
        <v>72</v>
      </c>
      <c r="S195" s="1">
        <v>117</v>
      </c>
      <c r="T195" s="1">
        <v>149</v>
      </c>
      <c r="U195" s="1">
        <v>1643.153</v>
      </c>
      <c r="V195" s="1">
        <v>369.21300000000002</v>
      </c>
      <c r="W195" s="1">
        <v>752.85199999999998</v>
      </c>
      <c r="X195" s="1">
        <v>132.18100000000001</v>
      </c>
      <c r="Y195" s="1">
        <v>4.9400000000000004</v>
      </c>
      <c r="Z195" s="1">
        <v>8.0150000000000006</v>
      </c>
      <c r="AA195" s="1">
        <v>21.7</v>
      </c>
      <c r="AB195" s="1">
        <v>290.5</v>
      </c>
      <c r="AC195" s="1">
        <v>13885</v>
      </c>
      <c r="AD195" s="1">
        <v>4175</v>
      </c>
      <c r="AE195" s="1">
        <v>268</v>
      </c>
      <c r="AF195" s="1">
        <v>21</v>
      </c>
      <c r="AG195" s="1">
        <v>21</v>
      </c>
      <c r="AH195" s="1">
        <v>26.5</v>
      </c>
      <c r="AI195" s="1">
        <v>59</v>
      </c>
      <c r="AJ195" s="1">
        <v>14.5</v>
      </c>
      <c r="AK195" s="1">
        <v>89.9</v>
      </c>
      <c r="AL195" s="1">
        <v>31.9</v>
      </c>
      <c r="AM195" s="1">
        <v>8</v>
      </c>
      <c r="AN195" s="1">
        <v>0</v>
      </c>
      <c r="AO195" s="1">
        <v>0</v>
      </c>
      <c r="AP195" s="1" t="s">
        <v>270</v>
      </c>
      <c r="AQ195" s="1" t="s">
        <v>267</v>
      </c>
      <c r="AR195" s="1" t="s">
        <v>268</v>
      </c>
    </row>
    <row r="196" spans="1:44" x14ac:dyDescent="0.2">
      <c r="A196" s="1" t="s">
        <v>195</v>
      </c>
      <c r="B196" s="1" t="s">
        <v>265</v>
      </c>
      <c r="C196" s="1">
        <v>-45.3</v>
      </c>
      <c r="D196" s="1">
        <v>455740</v>
      </c>
      <c r="E196" s="1">
        <v>5979350</v>
      </c>
      <c r="F196" s="1">
        <v>0</v>
      </c>
      <c r="G196" s="1">
        <v>-0.7</v>
      </c>
      <c r="H196" s="1">
        <v>0</v>
      </c>
      <c r="I196" s="1">
        <v>2</v>
      </c>
      <c r="J196" s="1">
        <v>0</v>
      </c>
      <c r="K196" s="1">
        <v>-79.099999999999994</v>
      </c>
      <c r="L196" s="1">
        <v>33.799999999999997</v>
      </c>
      <c r="M196" s="1">
        <v>2201.9459999999999</v>
      </c>
      <c r="N196" s="1">
        <v>104.5</v>
      </c>
      <c r="O196" s="1">
        <v>8</v>
      </c>
      <c r="P196" s="1">
        <v>11</v>
      </c>
      <c r="Q196" s="1">
        <v>3.0091000000000001</v>
      </c>
      <c r="R196" s="1">
        <v>70</v>
      </c>
      <c r="S196" s="1">
        <v>117</v>
      </c>
      <c r="T196" s="1">
        <v>149</v>
      </c>
      <c r="U196" s="1">
        <v>1643.4169999999999</v>
      </c>
      <c r="V196" s="1">
        <v>369.125</v>
      </c>
      <c r="W196" s="1">
        <v>752.85199999999998</v>
      </c>
      <c r="X196" s="1">
        <v>132.18100000000001</v>
      </c>
      <c r="Y196" s="1">
        <v>4.9400000000000004</v>
      </c>
      <c r="Z196" s="1">
        <v>8.0150000000000006</v>
      </c>
      <c r="AA196" s="1">
        <v>21.7</v>
      </c>
      <c r="AB196" s="1">
        <v>290.5</v>
      </c>
      <c r="AC196" s="1">
        <v>13852</v>
      </c>
      <c r="AD196" s="1">
        <v>3997</v>
      </c>
      <c r="AE196" s="1">
        <v>268</v>
      </c>
      <c r="AF196" s="1">
        <v>23</v>
      </c>
      <c r="AG196" s="1">
        <v>23</v>
      </c>
      <c r="AH196" s="1">
        <v>27</v>
      </c>
      <c r="AI196" s="1">
        <v>58.2</v>
      </c>
      <c r="AJ196" s="1">
        <v>14.8</v>
      </c>
      <c r="AK196" s="1">
        <v>88.3</v>
      </c>
      <c r="AL196" s="1">
        <v>31.9</v>
      </c>
      <c r="AM196" s="1">
        <v>8</v>
      </c>
      <c r="AN196" s="1">
        <v>0</v>
      </c>
      <c r="AO196" s="1">
        <v>0</v>
      </c>
      <c r="AP196" s="1" t="s">
        <v>270</v>
      </c>
      <c r="AQ196" s="1" t="s">
        <v>267</v>
      </c>
      <c r="AR196" s="1" t="s">
        <v>268</v>
      </c>
    </row>
    <row r="197" spans="1:44" x14ac:dyDescent="0.2">
      <c r="A197" s="1" t="s">
        <v>191</v>
      </c>
      <c r="B197" s="1" t="s">
        <v>265</v>
      </c>
      <c r="C197" s="1">
        <v>-47.9</v>
      </c>
      <c r="D197" s="1">
        <v>456904.3</v>
      </c>
      <c r="E197" s="1">
        <v>5979110.2000000002</v>
      </c>
      <c r="F197" s="1">
        <v>0</v>
      </c>
      <c r="G197" s="1">
        <v>-0.6</v>
      </c>
      <c r="H197" s="1">
        <v>0</v>
      </c>
      <c r="I197" s="1">
        <v>2</v>
      </c>
      <c r="J197" s="1">
        <v>0</v>
      </c>
      <c r="K197" s="1">
        <v>-81.7</v>
      </c>
      <c r="L197" s="1">
        <v>33.799999999999997</v>
      </c>
      <c r="M197" s="1">
        <v>2346.0909999999999</v>
      </c>
      <c r="N197" s="1">
        <v>107.1</v>
      </c>
      <c r="O197" s="1">
        <v>8</v>
      </c>
      <c r="P197" s="1">
        <v>11</v>
      </c>
      <c r="Q197" s="1">
        <v>3.0182000000000002</v>
      </c>
      <c r="R197" s="1">
        <v>70</v>
      </c>
      <c r="S197" s="1">
        <v>117</v>
      </c>
      <c r="T197" s="1">
        <v>149</v>
      </c>
      <c r="U197" s="1">
        <v>1711.489</v>
      </c>
      <c r="V197" s="1">
        <v>403.06599999999997</v>
      </c>
      <c r="W197" s="1">
        <v>752.85199999999998</v>
      </c>
      <c r="X197" s="1">
        <v>132.18100000000001</v>
      </c>
      <c r="Y197" s="1">
        <v>4.9400000000000004</v>
      </c>
      <c r="Z197" s="1">
        <v>8.0150000000000006</v>
      </c>
      <c r="AA197" s="1">
        <v>21.7</v>
      </c>
      <c r="AB197" s="1">
        <v>290.5</v>
      </c>
      <c r="AC197" s="1">
        <v>14029</v>
      </c>
      <c r="AD197" s="1">
        <v>4174</v>
      </c>
      <c r="AE197" s="1">
        <v>268</v>
      </c>
      <c r="AF197" s="1">
        <v>23</v>
      </c>
      <c r="AG197" s="1">
        <v>23</v>
      </c>
      <c r="AH197" s="1">
        <v>25.1</v>
      </c>
      <c r="AI197" s="1">
        <v>61.1</v>
      </c>
      <c r="AJ197" s="1">
        <v>13.7</v>
      </c>
      <c r="AK197" s="1">
        <v>91.1</v>
      </c>
      <c r="AL197" s="1">
        <v>31.9</v>
      </c>
      <c r="AM197" s="1">
        <v>8</v>
      </c>
      <c r="AN197" s="1">
        <v>0</v>
      </c>
      <c r="AO197" s="1">
        <v>0</v>
      </c>
      <c r="AP197" s="1" t="s">
        <v>270</v>
      </c>
      <c r="AQ197" s="1" t="s">
        <v>267</v>
      </c>
      <c r="AR197" s="1" t="s">
        <v>268</v>
      </c>
    </row>
    <row r="198" spans="1:44" x14ac:dyDescent="0.2">
      <c r="A198" s="1" t="s">
        <v>20</v>
      </c>
      <c r="B198" s="1" t="s">
        <v>265</v>
      </c>
      <c r="C198" s="1">
        <v>-37.200000000000003</v>
      </c>
      <c r="D198" s="1">
        <v>459587</v>
      </c>
      <c r="E198" s="1">
        <v>5976500</v>
      </c>
      <c r="F198" s="1">
        <v>0</v>
      </c>
      <c r="G198" s="1">
        <v>-0.6</v>
      </c>
      <c r="H198" s="1">
        <v>0</v>
      </c>
      <c r="I198" s="1">
        <v>2</v>
      </c>
      <c r="J198" s="1">
        <v>0</v>
      </c>
      <c r="K198" s="1">
        <v>-67.7</v>
      </c>
      <c r="L198" s="1">
        <v>30.5</v>
      </c>
      <c r="M198" s="1">
        <v>1732.3879999999999</v>
      </c>
      <c r="N198" s="1">
        <v>93.1</v>
      </c>
      <c r="O198" s="1">
        <v>8</v>
      </c>
      <c r="P198" s="1">
        <v>10</v>
      </c>
      <c r="Q198" s="1">
        <v>2.99</v>
      </c>
      <c r="R198" s="1">
        <v>68</v>
      </c>
      <c r="S198" s="1">
        <v>110</v>
      </c>
      <c r="T198" s="1">
        <v>147</v>
      </c>
      <c r="U198" s="1">
        <v>1419.9870000000001</v>
      </c>
      <c r="V198" s="1">
        <v>483.81799999999998</v>
      </c>
      <c r="W198" s="1">
        <v>752.85199999999998</v>
      </c>
      <c r="X198" s="1">
        <v>132.18100000000001</v>
      </c>
      <c r="Y198" s="1">
        <v>4.9400000000000004</v>
      </c>
      <c r="Z198" s="1">
        <v>8.0150000000000006</v>
      </c>
      <c r="AA198" s="1">
        <v>21.7</v>
      </c>
      <c r="AB198" s="1">
        <v>290.5</v>
      </c>
      <c r="AC198" s="1">
        <v>12777</v>
      </c>
      <c r="AD198" s="1">
        <v>3322</v>
      </c>
      <c r="AE198" s="1">
        <v>268</v>
      </c>
      <c r="AF198" s="1">
        <v>19</v>
      </c>
      <c r="AG198" s="1">
        <v>19</v>
      </c>
      <c r="AH198" s="1">
        <v>31.7</v>
      </c>
      <c r="AI198" s="1">
        <v>55.8</v>
      </c>
      <c r="AJ198" s="1">
        <v>12.5</v>
      </c>
      <c r="AK198" s="1">
        <v>83.3</v>
      </c>
      <c r="AL198" s="1">
        <v>31.9</v>
      </c>
      <c r="AM198" s="1">
        <v>8</v>
      </c>
      <c r="AN198" s="1">
        <v>0</v>
      </c>
      <c r="AO198" s="1">
        <v>0</v>
      </c>
      <c r="AP198" s="1" t="s">
        <v>266</v>
      </c>
      <c r="AQ198" s="1" t="s">
        <v>267</v>
      </c>
      <c r="AR198" s="1" t="s">
        <v>268</v>
      </c>
    </row>
    <row r="199" spans="1:44" x14ac:dyDescent="0.2">
      <c r="A199" s="1" t="s">
        <v>113</v>
      </c>
      <c r="B199" s="1" t="s">
        <v>265</v>
      </c>
      <c r="C199" s="1">
        <v>-36.200000000000003</v>
      </c>
      <c r="D199" s="1">
        <v>462643</v>
      </c>
      <c r="E199" s="1">
        <v>5974930</v>
      </c>
      <c r="F199" s="1">
        <v>0</v>
      </c>
      <c r="G199" s="1">
        <v>-0.6</v>
      </c>
      <c r="H199" s="1">
        <v>0</v>
      </c>
      <c r="I199" s="1">
        <v>2</v>
      </c>
      <c r="J199" s="1">
        <v>0</v>
      </c>
      <c r="K199" s="1">
        <v>-62</v>
      </c>
      <c r="L199" s="1">
        <v>25.8</v>
      </c>
      <c r="M199" s="1">
        <v>1589.5329999999999</v>
      </c>
      <c r="N199" s="1">
        <v>87.4</v>
      </c>
      <c r="O199" s="1">
        <v>8</v>
      </c>
      <c r="P199" s="1">
        <v>10</v>
      </c>
      <c r="Q199" s="1">
        <v>2.52</v>
      </c>
      <c r="R199" s="1">
        <v>68</v>
      </c>
      <c r="S199" s="1">
        <v>110</v>
      </c>
      <c r="T199" s="1">
        <v>147</v>
      </c>
      <c r="U199" s="1">
        <v>1295.492</v>
      </c>
      <c r="V199" s="1">
        <v>484.33300000000003</v>
      </c>
      <c r="W199" s="1">
        <v>752.85199999999998</v>
      </c>
      <c r="X199" s="1">
        <v>132.18100000000001</v>
      </c>
      <c r="Y199" s="1">
        <v>4.9400000000000004</v>
      </c>
      <c r="Z199" s="1">
        <v>8.0150000000000006</v>
      </c>
      <c r="AA199" s="1">
        <v>21.7</v>
      </c>
      <c r="AB199" s="1">
        <v>290.5</v>
      </c>
      <c r="AC199" s="1">
        <v>12423</v>
      </c>
      <c r="AD199" s="1">
        <v>3261</v>
      </c>
      <c r="AE199" s="1">
        <v>268</v>
      </c>
      <c r="AF199" s="1">
        <v>15</v>
      </c>
      <c r="AG199" s="1">
        <v>15</v>
      </c>
      <c r="AH199" s="1">
        <v>34.5</v>
      </c>
      <c r="AI199" s="1">
        <v>52</v>
      </c>
      <c r="AJ199" s="1">
        <v>13.5</v>
      </c>
      <c r="AK199" s="1">
        <v>82</v>
      </c>
      <c r="AL199" s="1">
        <v>31.9</v>
      </c>
      <c r="AM199" s="1">
        <v>8</v>
      </c>
      <c r="AN199" s="1">
        <v>0</v>
      </c>
      <c r="AO199" s="1">
        <v>0</v>
      </c>
      <c r="AP199" s="1" t="s">
        <v>266</v>
      </c>
      <c r="AQ199" s="1" t="s">
        <v>267</v>
      </c>
      <c r="AR199" s="1" t="s">
        <v>268</v>
      </c>
    </row>
    <row r="200" spans="1:44" x14ac:dyDescent="0.2">
      <c r="A200" s="1" t="s">
        <v>60</v>
      </c>
      <c r="B200" s="1" t="s">
        <v>265</v>
      </c>
      <c r="C200" s="1">
        <v>-37.200000000000003</v>
      </c>
      <c r="D200" s="1">
        <v>465366</v>
      </c>
      <c r="E200" s="1">
        <v>5973962</v>
      </c>
      <c r="F200" s="1">
        <v>0</v>
      </c>
      <c r="G200" s="1">
        <v>-0.7</v>
      </c>
      <c r="H200" s="1">
        <v>0</v>
      </c>
      <c r="I200" s="1">
        <v>2</v>
      </c>
      <c r="J200" s="1">
        <v>0</v>
      </c>
      <c r="K200" s="1">
        <v>-64.8</v>
      </c>
      <c r="L200" s="1">
        <v>27.6</v>
      </c>
      <c r="M200" s="1">
        <v>1643.0840000000001</v>
      </c>
      <c r="N200" s="1">
        <v>90.2</v>
      </c>
      <c r="O200" s="1">
        <v>8</v>
      </c>
      <c r="P200" s="1">
        <v>10</v>
      </c>
      <c r="Q200" s="1">
        <v>2.69</v>
      </c>
      <c r="R200" s="1">
        <v>68</v>
      </c>
      <c r="S200" s="1">
        <v>110</v>
      </c>
      <c r="T200" s="1">
        <v>147</v>
      </c>
      <c r="U200" s="1">
        <v>1357.8340000000001</v>
      </c>
      <c r="V200" s="1">
        <v>458.73500000000001</v>
      </c>
      <c r="W200" s="1">
        <v>752.85199999999998</v>
      </c>
      <c r="X200" s="1">
        <v>132.18100000000001</v>
      </c>
      <c r="Y200" s="1">
        <v>4.9400000000000004</v>
      </c>
      <c r="Z200" s="1">
        <v>8.0150000000000006</v>
      </c>
      <c r="AA200" s="1">
        <v>21.7</v>
      </c>
      <c r="AB200" s="1">
        <v>290.5</v>
      </c>
      <c r="AC200" s="1">
        <v>12598</v>
      </c>
      <c r="AD200" s="1">
        <v>3323</v>
      </c>
      <c r="AE200" s="1">
        <v>268</v>
      </c>
      <c r="AF200" s="1">
        <v>17</v>
      </c>
      <c r="AG200" s="1">
        <v>17</v>
      </c>
      <c r="AH200" s="1">
        <v>33.4</v>
      </c>
      <c r="AI200" s="1">
        <v>53.4</v>
      </c>
      <c r="AJ200" s="1">
        <v>13.2</v>
      </c>
      <c r="AK200" s="1">
        <v>81.900000000000006</v>
      </c>
      <c r="AL200" s="1">
        <v>31.9</v>
      </c>
      <c r="AM200" s="1">
        <v>8</v>
      </c>
      <c r="AN200" s="1">
        <v>0</v>
      </c>
      <c r="AO200" s="1">
        <v>0</v>
      </c>
      <c r="AP200" s="1" t="s">
        <v>266</v>
      </c>
      <c r="AQ200" s="1" t="s">
        <v>267</v>
      </c>
      <c r="AR200" s="1" t="s">
        <v>268</v>
      </c>
    </row>
    <row r="201" spans="1:44" x14ac:dyDescent="0.2">
      <c r="A201" s="1" t="s">
        <v>122</v>
      </c>
      <c r="B201" s="1" t="s">
        <v>265</v>
      </c>
      <c r="C201" s="1">
        <v>-36.299999999999997</v>
      </c>
      <c r="D201" s="1">
        <v>467767.1</v>
      </c>
      <c r="E201" s="1">
        <v>5973480</v>
      </c>
      <c r="F201" s="1">
        <v>0</v>
      </c>
      <c r="G201" s="1">
        <v>-0.7</v>
      </c>
      <c r="H201" s="1">
        <v>0</v>
      </c>
      <c r="I201" s="1">
        <v>2</v>
      </c>
      <c r="J201" s="1">
        <v>0</v>
      </c>
      <c r="K201" s="1">
        <v>-60.9</v>
      </c>
      <c r="L201" s="1">
        <v>24.6</v>
      </c>
      <c r="M201" s="1">
        <v>1561.7639999999999</v>
      </c>
      <c r="N201" s="1">
        <v>86.3</v>
      </c>
      <c r="O201" s="1">
        <v>8</v>
      </c>
      <c r="P201" s="1">
        <v>10</v>
      </c>
      <c r="Q201" s="1">
        <v>2.39</v>
      </c>
      <c r="R201" s="1">
        <v>68</v>
      </c>
      <c r="S201" s="1">
        <v>110</v>
      </c>
      <c r="T201" s="1">
        <v>147</v>
      </c>
      <c r="U201" s="1">
        <v>1295.5429999999999</v>
      </c>
      <c r="V201" s="1">
        <v>546.16</v>
      </c>
      <c r="W201" s="1">
        <v>752.85199999999998</v>
      </c>
      <c r="X201" s="1">
        <v>132.18100000000001</v>
      </c>
      <c r="Y201" s="1">
        <v>4.9400000000000004</v>
      </c>
      <c r="Z201" s="1">
        <v>8.0150000000000006</v>
      </c>
      <c r="AA201" s="1">
        <v>21.7</v>
      </c>
      <c r="AB201" s="1">
        <v>290.5</v>
      </c>
      <c r="AC201" s="1">
        <v>12355</v>
      </c>
      <c r="AD201" s="1">
        <v>3267</v>
      </c>
      <c r="AE201" s="1">
        <v>268</v>
      </c>
      <c r="AF201" s="1">
        <v>15</v>
      </c>
      <c r="AG201" s="1">
        <v>15</v>
      </c>
      <c r="AH201" s="1">
        <v>35.1</v>
      </c>
      <c r="AI201" s="1">
        <v>51.4</v>
      </c>
      <c r="AJ201" s="1">
        <v>13.6</v>
      </c>
      <c r="AK201" s="1">
        <v>81.7</v>
      </c>
      <c r="AL201" s="1">
        <v>31.9</v>
      </c>
      <c r="AM201" s="1">
        <v>8</v>
      </c>
      <c r="AN201" s="1">
        <v>0</v>
      </c>
      <c r="AO201" s="1">
        <v>0</v>
      </c>
      <c r="AP201" s="1" t="s">
        <v>266</v>
      </c>
      <c r="AQ201" s="1" t="s">
        <v>267</v>
      </c>
      <c r="AR201" s="1" t="s">
        <v>268</v>
      </c>
    </row>
    <row r="202" spans="1:44" x14ac:dyDescent="0.2">
      <c r="A202" s="1" t="s">
        <v>180</v>
      </c>
      <c r="B202" s="1" t="s">
        <v>265</v>
      </c>
      <c r="C202" s="1">
        <v>-39.6</v>
      </c>
      <c r="D202" s="1">
        <v>467708.3</v>
      </c>
      <c r="E202" s="1">
        <v>5976896.9000000004</v>
      </c>
      <c r="F202" s="1">
        <v>0</v>
      </c>
      <c r="G202" s="1">
        <v>-0.6</v>
      </c>
      <c r="H202" s="1">
        <v>0</v>
      </c>
      <c r="I202" s="1">
        <v>2</v>
      </c>
      <c r="J202" s="1">
        <v>0</v>
      </c>
      <c r="K202" s="1">
        <v>-68.099999999999994</v>
      </c>
      <c r="L202" s="1">
        <v>28.5</v>
      </c>
      <c r="M202" s="1">
        <v>1756.6869999999999</v>
      </c>
      <c r="N202" s="1">
        <v>93.5</v>
      </c>
      <c r="O202" s="1">
        <v>8</v>
      </c>
      <c r="P202" s="1">
        <v>10.5</v>
      </c>
      <c r="Q202" s="1">
        <v>2.6570999999999998</v>
      </c>
      <c r="R202" s="1">
        <v>72</v>
      </c>
      <c r="S202" s="1">
        <v>112</v>
      </c>
      <c r="T202" s="1">
        <v>146</v>
      </c>
      <c r="U202" s="1">
        <v>1406.133</v>
      </c>
      <c r="V202" s="1">
        <v>486.65800000000002</v>
      </c>
      <c r="W202" s="1">
        <v>752.85199999999998</v>
      </c>
      <c r="X202" s="1">
        <v>132.18100000000001</v>
      </c>
      <c r="Y202" s="1">
        <v>4.9400000000000004</v>
      </c>
      <c r="Z202" s="1">
        <v>8.0150000000000006</v>
      </c>
      <c r="AA202" s="1">
        <v>21.7</v>
      </c>
      <c r="AB202" s="1">
        <v>290.5</v>
      </c>
      <c r="AC202" s="1">
        <v>12957</v>
      </c>
      <c r="AD202" s="1">
        <v>3545</v>
      </c>
      <c r="AE202" s="1">
        <v>268</v>
      </c>
      <c r="AF202" s="1">
        <v>17</v>
      </c>
      <c r="AG202" s="1">
        <v>17</v>
      </c>
      <c r="AH202" s="1">
        <v>32.9</v>
      </c>
      <c r="AI202" s="1">
        <v>52.2</v>
      </c>
      <c r="AJ202" s="1">
        <v>14.9</v>
      </c>
      <c r="AK202" s="1">
        <v>82.3</v>
      </c>
      <c r="AL202" s="1">
        <v>31.9</v>
      </c>
      <c r="AM202" s="1">
        <v>8</v>
      </c>
      <c r="AN202" s="1">
        <v>0</v>
      </c>
      <c r="AO202" s="1">
        <v>0</v>
      </c>
      <c r="AP202" s="1" t="s">
        <v>270</v>
      </c>
      <c r="AQ202" s="1" t="s">
        <v>267</v>
      </c>
      <c r="AR202" s="1" t="s">
        <v>268</v>
      </c>
    </row>
    <row r="203" spans="1:44" x14ac:dyDescent="0.2">
      <c r="A203" s="1" t="s">
        <v>35</v>
      </c>
      <c r="B203" s="1" t="s">
        <v>271</v>
      </c>
      <c r="C203" s="1">
        <v>-38.9</v>
      </c>
      <c r="D203" s="1">
        <v>469144</v>
      </c>
      <c r="E203" s="1">
        <v>5976260</v>
      </c>
      <c r="F203" s="1">
        <v>0</v>
      </c>
      <c r="G203" s="1">
        <v>-0.7</v>
      </c>
      <c r="H203" s="1">
        <v>0</v>
      </c>
      <c r="I203" s="1">
        <v>2</v>
      </c>
      <c r="J203" s="1">
        <v>0</v>
      </c>
      <c r="K203" s="1">
        <v>-65.8</v>
      </c>
      <c r="L203" s="1">
        <v>26.9</v>
      </c>
      <c r="M203" s="1">
        <v>1696.9</v>
      </c>
      <c r="N203" s="1">
        <v>91.2</v>
      </c>
      <c r="O203" s="1">
        <v>8</v>
      </c>
      <c r="P203" s="1">
        <v>10</v>
      </c>
      <c r="Q203" s="1">
        <v>2.62</v>
      </c>
      <c r="R203" s="1">
        <v>68</v>
      </c>
      <c r="S203" s="1">
        <v>110</v>
      </c>
      <c r="T203" s="1">
        <v>147</v>
      </c>
      <c r="U203" s="1">
        <v>1419.962</v>
      </c>
      <c r="V203" s="1">
        <v>490.07600000000002</v>
      </c>
      <c r="W203" s="1">
        <v>752.85199999999998</v>
      </c>
      <c r="X203" s="1">
        <v>132.18100000000001</v>
      </c>
      <c r="Y203" s="1">
        <v>4.9400000000000004</v>
      </c>
      <c r="Z203" s="1">
        <v>8.0150000000000006</v>
      </c>
      <c r="AA203" s="1">
        <v>21.7</v>
      </c>
      <c r="AB203" s="1">
        <v>290.5</v>
      </c>
      <c r="AC203" s="1">
        <v>12659</v>
      </c>
      <c r="AD203" s="1">
        <v>3428</v>
      </c>
      <c r="AE203" s="1">
        <v>268</v>
      </c>
      <c r="AF203" s="1">
        <v>17</v>
      </c>
      <c r="AG203" s="1">
        <v>17</v>
      </c>
      <c r="AH203" s="1">
        <v>32.5</v>
      </c>
      <c r="AI203" s="1">
        <v>54.5</v>
      </c>
      <c r="AJ203" s="1">
        <v>13.1</v>
      </c>
      <c r="AK203" s="1">
        <v>83.5</v>
      </c>
      <c r="AL203" s="1">
        <v>31.9</v>
      </c>
      <c r="AM203" s="1">
        <v>8</v>
      </c>
      <c r="AN203" s="1">
        <v>0</v>
      </c>
      <c r="AO203" s="1">
        <v>0</v>
      </c>
      <c r="AP203" s="1" t="s">
        <v>266</v>
      </c>
      <c r="AQ203" s="1" t="s">
        <v>267</v>
      </c>
      <c r="AR203" s="1" t="s">
        <v>268</v>
      </c>
    </row>
    <row r="204" spans="1:44" x14ac:dyDescent="0.2">
      <c r="A204" s="1" t="s">
        <v>169</v>
      </c>
      <c r="B204" s="1" t="s">
        <v>265</v>
      </c>
      <c r="C204" s="1">
        <v>-43</v>
      </c>
      <c r="D204" s="1">
        <v>448850</v>
      </c>
      <c r="E204" s="1">
        <v>5980700</v>
      </c>
      <c r="F204" s="1">
        <v>0</v>
      </c>
      <c r="G204" s="1">
        <v>-0.6</v>
      </c>
      <c r="H204" s="1">
        <v>0</v>
      </c>
      <c r="I204" s="1">
        <v>2</v>
      </c>
      <c r="J204" s="1">
        <v>0</v>
      </c>
      <c r="K204" s="1">
        <v>-71.7</v>
      </c>
      <c r="L204" s="1">
        <v>28.7</v>
      </c>
      <c r="M204" s="1">
        <v>1869.6769999999999</v>
      </c>
      <c r="N204" s="1">
        <v>97.1</v>
      </c>
      <c r="O204" s="1">
        <v>8</v>
      </c>
      <c r="P204" s="1">
        <v>10.5</v>
      </c>
      <c r="Q204" s="1">
        <v>2.6762000000000001</v>
      </c>
      <c r="R204" s="1">
        <v>72</v>
      </c>
      <c r="S204" s="1">
        <v>112</v>
      </c>
      <c r="T204" s="1">
        <v>146</v>
      </c>
      <c r="U204" s="1">
        <v>1471.3150000000001</v>
      </c>
      <c r="V204" s="1">
        <v>492.42</v>
      </c>
      <c r="W204" s="1">
        <v>752.85199999999998</v>
      </c>
      <c r="X204" s="1">
        <v>132.18100000000001</v>
      </c>
      <c r="Y204" s="1">
        <v>4.9400000000000004</v>
      </c>
      <c r="Z204" s="1">
        <v>8.0150000000000006</v>
      </c>
      <c r="AA204" s="1">
        <v>21.7</v>
      </c>
      <c r="AB204" s="1">
        <v>290.5</v>
      </c>
      <c r="AC204" s="1">
        <v>13191</v>
      </c>
      <c r="AD204" s="1">
        <v>3766</v>
      </c>
      <c r="AE204" s="1">
        <v>268</v>
      </c>
      <c r="AF204" s="1">
        <v>19</v>
      </c>
      <c r="AG204" s="1">
        <v>19</v>
      </c>
      <c r="AH204" s="1">
        <v>32.1</v>
      </c>
      <c r="AI204" s="1">
        <v>53.4</v>
      </c>
      <c r="AJ204" s="1">
        <v>14.5</v>
      </c>
      <c r="AK204" s="1">
        <v>84.2</v>
      </c>
      <c r="AL204" s="1">
        <v>31.9</v>
      </c>
      <c r="AM204" s="1">
        <v>8</v>
      </c>
      <c r="AN204" s="1">
        <v>0</v>
      </c>
      <c r="AO204" s="1">
        <v>0</v>
      </c>
      <c r="AP204" s="1" t="s">
        <v>270</v>
      </c>
      <c r="AQ204" s="1" t="s">
        <v>267</v>
      </c>
      <c r="AR204" s="1" t="s">
        <v>268</v>
      </c>
    </row>
    <row r="205" spans="1:44" x14ac:dyDescent="0.2">
      <c r="A205" s="1" t="s">
        <v>206</v>
      </c>
      <c r="B205" s="1" t="s">
        <v>271</v>
      </c>
      <c r="C205" s="1">
        <v>-44.6</v>
      </c>
      <c r="D205" s="1">
        <v>449855</v>
      </c>
      <c r="E205" s="1">
        <v>5980770</v>
      </c>
      <c r="F205" s="1">
        <v>0</v>
      </c>
      <c r="G205" s="1">
        <v>-0.6</v>
      </c>
      <c r="H205" s="1">
        <v>0</v>
      </c>
      <c r="I205" s="1">
        <v>2</v>
      </c>
      <c r="J205" s="1">
        <v>0</v>
      </c>
      <c r="K205" s="1">
        <v>-74.099999999999994</v>
      </c>
      <c r="L205" s="1">
        <v>29.5</v>
      </c>
      <c r="M205" s="1">
        <v>1977.1980000000001</v>
      </c>
      <c r="N205" s="1">
        <v>99.5</v>
      </c>
      <c r="O205" s="1">
        <v>8</v>
      </c>
      <c r="P205" s="1">
        <v>11</v>
      </c>
      <c r="Q205" s="1">
        <v>2.6273</v>
      </c>
      <c r="R205" s="1">
        <v>70</v>
      </c>
      <c r="S205" s="1">
        <v>117</v>
      </c>
      <c r="T205" s="1">
        <v>149</v>
      </c>
      <c r="U205" s="1">
        <v>1575.509</v>
      </c>
      <c r="V205" s="1">
        <v>507.06599999999997</v>
      </c>
      <c r="W205" s="1">
        <v>752.85199999999998</v>
      </c>
      <c r="X205" s="1">
        <v>132.18100000000001</v>
      </c>
      <c r="Y205" s="1">
        <v>4.9400000000000004</v>
      </c>
      <c r="Z205" s="1">
        <v>8.0150000000000006</v>
      </c>
      <c r="AA205" s="1">
        <v>21.7</v>
      </c>
      <c r="AB205" s="1">
        <v>290.5</v>
      </c>
      <c r="AC205" s="1">
        <v>13512</v>
      </c>
      <c r="AD205" s="1">
        <v>3950</v>
      </c>
      <c r="AE205" s="1">
        <v>268</v>
      </c>
      <c r="AF205" s="1">
        <v>19</v>
      </c>
      <c r="AG205" s="1">
        <v>19</v>
      </c>
      <c r="AH205" s="1">
        <v>30.1</v>
      </c>
      <c r="AI205" s="1">
        <v>53.6</v>
      </c>
      <c r="AJ205" s="1">
        <v>16.399999999999999</v>
      </c>
      <c r="AK205" s="1">
        <v>84.3</v>
      </c>
      <c r="AL205" s="1">
        <v>31.9</v>
      </c>
      <c r="AM205" s="1">
        <v>8</v>
      </c>
      <c r="AN205" s="1">
        <v>0</v>
      </c>
      <c r="AO205" s="1">
        <v>0</v>
      </c>
      <c r="AP205" s="1" t="s">
        <v>270</v>
      </c>
      <c r="AQ205" s="1" t="s">
        <v>267</v>
      </c>
      <c r="AR205" s="1" t="s">
        <v>268</v>
      </c>
    </row>
    <row r="206" spans="1:44" x14ac:dyDescent="0.2">
      <c r="A206" s="1" t="s">
        <v>36</v>
      </c>
      <c r="B206" s="1" t="s">
        <v>271</v>
      </c>
      <c r="C206" s="1">
        <v>-37.9</v>
      </c>
      <c r="D206" s="1">
        <v>458833</v>
      </c>
      <c r="E206" s="1">
        <v>5977710</v>
      </c>
      <c r="F206" s="1">
        <v>0</v>
      </c>
      <c r="G206" s="1">
        <v>-0.6</v>
      </c>
      <c r="H206" s="1">
        <v>0</v>
      </c>
      <c r="I206" s="1">
        <v>2</v>
      </c>
      <c r="J206" s="1">
        <v>0</v>
      </c>
      <c r="K206" s="1">
        <v>-65.2</v>
      </c>
      <c r="L206" s="1">
        <v>27.3</v>
      </c>
      <c r="M206" s="1">
        <v>1707.502</v>
      </c>
      <c r="N206" s="1">
        <v>90.6</v>
      </c>
      <c r="O206" s="1">
        <v>8</v>
      </c>
      <c r="P206" s="1">
        <v>10</v>
      </c>
      <c r="Q206" s="1">
        <v>2.67</v>
      </c>
      <c r="R206" s="1">
        <v>68</v>
      </c>
      <c r="S206" s="1">
        <v>110</v>
      </c>
      <c r="T206" s="1">
        <v>147</v>
      </c>
      <c r="U206" s="1">
        <v>1357.4949999999999</v>
      </c>
      <c r="V206" s="1">
        <v>514.65599999999995</v>
      </c>
      <c r="W206" s="1">
        <v>752.85199999999998</v>
      </c>
      <c r="X206" s="1">
        <v>132.18100000000001</v>
      </c>
      <c r="Y206" s="1">
        <v>4.9400000000000004</v>
      </c>
      <c r="Z206" s="1">
        <v>8.0150000000000006</v>
      </c>
      <c r="AA206" s="1">
        <v>21.7</v>
      </c>
      <c r="AB206" s="1">
        <v>290.5</v>
      </c>
      <c r="AC206" s="1">
        <v>12621</v>
      </c>
      <c r="AD206" s="1">
        <v>3366</v>
      </c>
      <c r="AE206" s="1">
        <v>268</v>
      </c>
      <c r="AF206" s="1">
        <v>17</v>
      </c>
      <c r="AG206" s="1">
        <v>17</v>
      </c>
      <c r="AH206" s="1">
        <v>32</v>
      </c>
      <c r="AI206" s="1">
        <v>55.7</v>
      </c>
      <c r="AJ206" s="1">
        <v>12.3</v>
      </c>
      <c r="AK206" s="1">
        <v>84.4</v>
      </c>
      <c r="AL206" s="1">
        <v>31.9</v>
      </c>
      <c r="AM206" s="1">
        <v>8</v>
      </c>
      <c r="AN206" s="1">
        <v>0</v>
      </c>
      <c r="AO206" s="1">
        <v>0</v>
      </c>
      <c r="AP206" s="1" t="s">
        <v>266</v>
      </c>
      <c r="AQ206" s="1" t="s">
        <v>267</v>
      </c>
      <c r="AR206" s="1" t="s">
        <v>268</v>
      </c>
    </row>
    <row r="207" spans="1:44" x14ac:dyDescent="0.2">
      <c r="A207" s="1" t="s">
        <v>65</v>
      </c>
      <c r="B207" s="1" t="s">
        <v>265</v>
      </c>
      <c r="C207" s="1">
        <v>-35.6</v>
      </c>
      <c r="D207" s="1">
        <v>461834.6</v>
      </c>
      <c r="E207" s="1">
        <v>5976226.5999999996</v>
      </c>
      <c r="F207" s="1">
        <v>0</v>
      </c>
      <c r="G207" s="1">
        <v>-0.6</v>
      </c>
      <c r="H207" s="1">
        <v>0</v>
      </c>
      <c r="I207" s="1">
        <v>2</v>
      </c>
      <c r="J207" s="1">
        <v>0</v>
      </c>
      <c r="K207" s="1">
        <v>-64.599999999999994</v>
      </c>
      <c r="L207" s="1">
        <v>29</v>
      </c>
      <c r="M207" s="1">
        <v>1634.9469999999999</v>
      </c>
      <c r="N207" s="1">
        <v>90</v>
      </c>
      <c r="O207" s="1">
        <v>8</v>
      </c>
      <c r="P207" s="1">
        <v>10</v>
      </c>
      <c r="Q207" s="1">
        <v>2.84</v>
      </c>
      <c r="R207" s="1">
        <v>68</v>
      </c>
      <c r="S207" s="1">
        <v>110</v>
      </c>
      <c r="T207" s="1">
        <v>147</v>
      </c>
      <c r="U207" s="1">
        <v>1357.8589999999999</v>
      </c>
      <c r="V207" s="1">
        <v>546.70000000000005</v>
      </c>
      <c r="W207" s="1">
        <v>752.85199999999998</v>
      </c>
      <c r="X207" s="1">
        <v>132.18100000000001</v>
      </c>
      <c r="Y207" s="1">
        <v>4.9400000000000004</v>
      </c>
      <c r="Z207" s="1">
        <v>8.0150000000000006</v>
      </c>
      <c r="AA207" s="1">
        <v>21.7</v>
      </c>
      <c r="AB207" s="1">
        <v>290.5</v>
      </c>
      <c r="AC207" s="1">
        <v>12585</v>
      </c>
      <c r="AD207" s="1">
        <v>3223</v>
      </c>
      <c r="AE207" s="1">
        <v>268</v>
      </c>
      <c r="AF207" s="1">
        <v>19</v>
      </c>
      <c r="AG207" s="1">
        <v>19</v>
      </c>
      <c r="AH207" s="1">
        <v>33.6</v>
      </c>
      <c r="AI207" s="1">
        <v>53.1</v>
      </c>
      <c r="AJ207" s="1">
        <v>13.3</v>
      </c>
      <c r="AK207" s="1">
        <v>81.8</v>
      </c>
      <c r="AL207" s="1">
        <v>31.9</v>
      </c>
      <c r="AM207" s="1">
        <v>8</v>
      </c>
      <c r="AN207" s="1">
        <v>0</v>
      </c>
      <c r="AO207" s="1">
        <v>0</v>
      </c>
      <c r="AP207" s="1" t="s">
        <v>266</v>
      </c>
      <c r="AQ207" s="1" t="s">
        <v>267</v>
      </c>
      <c r="AR207" s="1" t="s">
        <v>268</v>
      </c>
    </row>
    <row r="208" spans="1:44" x14ac:dyDescent="0.2">
      <c r="A208" s="1" t="s">
        <v>56</v>
      </c>
      <c r="B208" s="1" t="s">
        <v>265</v>
      </c>
      <c r="C208" s="1">
        <v>-37.299999999999997</v>
      </c>
      <c r="D208" s="1">
        <v>464330.2</v>
      </c>
      <c r="E208" s="1">
        <v>5975626</v>
      </c>
      <c r="F208" s="1">
        <v>0</v>
      </c>
      <c r="G208" s="1">
        <v>-0.6</v>
      </c>
      <c r="H208" s="1">
        <v>0</v>
      </c>
      <c r="I208" s="1">
        <v>2</v>
      </c>
      <c r="J208" s="1">
        <v>0</v>
      </c>
      <c r="K208" s="1">
        <v>-64.400000000000006</v>
      </c>
      <c r="L208" s="1">
        <v>27.1</v>
      </c>
      <c r="M208" s="1">
        <v>1662.0709999999999</v>
      </c>
      <c r="N208" s="1">
        <v>89.8</v>
      </c>
      <c r="O208" s="1">
        <v>8</v>
      </c>
      <c r="P208" s="1">
        <v>10</v>
      </c>
      <c r="Q208" s="1">
        <v>2.65</v>
      </c>
      <c r="R208" s="1">
        <v>68</v>
      </c>
      <c r="S208" s="1">
        <v>110</v>
      </c>
      <c r="T208" s="1">
        <v>147</v>
      </c>
      <c r="U208" s="1">
        <v>1357.683</v>
      </c>
      <c r="V208" s="1">
        <v>427.75900000000001</v>
      </c>
      <c r="W208" s="1">
        <v>752.85199999999998</v>
      </c>
      <c r="X208" s="1">
        <v>132.18100000000001</v>
      </c>
      <c r="Y208" s="1">
        <v>4.9400000000000004</v>
      </c>
      <c r="Z208" s="1">
        <v>8.0150000000000006</v>
      </c>
      <c r="AA208" s="1">
        <v>21.7</v>
      </c>
      <c r="AB208" s="1">
        <v>290.5</v>
      </c>
      <c r="AC208" s="1">
        <v>12572</v>
      </c>
      <c r="AD208" s="1">
        <v>3329</v>
      </c>
      <c r="AE208" s="1">
        <v>268</v>
      </c>
      <c r="AF208" s="1">
        <v>17</v>
      </c>
      <c r="AG208" s="1">
        <v>17</v>
      </c>
      <c r="AH208" s="1">
        <v>33</v>
      </c>
      <c r="AI208" s="1">
        <v>54.1</v>
      </c>
      <c r="AJ208" s="1">
        <v>12.9</v>
      </c>
      <c r="AK208" s="1">
        <v>83.1</v>
      </c>
      <c r="AL208" s="1">
        <v>31.9</v>
      </c>
      <c r="AM208" s="1">
        <v>8</v>
      </c>
      <c r="AN208" s="1">
        <v>0</v>
      </c>
      <c r="AO208" s="1">
        <v>0</v>
      </c>
      <c r="AP208" s="1" t="s">
        <v>266</v>
      </c>
      <c r="AQ208" s="1" t="s">
        <v>267</v>
      </c>
      <c r="AR208" s="1" t="s">
        <v>268</v>
      </c>
    </row>
    <row r="209" spans="1:44" x14ac:dyDescent="0.2">
      <c r="A209" s="1" t="s">
        <v>73</v>
      </c>
      <c r="B209" s="1" t="s">
        <v>265</v>
      </c>
      <c r="C209" s="1">
        <v>-36.200000000000003</v>
      </c>
      <c r="D209" s="1">
        <v>466870.1</v>
      </c>
      <c r="E209" s="1">
        <v>5974920</v>
      </c>
      <c r="F209" s="1">
        <v>0</v>
      </c>
      <c r="G209" s="1">
        <v>-0.6</v>
      </c>
      <c r="H209" s="1">
        <v>0</v>
      </c>
      <c r="I209" s="1">
        <v>2</v>
      </c>
      <c r="J209" s="1">
        <v>0</v>
      </c>
      <c r="K209" s="1">
        <v>-63.7</v>
      </c>
      <c r="L209" s="1">
        <v>27.5</v>
      </c>
      <c r="M209" s="1">
        <v>1628.86</v>
      </c>
      <c r="N209" s="1">
        <v>89.1</v>
      </c>
      <c r="O209" s="1">
        <v>8</v>
      </c>
      <c r="P209" s="1">
        <v>10</v>
      </c>
      <c r="Q209" s="1">
        <v>2.69</v>
      </c>
      <c r="R209" s="1">
        <v>68</v>
      </c>
      <c r="S209" s="1">
        <v>110</v>
      </c>
      <c r="T209" s="1">
        <v>147</v>
      </c>
      <c r="U209" s="1">
        <v>1295.5170000000001</v>
      </c>
      <c r="V209" s="1">
        <v>583.43100000000004</v>
      </c>
      <c r="W209" s="1">
        <v>752.85199999999998</v>
      </c>
      <c r="X209" s="1">
        <v>132.18100000000001</v>
      </c>
      <c r="Y209" s="1">
        <v>4.9400000000000004</v>
      </c>
      <c r="Z209" s="1">
        <v>8.0150000000000006</v>
      </c>
      <c r="AA209" s="1">
        <v>21.7</v>
      </c>
      <c r="AB209" s="1">
        <v>290.5</v>
      </c>
      <c r="AC209" s="1">
        <v>12529</v>
      </c>
      <c r="AD209" s="1">
        <v>3261</v>
      </c>
      <c r="AE209" s="1">
        <v>268</v>
      </c>
      <c r="AF209" s="1">
        <v>17</v>
      </c>
      <c r="AG209" s="1">
        <v>17</v>
      </c>
      <c r="AH209" s="1">
        <v>33.6</v>
      </c>
      <c r="AI209" s="1">
        <v>53.3</v>
      </c>
      <c r="AJ209" s="1">
        <v>13.1</v>
      </c>
      <c r="AK209" s="1">
        <v>82.3</v>
      </c>
      <c r="AL209" s="1">
        <v>31.9</v>
      </c>
      <c r="AM209" s="1">
        <v>8</v>
      </c>
      <c r="AN209" s="1">
        <v>0</v>
      </c>
      <c r="AO209" s="1">
        <v>0</v>
      </c>
      <c r="AP209" s="1" t="s">
        <v>266</v>
      </c>
      <c r="AQ209" s="1" t="s">
        <v>267</v>
      </c>
      <c r="AR209" s="1" t="s">
        <v>268</v>
      </c>
    </row>
    <row r="210" spans="1:44" x14ac:dyDescent="0.2">
      <c r="A210" s="1" t="s">
        <v>86</v>
      </c>
      <c r="B210" s="1" t="s">
        <v>265</v>
      </c>
      <c r="C210" s="1">
        <v>-36.799999999999997</v>
      </c>
      <c r="D210" s="1">
        <v>461034.5</v>
      </c>
      <c r="E210" s="1">
        <v>5977526.5999999996</v>
      </c>
      <c r="F210" s="1">
        <v>0</v>
      </c>
      <c r="G210" s="1">
        <v>-0.6</v>
      </c>
      <c r="H210" s="1">
        <v>0</v>
      </c>
      <c r="I210" s="1">
        <v>2</v>
      </c>
      <c r="J210" s="1">
        <v>0</v>
      </c>
      <c r="K210" s="1">
        <v>-62.9</v>
      </c>
      <c r="L210" s="1">
        <v>26.1</v>
      </c>
      <c r="M210" s="1">
        <v>1625.8789999999999</v>
      </c>
      <c r="N210" s="1">
        <v>88.3</v>
      </c>
      <c r="O210" s="1">
        <v>8</v>
      </c>
      <c r="P210" s="1">
        <v>10</v>
      </c>
      <c r="Q210" s="1">
        <v>2.5499999999999998</v>
      </c>
      <c r="R210" s="1">
        <v>68</v>
      </c>
      <c r="S210" s="1">
        <v>110</v>
      </c>
      <c r="T210" s="1">
        <v>147</v>
      </c>
      <c r="U210" s="1">
        <v>1295.4169999999999</v>
      </c>
      <c r="V210" s="1">
        <v>483.85599999999999</v>
      </c>
      <c r="W210" s="1">
        <v>752.85199999999998</v>
      </c>
      <c r="X210" s="1">
        <v>132.18100000000001</v>
      </c>
      <c r="Y210" s="1">
        <v>4.9400000000000004</v>
      </c>
      <c r="Z210" s="1">
        <v>8.0150000000000006</v>
      </c>
      <c r="AA210" s="1">
        <v>21.7</v>
      </c>
      <c r="AB210" s="1">
        <v>290.5</v>
      </c>
      <c r="AC210" s="1">
        <v>12479</v>
      </c>
      <c r="AD210" s="1">
        <v>3298</v>
      </c>
      <c r="AE210" s="1">
        <v>268</v>
      </c>
      <c r="AF210" s="1">
        <v>15</v>
      </c>
      <c r="AG210" s="1">
        <v>15</v>
      </c>
      <c r="AH210" s="1">
        <v>33.700000000000003</v>
      </c>
      <c r="AI210" s="1">
        <v>53.2</v>
      </c>
      <c r="AJ210" s="1">
        <v>13.1</v>
      </c>
      <c r="AK210" s="1">
        <v>82.9</v>
      </c>
      <c r="AL210" s="1">
        <v>31.9</v>
      </c>
      <c r="AM210" s="1">
        <v>8</v>
      </c>
      <c r="AN210" s="1">
        <v>0</v>
      </c>
      <c r="AO210" s="1">
        <v>0</v>
      </c>
      <c r="AP210" s="1" t="s">
        <v>266</v>
      </c>
      <c r="AQ210" s="1" t="s">
        <v>267</v>
      </c>
      <c r="AR210" s="1" t="s">
        <v>268</v>
      </c>
    </row>
    <row r="211" spans="1:44" x14ac:dyDescent="0.2">
      <c r="A211" s="1" t="s">
        <v>28</v>
      </c>
      <c r="B211" s="1" t="s">
        <v>265</v>
      </c>
      <c r="C211" s="1">
        <v>-37</v>
      </c>
      <c r="D211" s="1">
        <v>463381</v>
      </c>
      <c r="E211" s="1">
        <v>5977131</v>
      </c>
      <c r="F211" s="1">
        <v>0</v>
      </c>
      <c r="G211" s="1">
        <v>-0.6</v>
      </c>
      <c r="H211" s="1">
        <v>0</v>
      </c>
      <c r="I211" s="1">
        <v>2</v>
      </c>
      <c r="J211" s="1">
        <v>0</v>
      </c>
      <c r="K211" s="1">
        <v>-67.400000000000006</v>
      </c>
      <c r="L211" s="1">
        <v>30.4</v>
      </c>
      <c r="M211" s="1">
        <v>1703.9659999999999</v>
      </c>
      <c r="N211" s="1">
        <v>92.8</v>
      </c>
      <c r="O211" s="1">
        <v>8</v>
      </c>
      <c r="P211" s="1">
        <v>10</v>
      </c>
      <c r="Q211" s="1">
        <v>2.98</v>
      </c>
      <c r="R211" s="1">
        <v>68</v>
      </c>
      <c r="S211" s="1">
        <v>110</v>
      </c>
      <c r="T211" s="1">
        <v>147</v>
      </c>
      <c r="U211" s="1">
        <v>1420.1379999999999</v>
      </c>
      <c r="V211" s="1">
        <v>490.06299999999999</v>
      </c>
      <c r="W211" s="1">
        <v>752.85199999999998</v>
      </c>
      <c r="X211" s="1">
        <v>132.18100000000001</v>
      </c>
      <c r="Y211" s="1">
        <v>4.9400000000000004</v>
      </c>
      <c r="Z211" s="1">
        <v>8.0150000000000006</v>
      </c>
      <c r="AA211" s="1">
        <v>21.7</v>
      </c>
      <c r="AB211" s="1">
        <v>290.5</v>
      </c>
      <c r="AC211" s="1">
        <v>12759</v>
      </c>
      <c r="AD211" s="1">
        <v>3310</v>
      </c>
      <c r="AE211" s="1">
        <v>268</v>
      </c>
      <c r="AF211" s="1">
        <v>19</v>
      </c>
      <c r="AG211" s="1">
        <v>19</v>
      </c>
      <c r="AH211" s="1">
        <v>32.1</v>
      </c>
      <c r="AI211" s="1">
        <v>55.3</v>
      </c>
      <c r="AJ211" s="1">
        <v>12.5</v>
      </c>
      <c r="AK211" s="1">
        <v>82.3</v>
      </c>
      <c r="AL211" s="1">
        <v>31.9</v>
      </c>
      <c r="AM211" s="1">
        <v>8</v>
      </c>
      <c r="AN211" s="1">
        <v>0</v>
      </c>
      <c r="AO211" s="1">
        <v>0</v>
      </c>
      <c r="AP211" s="1" t="s">
        <v>266</v>
      </c>
      <c r="AQ211" s="1" t="s">
        <v>267</v>
      </c>
      <c r="AR211" s="1" t="s">
        <v>268</v>
      </c>
    </row>
    <row r="212" spans="1:44" x14ac:dyDescent="0.2">
      <c r="A212" s="1" t="s">
        <v>105</v>
      </c>
      <c r="B212" s="1" t="s">
        <v>265</v>
      </c>
      <c r="C212" s="1">
        <v>-36.200000000000003</v>
      </c>
      <c r="D212" s="1">
        <v>465971</v>
      </c>
      <c r="E212" s="1">
        <v>5976363.7999999998</v>
      </c>
      <c r="F212" s="1">
        <v>0</v>
      </c>
      <c r="G212" s="1">
        <v>-0.7</v>
      </c>
      <c r="H212" s="1">
        <v>0</v>
      </c>
      <c r="I212" s="1">
        <v>2</v>
      </c>
      <c r="J212" s="1">
        <v>0</v>
      </c>
      <c r="K212" s="1">
        <v>-62.3</v>
      </c>
      <c r="L212" s="1">
        <v>26.1</v>
      </c>
      <c r="M212" s="1">
        <v>1589.6659999999999</v>
      </c>
      <c r="N212" s="1">
        <v>87.7</v>
      </c>
      <c r="O212" s="1">
        <v>8</v>
      </c>
      <c r="P212" s="1">
        <v>10</v>
      </c>
      <c r="Q212" s="1">
        <v>2.54</v>
      </c>
      <c r="R212" s="1">
        <v>68</v>
      </c>
      <c r="S212" s="1">
        <v>110</v>
      </c>
      <c r="T212" s="1">
        <v>147</v>
      </c>
      <c r="U212" s="1">
        <v>1295.5550000000001</v>
      </c>
      <c r="V212" s="1">
        <v>484.346</v>
      </c>
      <c r="W212" s="1">
        <v>752.85199999999998</v>
      </c>
      <c r="X212" s="1">
        <v>132.18100000000001</v>
      </c>
      <c r="Y212" s="1">
        <v>4.9400000000000004</v>
      </c>
      <c r="Z212" s="1">
        <v>8.0150000000000006</v>
      </c>
      <c r="AA212" s="1">
        <v>21.7</v>
      </c>
      <c r="AB212" s="1">
        <v>290.5</v>
      </c>
      <c r="AC212" s="1">
        <v>12442</v>
      </c>
      <c r="AD212" s="1">
        <v>3261</v>
      </c>
      <c r="AE212" s="1">
        <v>268</v>
      </c>
      <c r="AF212" s="1">
        <v>15</v>
      </c>
      <c r="AG212" s="1">
        <v>15</v>
      </c>
      <c r="AH212" s="1">
        <v>34.5</v>
      </c>
      <c r="AI212" s="1">
        <v>52.2</v>
      </c>
      <c r="AJ212" s="1">
        <v>13.3</v>
      </c>
      <c r="AK212" s="1">
        <v>81.7</v>
      </c>
      <c r="AL212" s="1">
        <v>31.9</v>
      </c>
      <c r="AM212" s="1">
        <v>8</v>
      </c>
      <c r="AN212" s="1">
        <v>0</v>
      </c>
      <c r="AO212" s="1">
        <v>0</v>
      </c>
      <c r="AP212" s="1" t="s">
        <v>266</v>
      </c>
      <c r="AQ212" s="1" t="s">
        <v>267</v>
      </c>
      <c r="AR212" s="1" t="s">
        <v>268</v>
      </c>
    </row>
    <row r="213" spans="1:44" x14ac:dyDescent="0.2">
      <c r="A213" s="1" t="s">
        <v>197</v>
      </c>
      <c r="B213" s="1" t="s">
        <v>271</v>
      </c>
      <c r="C213" s="1">
        <v>-47.4</v>
      </c>
      <c r="D213" s="1">
        <v>459183.4</v>
      </c>
      <c r="E213" s="1">
        <v>5978868.5</v>
      </c>
      <c r="F213" s="1">
        <v>0</v>
      </c>
      <c r="G213" s="1">
        <v>-0.6</v>
      </c>
      <c r="H213" s="1">
        <v>0</v>
      </c>
      <c r="I213" s="1">
        <v>2</v>
      </c>
      <c r="J213" s="1">
        <v>0</v>
      </c>
      <c r="K213" s="1">
        <v>-78.900000000000006</v>
      </c>
      <c r="L213" s="1">
        <v>31.5</v>
      </c>
      <c r="M213" s="1">
        <v>2194.145</v>
      </c>
      <c r="N213" s="1">
        <v>104.3</v>
      </c>
      <c r="O213" s="1">
        <v>8</v>
      </c>
      <c r="P213" s="1">
        <v>11</v>
      </c>
      <c r="Q213" s="1">
        <v>2.8090999999999999</v>
      </c>
      <c r="R213" s="1">
        <v>70</v>
      </c>
      <c r="S213" s="1">
        <v>117</v>
      </c>
      <c r="T213" s="1">
        <v>149</v>
      </c>
      <c r="U213" s="1">
        <v>1643.4549999999999</v>
      </c>
      <c r="V213" s="1">
        <v>403.17899999999997</v>
      </c>
      <c r="W213" s="1">
        <v>752.85199999999998</v>
      </c>
      <c r="X213" s="1">
        <v>132.18100000000001</v>
      </c>
      <c r="Y213" s="1">
        <v>4.9400000000000004</v>
      </c>
      <c r="Z213" s="1">
        <v>8.0150000000000006</v>
      </c>
      <c r="AA213" s="1">
        <v>21.7</v>
      </c>
      <c r="AB213" s="1">
        <v>290.5</v>
      </c>
      <c r="AC213" s="1">
        <v>13839</v>
      </c>
      <c r="AD213" s="1">
        <v>4141</v>
      </c>
      <c r="AE213" s="1">
        <v>268</v>
      </c>
      <c r="AF213" s="1">
        <v>21</v>
      </c>
      <c r="AG213" s="1">
        <v>21</v>
      </c>
      <c r="AH213" s="1">
        <v>27.2</v>
      </c>
      <c r="AI213" s="1">
        <v>58</v>
      </c>
      <c r="AJ213" s="1">
        <v>14.8</v>
      </c>
      <c r="AK213" s="1">
        <v>88.2</v>
      </c>
      <c r="AL213" s="1">
        <v>31.9</v>
      </c>
      <c r="AM213" s="1">
        <v>8</v>
      </c>
      <c r="AN213" s="1">
        <v>0</v>
      </c>
      <c r="AO213" s="1">
        <v>0</v>
      </c>
      <c r="AP213" s="1" t="s">
        <v>270</v>
      </c>
      <c r="AQ213" s="1" t="s">
        <v>267</v>
      </c>
      <c r="AR213" s="1" t="s">
        <v>268</v>
      </c>
    </row>
    <row r="214" spans="1:44" x14ac:dyDescent="0.2">
      <c r="A214" s="1" t="s">
        <v>202</v>
      </c>
      <c r="B214" s="1" t="s">
        <v>271</v>
      </c>
      <c r="C214" s="1">
        <v>-45</v>
      </c>
      <c r="D214" s="1">
        <v>460226</v>
      </c>
      <c r="E214" s="1">
        <v>5978827</v>
      </c>
      <c r="F214" s="1">
        <v>0</v>
      </c>
      <c r="G214" s="1">
        <v>-0.7</v>
      </c>
      <c r="H214" s="1">
        <v>0</v>
      </c>
      <c r="I214" s="1">
        <v>2</v>
      </c>
      <c r="J214" s="1">
        <v>0</v>
      </c>
      <c r="K214" s="1">
        <v>-75.5</v>
      </c>
      <c r="L214" s="1">
        <v>30.5</v>
      </c>
      <c r="M214" s="1">
        <v>2033.2090000000001</v>
      </c>
      <c r="N214" s="1">
        <v>100.9</v>
      </c>
      <c r="O214" s="1">
        <v>8</v>
      </c>
      <c r="P214" s="1">
        <v>11</v>
      </c>
      <c r="Q214" s="1">
        <v>2.7090999999999998</v>
      </c>
      <c r="R214" s="1">
        <v>70</v>
      </c>
      <c r="S214" s="1">
        <v>117</v>
      </c>
      <c r="T214" s="1">
        <v>149</v>
      </c>
      <c r="U214" s="1">
        <v>1575.2950000000001</v>
      </c>
      <c r="V214" s="1">
        <v>472.45800000000003</v>
      </c>
      <c r="W214" s="1">
        <v>752.85199999999998</v>
      </c>
      <c r="X214" s="1">
        <v>132.18100000000001</v>
      </c>
      <c r="Y214" s="1">
        <v>4.9400000000000004</v>
      </c>
      <c r="Z214" s="1">
        <v>8.0150000000000006</v>
      </c>
      <c r="AA214" s="1">
        <v>21.7</v>
      </c>
      <c r="AB214" s="1">
        <v>290.5</v>
      </c>
      <c r="AC214" s="1">
        <v>13607</v>
      </c>
      <c r="AD214" s="1">
        <v>3977</v>
      </c>
      <c r="AE214" s="1">
        <v>268</v>
      </c>
      <c r="AF214" s="1">
        <v>19</v>
      </c>
      <c r="AG214" s="1">
        <v>19</v>
      </c>
      <c r="AH214" s="1">
        <v>29.9</v>
      </c>
      <c r="AI214" s="1">
        <v>53.9</v>
      </c>
      <c r="AJ214" s="1">
        <v>16.100000000000001</v>
      </c>
      <c r="AK214" s="1">
        <v>85.4</v>
      </c>
      <c r="AL214" s="1">
        <v>31.9</v>
      </c>
      <c r="AM214" s="1">
        <v>8</v>
      </c>
      <c r="AN214" s="1">
        <v>0</v>
      </c>
      <c r="AO214" s="1">
        <v>0</v>
      </c>
      <c r="AP214" s="1" t="s">
        <v>270</v>
      </c>
      <c r="AQ214" s="1" t="s">
        <v>267</v>
      </c>
      <c r="AR214" s="1" t="s">
        <v>268</v>
      </c>
    </row>
    <row r="215" spans="1:44" x14ac:dyDescent="0.2">
      <c r="A215" s="1" t="s">
        <v>170</v>
      </c>
      <c r="B215" s="1" t="s">
        <v>271</v>
      </c>
      <c r="C215" s="1">
        <v>-41.3</v>
      </c>
      <c r="D215" s="1">
        <v>461327.3</v>
      </c>
      <c r="E215" s="1">
        <v>5978735</v>
      </c>
      <c r="F215" s="1">
        <v>0</v>
      </c>
      <c r="G215" s="1">
        <v>-0.7</v>
      </c>
      <c r="H215" s="1">
        <v>0</v>
      </c>
      <c r="I215" s="1">
        <v>2</v>
      </c>
      <c r="J215" s="1">
        <v>0</v>
      </c>
      <c r="K215" s="1">
        <v>-70.5</v>
      </c>
      <c r="L215" s="1">
        <v>29.2</v>
      </c>
      <c r="M215" s="1">
        <v>1833.9169999999999</v>
      </c>
      <c r="N215" s="1">
        <v>95.9</v>
      </c>
      <c r="O215" s="1">
        <v>8</v>
      </c>
      <c r="P215" s="1">
        <v>10.5</v>
      </c>
      <c r="Q215" s="1">
        <v>2.7143000000000002</v>
      </c>
      <c r="R215" s="1">
        <v>72</v>
      </c>
      <c r="S215" s="1">
        <v>112</v>
      </c>
      <c r="T215" s="1">
        <v>146</v>
      </c>
      <c r="U215" s="1">
        <v>1471.415</v>
      </c>
      <c r="V215" s="1">
        <v>427.012</v>
      </c>
      <c r="W215" s="1">
        <v>752.85199999999998</v>
      </c>
      <c r="X215" s="1">
        <v>132.18100000000001</v>
      </c>
      <c r="Y215" s="1">
        <v>4.9400000000000004</v>
      </c>
      <c r="Z215" s="1">
        <v>8.0150000000000006</v>
      </c>
      <c r="AA215" s="1">
        <v>21.7</v>
      </c>
      <c r="AB215" s="1">
        <v>290.5</v>
      </c>
      <c r="AC215" s="1">
        <v>13113</v>
      </c>
      <c r="AD215" s="1">
        <v>3655</v>
      </c>
      <c r="AE215" s="1">
        <v>268</v>
      </c>
      <c r="AF215" s="1">
        <v>19</v>
      </c>
      <c r="AG215" s="1">
        <v>19</v>
      </c>
      <c r="AH215" s="1">
        <v>32.4</v>
      </c>
      <c r="AI215" s="1">
        <v>52.9</v>
      </c>
      <c r="AJ215" s="1">
        <v>14.7</v>
      </c>
      <c r="AK215" s="1">
        <v>83.7</v>
      </c>
      <c r="AL215" s="1">
        <v>31.9</v>
      </c>
      <c r="AM215" s="1">
        <v>8</v>
      </c>
      <c r="AN215" s="1">
        <v>0</v>
      </c>
      <c r="AO215" s="1">
        <v>0</v>
      </c>
      <c r="AP215" s="1" t="s">
        <v>270</v>
      </c>
      <c r="AQ215" s="1" t="s">
        <v>267</v>
      </c>
      <c r="AR215" s="1" t="s">
        <v>268</v>
      </c>
    </row>
    <row r="216" spans="1:44" x14ac:dyDescent="0.2">
      <c r="A216" s="1" t="s">
        <v>167</v>
      </c>
      <c r="B216" s="1" t="s">
        <v>271</v>
      </c>
      <c r="C216" s="1">
        <v>-41.1</v>
      </c>
      <c r="D216" s="1">
        <v>462445</v>
      </c>
      <c r="E216" s="1">
        <v>5978650</v>
      </c>
      <c r="F216" s="1">
        <v>0</v>
      </c>
      <c r="G216" s="1">
        <v>-0.6</v>
      </c>
      <c r="H216" s="1">
        <v>0</v>
      </c>
      <c r="I216" s="1">
        <v>2</v>
      </c>
      <c r="J216" s="1">
        <v>0</v>
      </c>
      <c r="K216" s="1">
        <v>-72.7</v>
      </c>
      <c r="L216" s="1">
        <v>31.6</v>
      </c>
      <c r="M216" s="1">
        <v>1895.3779999999999</v>
      </c>
      <c r="N216" s="1">
        <v>98.1</v>
      </c>
      <c r="O216" s="1">
        <v>8</v>
      </c>
      <c r="P216" s="1">
        <v>10.5</v>
      </c>
      <c r="Q216" s="1">
        <v>2.9523999999999999</v>
      </c>
      <c r="R216" s="1">
        <v>72</v>
      </c>
      <c r="S216" s="1">
        <v>112</v>
      </c>
      <c r="T216" s="1">
        <v>146</v>
      </c>
      <c r="U216" s="1">
        <v>1471.2639999999999</v>
      </c>
      <c r="V216" s="1">
        <v>460.45100000000002</v>
      </c>
      <c r="W216" s="1">
        <v>752.85199999999998</v>
      </c>
      <c r="X216" s="1">
        <v>132.18100000000001</v>
      </c>
      <c r="Y216" s="1">
        <v>4.9400000000000004</v>
      </c>
      <c r="Z216" s="1">
        <v>8.0150000000000006</v>
      </c>
      <c r="AA216" s="1">
        <v>21.7</v>
      </c>
      <c r="AB216" s="1">
        <v>290.5</v>
      </c>
      <c r="AC216" s="1">
        <v>13257</v>
      </c>
      <c r="AD216" s="1">
        <v>3642</v>
      </c>
      <c r="AE216" s="1">
        <v>268</v>
      </c>
      <c r="AF216" s="1">
        <v>21</v>
      </c>
      <c r="AG216" s="1">
        <v>21</v>
      </c>
      <c r="AH216" s="1">
        <v>31.8</v>
      </c>
      <c r="AI216" s="1">
        <v>53.7</v>
      </c>
      <c r="AJ216" s="1">
        <v>14.5</v>
      </c>
      <c r="AK216" s="1">
        <v>84.4</v>
      </c>
      <c r="AL216" s="1">
        <v>31.9</v>
      </c>
      <c r="AM216" s="1">
        <v>8</v>
      </c>
      <c r="AN216" s="1">
        <v>0</v>
      </c>
      <c r="AO216" s="1">
        <v>0</v>
      </c>
      <c r="AP216" s="1" t="s">
        <v>270</v>
      </c>
      <c r="AQ216" s="1" t="s">
        <v>267</v>
      </c>
      <c r="AR216" s="1" t="s">
        <v>268</v>
      </c>
    </row>
    <row r="217" spans="1:44" x14ac:dyDescent="0.2">
      <c r="A217" s="1" t="s">
        <v>198</v>
      </c>
      <c r="B217" s="1" t="s">
        <v>271</v>
      </c>
      <c r="C217" s="1">
        <v>-44.1</v>
      </c>
      <c r="D217" s="1">
        <v>463471</v>
      </c>
      <c r="E217" s="1">
        <v>5978680</v>
      </c>
      <c r="F217" s="1">
        <v>0</v>
      </c>
      <c r="G217" s="1">
        <v>-0.6</v>
      </c>
      <c r="H217" s="1">
        <v>0</v>
      </c>
      <c r="I217" s="1">
        <v>2</v>
      </c>
      <c r="J217" s="1">
        <v>0</v>
      </c>
      <c r="K217" s="1">
        <v>-79</v>
      </c>
      <c r="L217" s="1">
        <v>34.9</v>
      </c>
      <c r="M217" s="1">
        <v>2143.424</v>
      </c>
      <c r="N217" s="1">
        <v>104.4</v>
      </c>
      <c r="O217" s="1">
        <v>8</v>
      </c>
      <c r="P217" s="1">
        <v>11</v>
      </c>
      <c r="Q217" s="1">
        <v>3.1181999999999999</v>
      </c>
      <c r="R217" s="1">
        <v>70</v>
      </c>
      <c r="S217" s="1">
        <v>117</v>
      </c>
      <c r="T217" s="1">
        <v>149</v>
      </c>
      <c r="U217" s="1">
        <v>1643.732</v>
      </c>
      <c r="V217" s="1">
        <v>369.22500000000002</v>
      </c>
      <c r="W217" s="1">
        <v>752.85199999999998</v>
      </c>
      <c r="X217" s="1">
        <v>132.18100000000001</v>
      </c>
      <c r="Y217" s="1">
        <v>4.9400000000000004</v>
      </c>
      <c r="Z217" s="1">
        <v>8.0150000000000006</v>
      </c>
      <c r="AA217" s="1">
        <v>21.7</v>
      </c>
      <c r="AB217" s="1">
        <v>290.5</v>
      </c>
      <c r="AC217" s="1">
        <v>13847</v>
      </c>
      <c r="AD217" s="1">
        <v>3915</v>
      </c>
      <c r="AE217" s="1">
        <v>268</v>
      </c>
      <c r="AF217" s="1">
        <v>23.4</v>
      </c>
      <c r="AG217" s="1">
        <v>23.4</v>
      </c>
      <c r="AH217" s="1">
        <v>28</v>
      </c>
      <c r="AI217" s="1">
        <v>56.9</v>
      </c>
      <c r="AJ217" s="1">
        <v>15.2</v>
      </c>
      <c r="AK217" s="1">
        <v>86.4</v>
      </c>
      <c r="AL217" s="1">
        <v>31.9</v>
      </c>
      <c r="AM217" s="1">
        <v>8</v>
      </c>
      <c r="AN217" s="1">
        <v>0</v>
      </c>
      <c r="AO217" s="1">
        <v>0</v>
      </c>
      <c r="AP217" s="1" t="s">
        <v>270</v>
      </c>
      <c r="AQ217" s="1" t="s">
        <v>267</v>
      </c>
      <c r="AR217" s="1" t="s">
        <v>268</v>
      </c>
    </row>
    <row r="218" spans="1:44" x14ac:dyDescent="0.2">
      <c r="A218" s="1" t="s">
        <v>207</v>
      </c>
      <c r="B218" s="1" t="s">
        <v>271</v>
      </c>
      <c r="C218" s="1">
        <v>-41.4</v>
      </c>
      <c r="D218" s="1">
        <v>464883</v>
      </c>
      <c r="E218" s="1">
        <v>5978110</v>
      </c>
      <c r="F218" s="1">
        <v>0</v>
      </c>
      <c r="G218" s="1">
        <v>-0.7</v>
      </c>
      <c r="H218" s="1">
        <v>0</v>
      </c>
      <c r="I218" s="1">
        <v>2</v>
      </c>
      <c r="J218" s="1">
        <v>0</v>
      </c>
      <c r="K218" s="1">
        <v>-74.3</v>
      </c>
      <c r="L218" s="1">
        <v>32.9</v>
      </c>
      <c r="M218" s="1">
        <v>1953.7429999999999</v>
      </c>
      <c r="N218" s="1">
        <v>99.7</v>
      </c>
      <c r="O218" s="1">
        <v>8</v>
      </c>
      <c r="P218" s="1">
        <v>11</v>
      </c>
      <c r="Q218" s="1">
        <v>2.9272999999999998</v>
      </c>
      <c r="R218" s="1">
        <v>70</v>
      </c>
      <c r="S218" s="1">
        <v>117</v>
      </c>
      <c r="T218" s="1">
        <v>149</v>
      </c>
      <c r="U218" s="1">
        <v>1575.6969999999999</v>
      </c>
      <c r="V218" s="1">
        <v>438.46600000000001</v>
      </c>
      <c r="W218" s="1">
        <v>752.85199999999998</v>
      </c>
      <c r="X218" s="1">
        <v>132.18100000000001</v>
      </c>
      <c r="Y218" s="1">
        <v>4.9400000000000004</v>
      </c>
      <c r="Z218" s="1">
        <v>8.0150000000000006</v>
      </c>
      <c r="AA218" s="1">
        <v>21.7</v>
      </c>
      <c r="AB218" s="1">
        <v>290.5</v>
      </c>
      <c r="AC218" s="1">
        <v>13526</v>
      </c>
      <c r="AD218" s="1">
        <v>3731</v>
      </c>
      <c r="AE218" s="1">
        <v>268</v>
      </c>
      <c r="AF218" s="1">
        <v>23</v>
      </c>
      <c r="AG218" s="1">
        <v>23</v>
      </c>
      <c r="AH218" s="1">
        <v>29.7</v>
      </c>
      <c r="AI218" s="1">
        <v>54</v>
      </c>
      <c r="AJ218" s="1">
        <v>16.3</v>
      </c>
      <c r="AK218" s="1">
        <v>83</v>
      </c>
      <c r="AL218" s="1">
        <v>31.9</v>
      </c>
      <c r="AM218" s="1">
        <v>8</v>
      </c>
      <c r="AN218" s="1">
        <v>0</v>
      </c>
      <c r="AO218" s="1">
        <v>0</v>
      </c>
      <c r="AP218" s="1" t="s">
        <v>270</v>
      </c>
      <c r="AQ218" s="1" t="s">
        <v>267</v>
      </c>
      <c r="AR218" s="1" t="s">
        <v>268</v>
      </c>
    </row>
    <row r="219" spans="1:44" x14ac:dyDescent="0.2">
      <c r="A219" s="1" t="s">
        <v>171</v>
      </c>
      <c r="B219" s="1" t="s">
        <v>271</v>
      </c>
      <c r="C219" s="1">
        <v>-40.700000000000003</v>
      </c>
      <c r="D219" s="1">
        <v>466255</v>
      </c>
      <c r="E219" s="1">
        <v>5977572</v>
      </c>
      <c r="F219" s="1">
        <v>0</v>
      </c>
      <c r="G219" s="1">
        <v>-0.6</v>
      </c>
      <c r="H219" s="1">
        <v>0</v>
      </c>
      <c r="I219" s="1">
        <v>2</v>
      </c>
      <c r="J219" s="1">
        <v>0</v>
      </c>
      <c r="K219" s="1">
        <v>-70.8</v>
      </c>
      <c r="L219" s="1">
        <v>30.1</v>
      </c>
      <c r="M219" s="1">
        <v>1838.4380000000001</v>
      </c>
      <c r="N219" s="1">
        <v>96.2</v>
      </c>
      <c r="O219" s="1">
        <v>8</v>
      </c>
      <c r="P219" s="1">
        <v>10.5</v>
      </c>
      <c r="Q219" s="1">
        <v>2.8094999999999999</v>
      </c>
      <c r="R219" s="1">
        <v>72</v>
      </c>
      <c r="S219" s="1">
        <v>112</v>
      </c>
      <c r="T219" s="1">
        <v>146</v>
      </c>
      <c r="U219" s="1">
        <v>1471.415</v>
      </c>
      <c r="V219" s="1">
        <v>459.99799999999999</v>
      </c>
      <c r="W219" s="1">
        <v>752.85199999999998</v>
      </c>
      <c r="X219" s="1">
        <v>132.18100000000001</v>
      </c>
      <c r="Y219" s="1">
        <v>4.9400000000000004</v>
      </c>
      <c r="Z219" s="1">
        <v>8.0150000000000006</v>
      </c>
      <c r="AA219" s="1">
        <v>21.7</v>
      </c>
      <c r="AB219" s="1">
        <v>290.5</v>
      </c>
      <c r="AC219" s="1">
        <v>13133</v>
      </c>
      <c r="AD219" s="1">
        <v>3616</v>
      </c>
      <c r="AE219" s="1">
        <v>268</v>
      </c>
      <c r="AF219" s="1">
        <v>19</v>
      </c>
      <c r="AG219" s="1">
        <v>19</v>
      </c>
      <c r="AH219" s="1">
        <v>32.299999999999997</v>
      </c>
      <c r="AI219" s="1">
        <v>53</v>
      </c>
      <c r="AJ219" s="1">
        <v>14.7</v>
      </c>
      <c r="AK219" s="1">
        <v>83.6</v>
      </c>
      <c r="AL219" s="1">
        <v>31.9</v>
      </c>
      <c r="AM219" s="1">
        <v>8</v>
      </c>
      <c r="AN219" s="1">
        <v>0</v>
      </c>
      <c r="AO219" s="1">
        <v>0</v>
      </c>
      <c r="AP219" s="1" t="s">
        <v>270</v>
      </c>
      <c r="AQ219" s="1" t="s">
        <v>267</v>
      </c>
      <c r="AR219" s="1" t="s">
        <v>268</v>
      </c>
    </row>
    <row r="221" spans="1:44" x14ac:dyDescent="0.2">
      <c r="A221" s="1" t="s">
        <v>273</v>
      </c>
      <c r="B221" s="1" t="s">
        <v>274</v>
      </c>
    </row>
    <row r="225" spans="1:20" x14ac:dyDescent="0.2">
      <c r="A225" s="1" t="s">
        <v>275</v>
      </c>
    </row>
    <row r="226" spans="1:20" x14ac:dyDescent="0.2">
      <c r="A226" s="1" t="s">
        <v>276</v>
      </c>
      <c r="B226" s="1" t="s">
        <v>277</v>
      </c>
      <c r="C226" s="1" t="s">
        <v>278</v>
      </c>
      <c r="D226" s="1" t="s">
        <v>279</v>
      </c>
      <c r="E226" s="1" t="s">
        <v>280</v>
      </c>
      <c r="F226" s="1" t="s">
        <v>281</v>
      </c>
      <c r="G226" s="1" t="s">
        <v>282</v>
      </c>
      <c r="H226" s="1" t="s">
        <v>283</v>
      </c>
      <c r="I226" s="1" t="s">
        <v>284</v>
      </c>
      <c r="J226" s="1" t="s">
        <v>285</v>
      </c>
      <c r="K226" s="1" t="s">
        <v>286</v>
      </c>
      <c r="L226" s="1" t="s">
        <v>287</v>
      </c>
      <c r="M226" s="1" t="s">
        <v>288</v>
      </c>
      <c r="N226" s="1" t="s">
        <v>289</v>
      </c>
      <c r="O226" s="1" t="s">
        <v>290</v>
      </c>
      <c r="P226" s="1" t="s">
        <v>291</v>
      </c>
      <c r="Q226" s="1" t="s">
        <v>292</v>
      </c>
      <c r="R226" s="1" t="s">
        <v>293</v>
      </c>
      <c r="S226" s="1" t="s">
        <v>294</v>
      </c>
      <c r="T226" s="1" t="s">
        <v>295</v>
      </c>
    </row>
    <row r="227" spans="1:20" x14ac:dyDescent="0.2">
      <c r="A227" s="1" t="s">
        <v>296</v>
      </c>
      <c r="B227" s="1" t="s">
        <v>296</v>
      </c>
      <c r="C227" s="1" t="s">
        <v>296</v>
      </c>
      <c r="D227" s="1" t="s">
        <v>296</v>
      </c>
      <c r="E227" s="1" t="s">
        <v>296</v>
      </c>
      <c r="F227" s="1" t="s">
        <v>296</v>
      </c>
      <c r="G227" s="1" t="s">
        <v>296</v>
      </c>
      <c r="H227" s="1" t="s">
        <v>296</v>
      </c>
      <c r="I227" s="1" t="s">
        <v>296</v>
      </c>
      <c r="J227" s="1" t="s">
        <v>296</v>
      </c>
      <c r="K227" s="1" t="s">
        <v>296</v>
      </c>
      <c r="L227" s="1" t="s">
        <v>296</v>
      </c>
      <c r="M227" s="1" t="s">
        <v>296</v>
      </c>
      <c r="N227" s="1" t="s">
        <v>297</v>
      </c>
      <c r="O227" s="1" t="s">
        <v>296</v>
      </c>
      <c r="P227" s="1" t="s">
        <v>296</v>
      </c>
      <c r="Q227" s="1" t="s">
        <v>296</v>
      </c>
      <c r="R227" s="1" t="s">
        <v>296</v>
      </c>
      <c r="S227" s="1" t="s">
        <v>296</v>
      </c>
      <c r="T227" s="1" t="s">
        <v>296</v>
      </c>
    </row>
    <row r="228" spans="1:20" x14ac:dyDescent="0.2">
      <c r="A228" s="1" t="s">
        <v>341</v>
      </c>
      <c r="B228" s="1" t="s">
        <v>299</v>
      </c>
      <c r="G228" s="1" t="s">
        <v>300</v>
      </c>
      <c r="H228" s="1" t="s">
        <v>355</v>
      </c>
      <c r="I228" s="1" t="s">
        <v>460</v>
      </c>
      <c r="K228" s="1" t="s">
        <v>356</v>
      </c>
      <c r="N228" s="1">
        <v>93214</v>
      </c>
      <c r="O228" s="1" t="s">
        <v>442</v>
      </c>
    </row>
    <row r="229" spans="1:20" x14ac:dyDescent="0.2">
      <c r="A229" s="1" t="s">
        <v>399</v>
      </c>
      <c r="B229" s="1" t="s">
        <v>299</v>
      </c>
      <c r="C229" s="1" t="s">
        <v>400</v>
      </c>
      <c r="D229" s="1" t="s">
        <v>314</v>
      </c>
      <c r="E229" s="1" t="s">
        <v>401</v>
      </c>
      <c r="G229" s="1" t="s">
        <v>402</v>
      </c>
      <c r="H229" s="1" t="s">
        <v>403</v>
      </c>
      <c r="I229" s="1" t="s">
        <v>461</v>
      </c>
      <c r="K229" s="1" t="s">
        <v>404</v>
      </c>
      <c r="L229" s="1" t="s">
        <v>405</v>
      </c>
      <c r="N229" s="1">
        <v>72704</v>
      </c>
      <c r="O229" s="1" t="s">
        <v>462</v>
      </c>
    </row>
    <row r="230" spans="1:20" x14ac:dyDescent="0.2">
      <c r="A230" s="1" t="s">
        <v>298</v>
      </c>
      <c r="B230" s="1" t="s">
        <v>299</v>
      </c>
      <c r="G230" s="1" t="s">
        <v>300</v>
      </c>
      <c r="H230" s="1" t="s">
        <v>301</v>
      </c>
      <c r="I230" s="1" t="s">
        <v>406</v>
      </c>
      <c r="K230" s="1" t="s">
        <v>302</v>
      </c>
      <c r="N230" s="1">
        <v>65739</v>
      </c>
      <c r="O230" s="1" t="s">
        <v>303</v>
      </c>
    </row>
    <row r="231" spans="1:20" x14ac:dyDescent="0.2">
      <c r="A231" s="1" t="s">
        <v>304</v>
      </c>
      <c r="B231" s="1" t="s">
        <v>299</v>
      </c>
      <c r="G231" s="1" t="s">
        <v>300</v>
      </c>
      <c r="H231" s="1" t="s">
        <v>407</v>
      </c>
      <c r="I231" s="1" t="s">
        <v>408</v>
      </c>
      <c r="K231" s="1" t="s">
        <v>409</v>
      </c>
      <c r="N231" s="1">
        <v>95044</v>
      </c>
      <c r="O231" s="1" t="s">
        <v>410</v>
      </c>
    </row>
    <row r="232" spans="1:20" x14ac:dyDescent="0.2">
      <c r="A232" s="1" t="s">
        <v>305</v>
      </c>
      <c r="B232" s="1" t="s">
        <v>299</v>
      </c>
      <c r="G232" s="1" t="s">
        <v>300</v>
      </c>
      <c r="I232" s="1" t="s">
        <v>411</v>
      </c>
      <c r="K232" s="1" t="s">
        <v>306</v>
      </c>
      <c r="N232" s="1">
        <v>87029</v>
      </c>
      <c r="O232" s="1" t="s">
        <v>307</v>
      </c>
    </row>
    <row r="233" spans="1:20" x14ac:dyDescent="0.2">
      <c r="A233" s="1" t="s">
        <v>304</v>
      </c>
      <c r="B233" s="1" t="s">
        <v>299</v>
      </c>
      <c r="G233" s="1" t="s">
        <v>300</v>
      </c>
      <c r="H233" s="1" t="s">
        <v>308</v>
      </c>
      <c r="I233" s="1" t="s">
        <v>412</v>
      </c>
      <c r="K233" s="1" t="s">
        <v>309</v>
      </c>
      <c r="N233" s="1">
        <v>203025</v>
      </c>
      <c r="O233" s="1" t="s">
        <v>310</v>
      </c>
    </row>
    <row r="234" spans="1:20" x14ac:dyDescent="0.2">
      <c r="A234" s="1" t="s">
        <v>311</v>
      </c>
      <c r="B234" s="1" t="s">
        <v>312</v>
      </c>
      <c r="C234" s="1" t="s">
        <v>313</v>
      </c>
      <c r="D234" s="1" t="s">
        <v>314</v>
      </c>
      <c r="E234" s="1" t="s">
        <v>315</v>
      </c>
      <c r="G234" s="1" t="s">
        <v>316</v>
      </c>
      <c r="H234" s="1" t="s">
        <v>317</v>
      </c>
      <c r="I234" s="1" t="s">
        <v>413</v>
      </c>
      <c r="K234" s="1" t="s">
        <v>318</v>
      </c>
      <c r="L234" s="1" t="s">
        <v>319</v>
      </c>
      <c r="N234" s="1">
        <v>8625664</v>
      </c>
      <c r="O234" s="1" t="s">
        <v>320</v>
      </c>
    </row>
    <row r="235" spans="1:20" x14ac:dyDescent="0.2">
      <c r="A235" s="1" t="s">
        <v>298</v>
      </c>
      <c r="B235" s="1" t="s">
        <v>299</v>
      </c>
      <c r="G235" s="1" t="s">
        <v>300</v>
      </c>
      <c r="H235" s="1" t="s">
        <v>301</v>
      </c>
      <c r="I235" s="1" t="s">
        <v>414</v>
      </c>
      <c r="K235" s="1" t="s">
        <v>302</v>
      </c>
      <c r="N235" s="1">
        <v>24369</v>
      </c>
      <c r="O235" s="1" t="s">
        <v>321</v>
      </c>
      <c r="Q235" s="1" t="s">
        <v>322</v>
      </c>
      <c r="R235" s="1" t="s">
        <v>323</v>
      </c>
      <c r="S235" s="1" t="s">
        <v>324</v>
      </c>
      <c r="T235" s="1" t="s">
        <v>325</v>
      </c>
    </row>
    <row r="236" spans="1:20" x14ac:dyDescent="0.2">
      <c r="A236" s="1" t="s">
        <v>326</v>
      </c>
      <c r="B236" s="1" t="s">
        <v>299</v>
      </c>
      <c r="G236" s="1" t="s">
        <v>300</v>
      </c>
      <c r="H236" s="1" t="s">
        <v>327</v>
      </c>
      <c r="I236" s="1" t="s">
        <v>415</v>
      </c>
      <c r="K236" s="1" t="s">
        <v>328</v>
      </c>
      <c r="N236" s="1">
        <v>42254</v>
      </c>
      <c r="O236" s="1" t="s">
        <v>329</v>
      </c>
      <c r="Q236" s="1" t="s">
        <v>330</v>
      </c>
      <c r="R236" s="1" t="s">
        <v>331</v>
      </c>
      <c r="S236" s="1" t="s">
        <v>278</v>
      </c>
      <c r="T236" s="1" t="s">
        <v>332</v>
      </c>
    </row>
    <row r="237" spans="1:20" x14ac:dyDescent="0.2">
      <c r="A237" s="1" t="s">
        <v>326</v>
      </c>
      <c r="B237" s="1" t="s">
        <v>299</v>
      </c>
      <c r="G237" s="1" t="s">
        <v>300</v>
      </c>
      <c r="I237" s="1" t="s">
        <v>416</v>
      </c>
      <c r="K237" s="1" t="s">
        <v>328</v>
      </c>
      <c r="N237" s="1">
        <v>22177</v>
      </c>
      <c r="O237" s="1" t="s">
        <v>333</v>
      </c>
      <c r="Q237" s="1" t="s">
        <v>334</v>
      </c>
      <c r="R237" s="1" t="s">
        <v>335</v>
      </c>
      <c r="S237" s="1" t="s">
        <v>324</v>
      </c>
      <c r="T237" s="1" t="s">
        <v>336</v>
      </c>
    </row>
    <row r="238" spans="1:20" x14ac:dyDescent="0.2">
      <c r="I238" s="1" t="s">
        <v>417</v>
      </c>
      <c r="N238" s="1">
        <v>23409</v>
      </c>
      <c r="O238" s="1" t="s">
        <v>337</v>
      </c>
      <c r="Q238" s="1" t="s">
        <v>338</v>
      </c>
      <c r="R238" s="1" t="s">
        <v>339</v>
      </c>
      <c r="S238" s="1" t="s">
        <v>278</v>
      </c>
      <c r="T238" s="1" t="s">
        <v>340</v>
      </c>
    </row>
    <row r="239" spans="1:20" x14ac:dyDescent="0.2">
      <c r="A239" s="1" t="s">
        <v>341</v>
      </c>
      <c r="B239" s="1" t="s">
        <v>299</v>
      </c>
      <c r="G239" s="1" t="s">
        <v>300</v>
      </c>
      <c r="I239" s="1" t="s">
        <v>418</v>
      </c>
      <c r="K239" s="1" t="s">
        <v>342</v>
      </c>
      <c r="N239" s="1">
        <v>37068</v>
      </c>
      <c r="O239" s="1" t="s">
        <v>343</v>
      </c>
      <c r="Q239" s="1" t="s">
        <v>344</v>
      </c>
      <c r="R239" s="1" t="s">
        <v>345</v>
      </c>
      <c r="S239" s="1" t="s">
        <v>278</v>
      </c>
      <c r="T239" s="1" t="s">
        <v>346</v>
      </c>
    </row>
    <row r="240" spans="1:20" x14ac:dyDescent="0.2">
      <c r="A240" s="1" t="s">
        <v>326</v>
      </c>
      <c r="B240" s="1" t="s">
        <v>299</v>
      </c>
      <c r="G240" s="1" t="s">
        <v>300</v>
      </c>
      <c r="I240" s="1" t="s">
        <v>419</v>
      </c>
      <c r="K240" s="1" t="s">
        <v>328</v>
      </c>
      <c r="N240" s="1">
        <v>81252</v>
      </c>
      <c r="O240" s="1" t="s">
        <v>347</v>
      </c>
      <c r="Q240" s="1" t="s">
        <v>348</v>
      </c>
      <c r="R240" s="1" t="s">
        <v>349</v>
      </c>
      <c r="S240" s="1" t="s">
        <v>278</v>
      </c>
      <c r="T240" s="1" t="s">
        <v>350</v>
      </c>
    </row>
    <row r="241" spans="1:20" x14ac:dyDescent="0.2">
      <c r="I241" s="1" t="s">
        <v>420</v>
      </c>
      <c r="N241" s="1">
        <v>35472</v>
      </c>
      <c r="O241" s="1" t="s">
        <v>351</v>
      </c>
      <c r="Q241" s="1" t="s">
        <v>352</v>
      </c>
      <c r="R241" s="1" t="s">
        <v>353</v>
      </c>
      <c r="S241" s="1" t="s">
        <v>278</v>
      </c>
      <c r="T241" s="1" t="s">
        <v>354</v>
      </c>
    </row>
    <row r="242" spans="1:20" x14ac:dyDescent="0.2">
      <c r="I242" s="1" t="s">
        <v>421</v>
      </c>
      <c r="N242" s="1">
        <v>1396150</v>
      </c>
      <c r="O242" s="1" t="s">
        <v>357</v>
      </c>
    </row>
    <row r="243" spans="1:20" x14ac:dyDescent="0.2">
      <c r="I243" s="1" t="s">
        <v>422</v>
      </c>
      <c r="K243" s="1" t="s">
        <v>358</v>
      </c>
      <c r="N243" s="1">
        <v>8815305</v>
      </c>
      <c r="O243" s="1" t="s">
        <v>359</v>
      </c>
    </row>
    <row r="244" spans="1:20" x14ac:dyDescent="0.2">
      <c r="I244" s="1" t="s">
        <v>423</v>
      </c>
      <c r="K244" s="1" t="s">
        <v>360</v>
      </c>
      <c r="N244" s="1">
        <v>8110612</v>
      </c>
      <c r="O244" s="1" t="s">
        <v>361</v>
      </c>
    </row>
    <row r="245" spans="1:20" x14ac:dyDescent="0.2">
      <c r="A245" s="1" t="s">
        <v>362</v>
      </c>
      <c r="G245" s="1" t="s">
        <v>363</v>
      </c>
      <c r="I245" s="1" t="s">
        <v>424</v>
      </c>
      <c r="K245" s="1" t="s">
        <v>364</v>
      </c>
      <c r="N245" s="1">
        <v>34735</v>
      </c>
      <c r="O245" s="1" t="s">
        <v>365</v>
      </c>
    </row>
    <row r="246" spans="1:20" x14ac:dyDescent="0.2">
      <c r="A246" s="1" t="s">
        <v>326</v>
      </c>
      <c r="B246" s="1" t="s">
        <v>299</v>
      </c>
      <c r="G246" s="1" t="s">
        <v>300</v>
      </c>
      <c r="I246" s="1" t="s">
        <v>463</v>
      </c>
      <c r="K246" s="1" t="s">
        <v>328</v>
      </c>
      <c r="N246" s="1">
        <v>59643</v>
      </c>
      <c r="O246" s="1" t="s">
        <v>446</v>
      </c>
    </row>
    <row r="247" spans="1:20" x14ac:dyDescent="0.2">
      <c r="A247" s="1" t="s">
        <v>399</v>
      </c>
      <c r="B247" s="1" t="s">
        <v>312</v>
      </c>
      <c r="F247" s="1" t="s">
        <v>425</v>
      </c>
      <c r="G247" s="1" t="s">
        <v>366</v>
      </c>
      <c r="H247" s="1" t="s">
        <v>426</v>
      </c>
      <c r="I247" s="1" t="s">
        <v>464</v>
      </c>
      <c r="K247" s="1" t="s">
        <v>427</v>
      </c>
      <c r="L247" s="1" t="s">
        <v>367</v>
      </c>
      <c r="N247" s="1">
        <v>155648</v>
      </c>
      <c r="O247" s="1" t="s">
        <v>448</v>
      </c>
    </row>
  </sheetData>
  <pageMargins left="0.75" right="0.75" top="1" bottom="1" header="0.5" footer="0.5"/>
  <pageSetup orientation="portrait" horizontalDpi="300" verticalDpi="30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28C86-87E8-4A9D-AE33-0D6339AC7403}">
  <dimension ref="A2:AR247"/>
  <sheetViews>
    <sheetView workbookViewId="0">
      <selection activeCell="B5" sqref="A5:XFD5"/>
    </sheetView>
  </sheetViews>
  <sheetFormatPr defaultRowHeight="12.75" x14ac:dyDescent="0.2"/>
  <cols>
    <col min="1" max="16384" width="9.140625" style="1"/>
  </cols>
  <sheetData>
    <row r="2" spans="1:2" x14ac:dyDescent="0.2">
      <c r="A2" s="1" t="s">
        <v>212</v>
      </c>
      <c r="B2" s="1" t="s">
        <v>465</v>
      </c>
    </row>
    <row r="3" spans="1:2" x14ac:dyDescent="0.2">
      <c r="A3" s="1" t="s">
        <v>213</v>
      </c>
      <c r="B3" s="1" t="s">
        <v>466</v>
      </c>
    </row>
    <row r="17" spans="1:44" x14ac:dyDescent="0.2">
      <c r="B17" s="1" t="s">
        <v>214</v>
      </c>
      <c r="C17" s="1" t="s">
        <v>214</v>
      </c>
      <c r="D17" s="1" t="s">
        <v>214</v>
      </c>
      <c r="E17" s="1" t="s">
        <v>214</v>
      </c>
      <c r="F17" s="1" t="s">
        <v>214</v>
      </c>
      <c r="G17" s="1" t="s">
        <v>214</v>
      </c>
      <c r="H17" s="1" t="s">
        <v>214</v>
      </c>
      <c r="I17" s="1" t="s">
        <v>214</v>
      </c>
      <c r="J17" s="1" t="s">
        <v>215</v>
      </c>
      <c r="K17" s="1" t="s">
        <v>216</v>
      </c>
      <c r="L17" s="1" t="s">
        <v>216</v>
      </c>
      <c r="M17" s="1" t="s">
        <v>216</v>
      </c>
      <c r="N17" s="1" t="s">
        <v>216</v>
      </c>
      <c r="O17" s="1" t="s">
        <v>216</v>
      </c>
      <c r="P17" s="1" t="s">
        <v>216</v>
      </c>
      <c r="Q17" s="1" t="s">
        <v>216</v>
      </c>
      <c r="R17" s="1" t="s">
        <v>216</v>
      </c>
      <c r="S17" s="1" t="s">
        <v>216</v>
      </c>
      <c r="T17" s="1" t="s">
        <v>216</v>
      </c>
      <c r="U17" s="1" t="s">
        <v>216</v>
      </c>
      <c r="V17" s="1" t="s">
        <v>216</v>
      </c>
      <c r="W17" s="1" t="s">
        <v>217</v>
      </c>
      <c r="X17" s="1" t="s">
        <v>217</v>
      </c>
      <c r="Y17" s="1" t="s">
        <v>217</v>
      </c>
      <c r="Z17" s="1" t="s">
        <v>217</v>
      </c>
      <c r="AA17" s="1" t="s">
        <v>217</v>
      </c>
      <c r="AB17" s="1" t="s">
        <v>217</v>
      </c>
      <c r="AC17" s="1" t="s">
        <v>218</v>
      </c>
      <c r="AD17" s="1" t="s">
        <v>218</v>
      </c>
      <c r="AE17" s="1" t="s">
        <v>218</v>
      </c>
      <c r="AH17" s="1" t="s">
        <v>216</v>
      </c>
      <c r="AI17" s="1" t="s">
        <v>216</v>
      </c>
      <c r="AJ17" s="1" t="s">
        <v>216</v>
      </c>
      <c r="AK17" s="1" t="s">
        <v>216</v>
      </c>
      <c r="AL17" s="1" t="s">
        <v>217</v>
      </c>
      <c r="AM17" s="1" t="s">
        <v>219</v>
      </c>
      <c r="AN17" s="1" t="s">
        <v>219</v>
      </c>
      <c r="AO17" s="1" t="s">
        <v>219</v>
      </c>
      <c r="AP17" s="1" t="s">
        <v>220</v>
      </c>
      <c r="AQ17" s="1" t="s">
        <v>221</v>
      </c>
    </row>
    <row r="18" spans="1:44" x14ac:dyDescent="0.2">
      <c r="A18" s="1" t="s">
        <v>222</v>
      </c>
      <c r="B18" s="1" t="s">
        <v>223</v>
      </c>
      <c r="C18" s="1" t="s">
        <v>224</v>
      </c>
      <c r="D18" s="1" t="s">
        <v>225</v>
      </c>
      <c r="E18" s="1" t="s">
        <v>226</v>
      </c>
      <c r="F18" s="1" t="s">
        <v>227</v>
      </c>
      <c r="G18" s="1" t="s">
        <v>228</v>
      </c>
      <c r="H18" s="1" t="s">
        <v>229</v>
      </c>
      <c r="I18" s="1" t="s">
        <v>230</v>
      </c>
      <c r="J18" s="1" t="s">
        <v>231</v>
      </c>
      <c r="K18" s="1" t="s">
        <v>232</v>
      </c>
      <c r="L18" s="1" t="s">
        <v>233</v>
      </c>
      <c r="M18" s="1" t="s">
        <v>234</v>
      </c>
      <c r="N18" s="1" t="s">
        <v>235</v>
      </c>
      <c r="O18" s="1" t="s">
        <v>236</v>
      </c>
      <c r="P18" s="1" t="s">
        <v>237</v>
      </c>
      <c r="Q18" s="1" t="s">
        <v>238</v>
      </c>
      <c r="R18" s="1" t="s">
        <v>239</v>
      </c>
      <c r="S18" s="1" t="s">
        <v>240</v>
      </c>
      <c r="T18" s="1" t="s">
        <v>241</v>
      </c>
      <c r="U18" s="1" t="s">
        <v>242</v>
      </c>
      <c r="V18" s="1" t="s">
        <v>243</v>
      </c>
      <c r="W18" s="1" t="s">
        <v>234</v>
      </c>
      <c r="X18" s="1" t="s">
        <v>244</v>
      </c>
      <c r="Y18" s="1" t="s">
        <v>236</v>
      </c>
      <c r="Z18" s="1" t="s">
        <v>237</v>
      </c>
      <c r="AA18" s="1" t="s">
        <v>239</v>
      </c>
      <c r="AB18" s="1" t="s">
        <v>240</v>
      </c>
      <c r="AC18" s="1" t="s">
        <v>245</v>
      </c>
      <c r="AD18" s="1" t="s">
        <v>246</v>
      </c>
      <c r="AE18" s="1" t="s">
        <v>247</v>
      </c>
      <c r="AF18" s="1" t="s">
        <v>433</v>
      </c>
      <c r="AG18" s="1" t="s">
        <v>434</v>
      </c>
      <c r="AH18" s="1" t="s">
        <v>248</v>
      </c>
      <c r="AI18" s="1" t="s">
        <v>249</v>
      </c>
      <c r="AJ18" s="1" t="s">
        <v>250</v>
      </c>
      <c r="AK18" s="1" t="s">
        <v>251</v>
      </c>
      <c r="AL18" s="1" t="s">
        <v>251</v>
      </c>
      <c r="AM18" s="1" t="s">
        <v>252</v>
      </c>
      <c r="AN18" s="1" t="s">
        <v>253</v>
      </c>
      <c r="AO18" s="1" t="s">
        <v>254</v>
      </c>
      <c r="AP18" s="1" t="s">
        <v>255</v>
      </c>
      <c r="AQ18" s="1" t="s">
        <v>256</v>
      </c>
      <c r="AR18" s="1" t="s">
        <v>257</v>
      </c>
    </row>
    <row r="19" spans="1:44" x14ac:dyDescent="0.2">
      <c r="A19" s="1" t="s">
        <v>258</v>
      </c>
      <c r="B19" s="1" t="s">
        <v>258</v>
      </c>
      <c r="C19" s="1" t="s">
        <v>259</v>
      </c>
      <c r="D19" s="1" t="s">
        <v>258</v>
      </c>
      <c r="E19" s="1" t="s">
        <v>258</v>
      </c>
      <c r="F19" s="1" t="s">
        <v>259</v>
      </c>
      <c r="G19" s="1" t="s">
        <v>259</v>
      </c>
      <c r="H19" s="1" t="s">
        <v>259</v>
      </c>
      <c r="I19" s="1" t="s">
        <v>259</v>
      </c>
      <c r="J19" s="1" t="s">
        <v>260</v>
      </c>
      <c r="K19" s="1" t="s">
        <v>259</v>
      </c>
      <c r="L19" s="1" t="s">
        <v>259</v>
      </c>
      <c r="M19" s="1" t="s">
        <v>261</v>
      </c>
      <c r="N19" s="1" t="s">
        <v>259</v>
      </c>
      <c r="O19" s="1" t="s">
        <v>259</v>
      </c>
      <c r="P19" s="1" t="s">
        <v>259</v>
      </c>
      <c r="Q19" s="1" t="s">
        <v>258</v>
      </c>
      <c r="R19" s="1" t="s">
        <v>262</v>
      </c>
      <c r="S19" s="1" t="s">
        <v>262</v>
      </c>
      <c r="T19" s="1" t="s">
        <v>258</v>
      </c>
      <c r="U19" s="1" t="s">
        <v>259</v>
      </c>
      <c r="V19" s="1" t="s">
        <v>259</v>
      </c>
      <c r="W19" s="1" t="s">
        <v>261</v>
      </c>
      <c r="X19" s="1" t="s">
        <v>259</v>
      </c>
      <c r="Y19" s="1" t="s">
        <v>259</v>
      </c>
      <c r="Z19" s="1" t="s">
        <v>259</v>
      </c>
      <c r="AA19" s="1" t="s">
        <v>262</v>
      </c>
      <c r="AB19" s="1" t="s">
        <v>262</v>
      </c>
      <c r="AC19" s="1" t="s">
        <v>263</v>
      </c>
      <c r="AD19" s="1" t="s">
        <v>263</v>
      </c>
      <c r="AE19" s="1" t="s">
        <v>263</v>
      </c>
      <c r="AF19" s="1" t="s">
        <v>259</v>
      </c>
      <c r="AG19" s="1" t="s">
        <v>259</v>
      </c>
      <c r="AH19" s="1" t="s">
        <v>264</v>
      </c>
      <c r="AI19" s="1" t="s">
        <v>264</v>
      </c>
      <c r="AJ19" s="1" t="s">
        <v>264</v>
      </c>
      <c r="AK19" s="1" t="s">
        <v>262</v>
      </c>
      <c r="AL19" s="1" t="s">
        <v>262</v>
      </c>
      <c r="AM19" s="1" t="s">
        <v>258</v>
      </c>
      <c r="AN19" s="1" t="s">
        <v>258</v>
      </c>
      <c r="AO19" s="1" t="s">
        <v>258</v>
      </c>
      <c r="AP19" s="1" t="s">
        <v>258</v>
      </c>
      <c r="AQ19" s="1" t="s">
        <v>258</v>
      </c>
      <c r="AR19" s="1" t="s">
        <v>258</v>
      </c>
    </row>
    <row r="20" spans="1:44" x14ac:dyDescent="0.2">
      <c r="A20" s="1" t="s">
        <v>123</v>
      </c>
      <c r="B20" s="1" t="s">
        <v>265</v>
      </c>
      <c r="C20" s="1">
        <v>-32.6</v>
      </c>
      <c r="D20" s="1">
        <v>460123</v>
      </c>
      <c r="E20" s="1">
        <v>5962757</v>
      </c>
      <c r="F20" s="1">
        <v>0</v>
      </c>
      <c r="G20" s="1">
        <v>-0.6</v>
      </c>
      <c r="H20" s="1">
        <v>0</v>
      </c>
      <c r="I20" s="1">
        <v>2</v>
      </c>
      <c r="J20" s="1">
        <v>0</v>
      </c>
      <c r="K20" s="1">
        <v>-61</v>
      </c>
      <c r="L20" s="1">
        <v>28.4</v>
      </c>
      <c r="M20" s="1">
        <v>1506.9570000000001</v>
      </c>
      <c r="N20" s="1">
        <v>86.4</v>
      </c>
      <c r="O20" s="1">
        <v>8</v>
      </c>
      <c r="P20" s="1">
        <v>10</v>
      </c>
      <c r="Q20" s="1">
        <v>2.78</v>
      </c>
      <c r="R20" s="1">
        <v>68</v>
      </c>
      <c r="S20" s="1">
        <v>110</v>
      </c>
      <c r="T20" s="1">
        <v>147</v>
      </c>
      <c r="U20" s="1">
        <v>1295.92</v>
      </c>
      <c r="V20" s="1">
        <v>555.52200000000005</v>
      </c>
      <c r="W20" s="1">
        <v>752.85199999999998</v>
      </c>
      <c r="X20" s="1">
        <v>132.18100000000001</v>
      </c>
      <c r="Y20" s="1">
        <v>4.9400000000000004</v>
      </c>
      <c r="Z20" s="1">
        <v>8.0150000000000006</v>
      </c>
      <c r="AA20" s="1">
        <v>21.7</v>
      </c>
      <c r="AB20" s="1">
        <v>290.5</v>
      </c>
      <c r="AC20" s="1">
        <v>12362</v>
      </c>
      <c r="AD20" s="1">
        <v>3037</v>
      </c>
      <c r="AE20" s="1">
        <v>268</v>
      </c>
      <c r="AF20" s="1">
        <v>19</v>
      </c>
      <c r="AG20" s="1">
        <v>19</v>
      </c>
      <c r="AH20" s="1">
        <v>36</v>
      </c>
      <c r="AI20" s="1">
        <v>50.8</v>
      </c>
      <c r="AJ20" s="1">
        <v>13.2</v>
      </c>
      <c r="AK20" s="1">
        <v>78.900000000000006</v>
      </c>
      <c r="AL20" s="1">
        <v>31.9</v>
      </c>
      <c r="AM20" s="1">
        <v>8</v>
      </c>
      <c r="AN20" s="1">
        <v>0</v>
      </c>
      <c r="AO20" s="1">
        <v>0</v>
      </c>
      <c r="AP20" s="1" t="s">
        <v>266</v>
      </c>
      <c r="AQ20" s="1" t="s">
        <v>267</v>
      </c>
      <c r="AR20" s="1" t="s">
        <v>268</v>
      </c>
    </row>
    <row r="21" spans="1:44" x14ac:dyDescent="0.2">
      <c r="A21" s="1" t="s">
        <v>117</v>
      </c>
      <c r="B21" s="1" t="s">
        <v>265</v>
      </c>
      <c r="C21" s="1">
        <v>-33.700000000000003</v>
      </c>
      <c r="D21" s="1">
        <v>461361</v>
      </c>
      <c r="E21" s="1">
        <v>5962314</v>
      </c>
      <c r="F21" s="1">
        <v>0</v>
      </c>
      <c r="G21" s="1">
        <v>-0.6</v>
      </c>
      <c r="H21" s="1">
        <v>0</v>
      </c>
      <c r="I21" s="1">
        <v>2</v>
      </c>
      <c r="J21" s="1">
        <v>0</v>
      </c>
      <c r="K21" s="1">
        <v>-61.5</v>
      </c>
      <c r="L21" s="1">
        <v>27.8</v>
      </c>
      <c r="M21" s="1">
        <v>1541.789</v>
      </c>
      <c r="N21" s="1">
        <v>86.9</v>
      </c>
      <c r="O21" s="1">
        <v>8</v>
      </c>
      <c r="P21" s="1">
        <v>10</v>
      </c>
      <c r="Q21" s="1">
        <v>2.72</v>
      </c>
      <c r="R21" s="1">
        <v>68</v>
      </c>
      <c r="S21" s="1">
        <v>110</v>
      </c>
      <c r="T21" s="1">
        <v>147</v>
      </c>
      <c r="U21" s="1">
        <v>1295.7439999999999</v>
      </c>
      <c r="V21" s="1">
        <v>521.70500000000004</v>
      </c>
      <c r="W21" s="1">
        <v>752.85199999999998</v>
      </c>
      <c r="X21" s="1">
        <v>132.18100000000001</v>
      </c>
      <c r="Y21" s="1">
        <v>4.9400000000000004</v>
      </c>
      <c r="Z21" s="1">
        <v>8.0150000000000006</v>
      </c>
      <c r="AA21" s="1">
        <v>21.7</v>
      </c>
      <c r="AB21" s="1">
        <v>290.5</v>
      </c>
      <c r="AC21" s="1">
        <v>12393</v>
      </c>
      <c r="AD21" s="1">
        <v>3105</v>
      </c>
      <c r="AE21" s="1">
        <v>268</v>
      </c>
      <c r="AF21" s="1">
        <v>19</v>
      </c>
      <c r="AG21" s="1">
        <v>19</v>
      </c>
      <c r="AH21" s="1">
        <v>35.299999999999997</v>
      </c>
      <c r="AI21" s="1">
        <v>51.3</v>
      </c>
      <c r="AJ21" s="1">
        <v>13.4</v>
      </c>
      <c r="AK21" s="1">
        <v>80.099999999999994</v>
      </c>
      <c r="AL21" s="1">
        <v>31.9</v>
      </c>
      <c r="AM21" s="1">
        <v>8</v>
      </c>
      <c r="AN21" s="1">
        <v>0</v>
      </c>
      <c r="AO21" s="1">
        <v>0</v>
      </c>
      <c r="AP21" s="1" t="s">
        <v>266</v>
      </c>
      <c r="AQ21" s="1" t="s">
        <v>267</v>
      </c>
      <c r="AR21" s="1" t="s">
        <v>268</v>
      </c>
    </row>
    <row r="22" spans="1:44" x14ac:dyDescent="0.2">
      <c r="A22" s="1" t="s">
        <v>139</v>
      </c>
      <c r="B22" s="1" t="s">
        <v>269</v>
      </c>
      <c r="C22" s="1">
        <v>-32.799999999999997</v>
      </c>
      <c r="D22" s="1">
        <v>462778</v>
      </c>
      <c r="E22" s="1">
        <v>5961590</v>
      </c>
      <c r="F22" s="1">
        <v>0</v>
      </c>
      <c r="G22" s="1">
        <v>-0.6</v>
      </c>
      <c r="H22" s="1">
        <v>0</v>
      </c>
      <c r="I22" s="1">
        <v>2</v>
      </c>
      <c r="J22" s="1">
        <v>0</v>
      </c>
      <c r="K22" s="1">
        <v>-60</v>
      </c>
      <c r="L22" s="1">
        <v>27.2</v>
      </c>
      <c r="M22" s="1">
        <v>1486.3869999999999</v>
      </c>
      <c r="N22" s="1">
        <v>85.4</v>
      </c>
      <c r="O22" s="1">
        <v>8</v>
      </c>
      <c r="P22" s="1">
        <v>10</v>
      </c>
      <c r="Q22" s="1">
        <v>2.66</v>
      </c>
      <c r="R22" s="1">
        <v>68</v>
      </c>
      <c r="S22" s="1">
        <v>110</v>
      </c>
      <c r="T22" s="1">
        <v>147</v>
      </c>
      <c r="U22" s="1">
        <v>1295.9449999999999</v>
      </c>
      <c r="V22" s="1">
        <v>580.61699999999996</v>
      </c>
      <c r="W22" s="1">
        <v>752.85199999999998</v>
      </c>
      <c r="X22" s="1">
        <v>132.18100000000001</v>
      </c>
      <c r="Y22" s="1">
        <v>4.9400000000000004</v>
      </c>
      <c r="Z22" s="1">
        <v>8.0150000000000006</v>
      </c>
      <c r="AA22" s="1">
        <v>21.7</v>
      </c>
      <c r="AB22" s="1">
        <v>290.5</v>
      </c>
      <c r="AC22" s="1">
        <v>12300</v>
      </c>
      <c r="AD22" s="1">
        <v>3050</v>
      </c>
      <c r="AE22" s="1">
        <v>268</v>
      </c>
      <c r="AF22" s="1">
        <v>17</v>
      </c>
      <c r="AG22" s="1">
        <v>17</v>
      </c>
      <c r="AH22" s="1">
        <v>36.4</v>
      </c>
      <c r="AI22" s="1">
        <v>50.3</v>
      </c>
      <c r="AJ22" s="1">
        <v>13.2</v>
      </c>
      <c r="AK22" s="1">
        <v>78.8</v>
      </c>
      <c r="AL22" s="1">
        <v>31.9</v>
      </c>
      <c r="AM22" s="1">
        <v>8</v>
      </c>
      <c r="AN22" s="1">
        <v>0</v>
      </c>
      <c r="AO22" s="1">
        <v>0</v>
      </c>
      <c r="AP22" s="1" t="s">
        <v>266</v>
      </c>
      <c r="AQ22" s="1" t="s">
        <v>267</v>
      </c>
      <c r="AR22" s="1" t="s">
        <v>268</v>
      </c>
    </row>
    <row r="23" spans="1:44" x14ac:dyDescent="0.2">
      <c r="A23" s="1" t="s">
        <v>154</v>
      </c>
      <c r="B23" s="1" t="s">
        <v>265</v>
      </c>
      <c r="C23" s="1">
        <v>-31.3</v>
      </c>
      <c r="D23" s="1">
        <v>464232</v>
      </c>
      <c r="E23" s="1">
        <v>5960830</v>
      </c>
      <c r="F23" s="1">
        <v>0</v>
      </c>
      <c r="G23" s="1">
        <v>-0.7</v>
      </c>
      <c r="H23" s="1">
        <v>0</v>
      </c>
      <c r="I23" s="1">
        <v>2</v>
      </c>
      <c r="J23" s="1">
        <v>0</v>
      </c>
      <c r="K23" s="1">
        <v>-58.7</v>
      </c>
      <c r="L23" s="1">
        <v>27.4</v>
      </c>
      <c r="M23" s="1">
        <v>1457</v>
      </c>
      <c r="N23" s="1">
        <v>84.1</v>
      </c>
      <c r="O23" s="1">
        <v>8</v>
      </c>
      <c r="P23" s="1">
        <v>10</v>
      </c>
      <c r="Q23" s="1">
        <v>2.67</v>
      </c>
      <c r="R23" s="1">
        <v>68</v>
      </c>
      <c r="S23" s="1">
        <v>110</v>
      </c>
      <c r="T23" s="1">
        <v>147</v>
      </c>
      <c r="U23" s="1">
        <v>1233.7159999999999</v>
      </c>
      <c r="V23" s="1">
        <v>555.63499999999999</v>
      </c>
      <c r="W23" s="1">
        <v>752.85199999999998</v>
      </c>
      <c r="X23" s="1">
        <v>132.18100000000001</v>
      </c>
      <c r="Y23" s="1">
        <v>4.9400000000000004</v>
      </c>
      <c r="Z23" s="1">
        <v>8.0150000000000006</v>
      </c>
      <c r="AA23" s="1">
        <v>21.7</v>
      </c>
      <c r="AB23" s="1">
        <v>290.5</v>
      </c>
      <c r="AC23" s="1">
        <v>12219</v>
      </c>
      <c r="AD23" s="1">
        <v>2957</v>
      </c>
      <c r="AE23" s="1">
        <v>268</v>
      </c>
      <c r="AF23" s="1">
        <v>19</v>
      </c>
      <c r="AG23" s="1">
        <v>19</v>
      </c>
      <c r="AH23" s="1">
        <v>36.799999999999997</v>
      </c>
      <c r="AI23" s="1">
        <v>50.4</v>
      </c>
      <c r="AJ23" s="1">
        <v>12.8</v>
      </c>
      <c r="AK23" s="1">
        <v>78.5</v>
      </c>
      <c r="AL23" s="1">
        <v>31.9</v>
      </c>
      <c r="AM23" s="1">
        <v>8</v>
      </c>
      <c r="AN23" s="1">
        <v>0</v>
      </c>
      <c r="AO23" s="1">
        <v>0</v>
      </c>
      <c r="AP23" s="1" t="s">
        <v>266</v>
      </c>
      <c r="AQ23" s="1" t="s">
        <v>267</v>
      </c>
      <c r="AR23" s="1" t="s">
        <v>268</v>
      </c>
    </row>
    <row r="24" spans="1:44" x14ac:dyDescent="0.2">
      <c r="A24" s="1" t="s">
        <v>156</v>
      </c>
      <c r="B24" s="1" t="s">
        <v>265</v>
      </c>
      <c r="C24" s="1">
        <v>-28.8</v>
      </c>
      <c r="D24" s="1">
        <v>467232</v>
      </c>
      <c r="E24" s="1">
        <v>5959260</v>
      </c>
      <c r="F24" s="1">
        <v>0</v>
      </c>
      <c r="G24" s="1">
        <v>-0.6</v>
      </c>
      <c r="H24" s="1">
        <v>0</v>
      </c>
      <c r="I24" s="1">
        <v>2</v>
      </c>
      <c r="J24" s="1">
        <v>0</v>
      </c>
      <c r="K24" s="1">
        <v>-58.4</v>
      </c>
      <c r="L24" s="1">
        <v>29.6</v>
      </c>
      <c r="M24" s="1">
        <v>1429.8009999999999</v>
      </c>
      <c r="N24" s="1">
        <v>83.8</v>
      </c>
      <c r="O24" s="1">
        <v>8</v>
      </c>
      <c r="P24" s="1">
        <v>10</v>
      </c>
      <c r="Q24" s="1">
        <v>2.9</v>
      </c>
      <c r="R24" s="1">
        <v>64</v>
      </c>
      <c r="S24" s="1">
        <v>110</v>
      </c>
      <c r="T24" s="1">
        <v>147</v>
      </c>
      <c r="U24" s="1">
        <v>1233.7909999999999</v>
      </c>
      <c r="V24" s="1">
        <v>430.87599999999998</v>
      </c>
      <c r="W24" s="1">
        <v>752.85199999999998</v>
      </c>
      <c r="X24" s="1">
        <v>132.18100000000001</v>
      </c>
      <c r="Y24" s="1">
        <v>4.9400000000000004</v>
      </c>
      <c r="Z24" s="1">
        <v>8.0150000000000006</v>
      </c>
      <c r="AA24" s="1">
        <v>21.7</v>
      </c>
      <c r="AB24" s="1">
        <v>290.5</v>
      </c>
      <c r="AC24" s="1">
        <v>12201</v>
      </c>
      <c r="AD24" s="1">
        <v>2801</v>
      </c>
      <c r="AE24" s="1">
        <v>268</v>
      </c>
      <c r="AF24" s="1">
        <v>21</v>
      </c>
      <c r="AG24" s="1">
        <v>21</v>
      </c>
      <c r="AH24" s="1">
        <v>37.299999999999997</v>
      </c>
      <c r="AI24" s="1">
        <v>50.1</v>
      </c>
      <c r="AJ24" s="1">
        <v>12.6</v>
      </c>
      <c r="AK24" s="1">
        <v>77.3</v>
      </c>
      <c r="AL24" s="1">
        <v>31.9</v>
      </c>
      <c r="AM24" s="1">
        <v>8</v>
      </c>
      <c r="AN24" s="1">
        <v>0</v>
      </c>
      <c r="AO24" s="1">
        <v>0</v>
      </c>
      <c r="AP24" s="1" t="s">
        <v>266</v>
      </c>
      <c r="AQ24" s="1" t="s">
        <v>267</v>
      </c>
      <c r="AR24" s="1" t="s">
        <v>268</v>
      </c>
    </row>
    <row r="25" spans="1:44" x14ac:dyDescent="0.2">
      <c r="A25" s="1" t="s">
        <v>160</v>
      </c>
      <c r="B25" s="1" t="s">
        <v>265</v>
      </c>
      <c r="C25" s="1">
        <v>-29.5</v>
      </c>
      <c r="D25" s="1">
        <v>468749</v>
      </c>
      <c r="E25" s="1">
        <v>5958460</v>
      </c>
      <c r="F25" s="1">
        <v>0</v>
      </c>
      <c r="G25" s="1">
        <v>-0.7</v>
      </c>
      <c r="H25" s="1">
        <v>0</v>
      </c>
      <c r="I25" s="1">
        <v>2</v>
      </c>
      <c r="J25" s="1">
        <v>0</v>
      </c>
      <c r="K25" s="1">
        <v>-57.9</v>
      </c>
      <c r="L25" s="1">
        <v>28.4</v>
      </c>
      <c r="M25" s="1">
        <v>1416.742</v>
      </c>
      <c r="N25" s="1">
        <v>83.3</v>
      </c>
      <c r="O25" s="1">
        <v>8</v>
      </c>
      <c r="P25" s="1">
        <v>10</v>
      </c>
      <c r="Q25" s="1">
        <v>2.77</v>
      </c>
      <c r="R25" s="1">
        <v>64</v>
      </c>
      <c r="S25" s="1">
        <v>110</v>
      </c>
      <c r="T25" s="1">
        <v>147</v>
      </c>
      <c r="U25" s="1">
        <v>1233.8040000000001</v>
      </c>
      <c r="V25" s="1">
        <v>430.87599999999998</v>
      </c>
      <c r="W25" s="1">
        <v>752.85199999999998</v>
      </c>
      <c r="X25" s="1">
        <v>132.18100000000001</v>
      </c>
      <c r="Y25" s="1">
        <v>4.9400000000000004</v>
      </c>
      <c r="Z25" s="1">
        <v>8.0150000000000006</v>
      </c>
      <c r="AA25" s="1">
        <v>21.7</v>
      </c>
      <c r="AB25" s="1">
        <v>290.5</v>
      </c>
      <c r="AC25" s="1">
        <v>12170</v>
      </c>
      <c r="AD25" s="1">
        <v>2845</v>
      </c>
      <c r="AE25" s="1">
        <v>268</v>
      </c>
      <c r="AF25" s="1">
        <v>19</v>
      </c>
      <c r="AG25" s="1">
        <v>19</v>
      </c>
      <c r="AH25" s="1">
        <v>37.700000000000003</v>
      </c>
      <c r="AI25" s="1">
        <v>49.6</v>
      </c>
      <c r="AJ25" s="1">
        <v>12.7</v>
      </c>
      <c r="AK25" s="1">
        <v>77.099999999999994</v>
      </c>
      <c r="AL25" s="1">
        <v>31.9</v>
      </c>
      <c r="AM25" s="1">
        <v>8</v>
      </c>
      <c r="AN25" s="1">
        <v>0</v>
      </c>
      <c r="AO25" s="1">
        <v>0</v>
      </c>
      <c r="AP25" s="1" t="s">
        <v>266</v>
      </c>
      <c r="AQ25" s="1" t="s">
        <v>267</v>
      </c>
      <c r="AR25" s="1" t="s">
        <v>268</v>
      </c>
    </row>
    <row r="26" spans="1:44" x14ac:dyDescent="0.2">
      <c r="A26" s="1" t="s">
        <v>157</v>
      </c>
      <c r="B26" s="1" t="s">
        <v>265</v>
      </c>
      <c r="C26" s="1">
        <v>-29.6</v>
      </c>
      <c r="D26" s="1">
        <v>470269</v>
      </c>
      <c r="E26" s="1">
        <v>5957660</v>
      </c>
      <c r="F26" s="1">
        <v>0</v>
      </c>
      <c r="G26" s="1">
        <v>-0.6</v>
      </c>
      <c r="H26" s="1">
        <v>0</v>
      </c>
      <c r="I26" s="1">
        <v>2</v>
      </c>
      <c r="J26" s="1">
        <v>0</v>
      </c>
      <c r="K26" s="1">
        <v>-58.5</v>
      </c>
      <c r="L26" s="1">
        <v>28.9</v>
      </c>
      <c r="M26" s="1">
        <v>1430.37</v>
      </c>
      <c r="N26" s="1">
        <v>83.9</v>
      </c>
      <c r="O26" s="1">
        <v>8</v>
      </c>
      <c r="P26" s="1">
        <v>10</v>
      </c>
      <c r="Q26" s="1">
        <v>2.83</v>
      </c>
      <c r="R26" s="1">
        <v>64</v>
      </c>
      <c r="S26" s="1">
        <v>110</v>
      </c>
      <c r="T26" s="1">
        <v>147</v>
      </c>
      <c r="U26" s="1">
        <v>1233.8040000000001</v>
      </c>
      <c r="V26" s="1">
        <v>430.87599999999998</v>
      </c>
      <c r="W26" s="1">
        <v>752.85199999999998</v>
      </c>
      <c r="X26" s="1">
        <v>132.18100000000001</v>
      </c>
      <c r="Y26" s="1">
        <v>4.9400000000000004</v>
      </c>
      <c r="Z26" s="1">
        <v>8.0150000000000006</v>
      </c>
      <c r="AA26" s="1">
        <v>21.7</v>
      </c>
      <c r="AB26" s="1">
        <v>290.5</v>
      </c>
      <c r="AC26" s="1">
        <v>12207</v>
      </c>
      <c r="AD26" s="1">
        <v>2851</v>
      </c>
      <c r="AE26" s="1">
        <v>268</v>
      </c>
      <c r="AF26" s="1">
        <v>19</v>
      </c>
      <c r="AG26" s="1">
        <v>19</v>
      </c>
      <c r="AH26" s="1">
        <v>37.299999999999997</v>
      </c>
      <c r="AI26" s="1">
        <v>50.1</v>
      </c>
      <c r="AJ26" s="1">
        <v>12.6</v>
      </c>
      <c r="AK26" s="1">
        <v>77.3</v>
      </c>
      <c r="AL26" s="1">
        <v>31.9</v>
      </c>
      <c r="AM26" s="1">
        <v>8</v>
      </c>
      <c r="AN26" s="1">
        <v>0</v>
      </c>
      <c r="AO26" s="1">
        <v>0</v>
      </c>
      <c r="AP26" s="1" t="s">
        <v>266</v>
      </c>
      <c r="AQ26" s="1" t="s">
        <v>267</v>
      </c>
      <c r="AR26" s="1" t="s">
        <v>268</v>
      </c>
    </row>
    <row r="27" spans="1:44" x14ac:dyDescent="0.2">
      <c r="A27" s="1" t="s">
        <v>13</v>
      </c>
      <c r="B27" s="1" t="s">
        <v>265</v>
      </c>
      <c r="C27" s="1">
        <v>-29.5</v>
      </c>
      <c r="D27" s="1">
        <v>471829</v>
      </c>
      <c r="E27" s="1">
        <v>5956840</v>
      </c>
      <c r="F27" s="1">
        <v>0</v>
      </c>
      <c r="G27" s="1">
        <v>-0.6</v>
      </c>
      <c r="H27" s="1">
        <v>0</v>
      </c>
      <c r="I27" s="1">
        <v>2</v>
      </c>
      <c r="J27" s="1">
        <v>0</v>
      </c>
      <c r="K27" s="1">
        <v>-60.2</v>
      </c>
      <c r="L27" s="1">
        <v>30.7</v>
      </c>
      <c r="M27" s="1">
        <v>1493.6559999999999</v>
      </c>
      <c r="N27" s="1">
        <v>85.6</v>
      </c>
      <c r="O27" s="1">
        <v>8</v>
      </c>
      <c r="P27" s="1">
        <v>10</v>
      </c>
      <c r="Q27" s="1">
        <v>3.01</v>
      </c>
      <c r="R27" s="1">
        <v>64</v>
      </c>
      <c r="S27" s="1">
        <v>110</v>
      </c>
      <c r="T27" s="1">
        <v>147</v>
      </c>
      <c r="U27" s="1">
        <v>1295.9570000000001</v>
      </c>
      <c r="V27" s="1">
        <v>461.274</v>
      </c>
      <c r="W27" s="1">
        <v>752.85199999999998</v>
      </c>
      <c r="X27" s="1">
        <v>132.18100000000001</v>
      </c>
      <c r="Y27" s="1">
        <v>4.9400000000000004</v>
      </c>
      <c r="Z27" s="1">
        <v>8.0150000000000006</v>
      </c>
      <c r="AA27" s="1">
        <v>21.7</v>
      </c>
      <c r="AB27" s="1">
        <v>290.5</v>
      </c>
      <c r="AC27" s="1">
        <v>12313</v>
      </c>
      <c r="AD27" s="1">
        <v>2844</v>
      </c>
      <c r="AE27" s="1">
        <v>268</v>
      </c>
      <c r="AF27" s="1">
        <v>21</v>
      </c>
      <c r="AG27" s="1">
        <v>21</v>
      </c>
      <c r="AH27" s="1">
        <v>35.700000000000003</v>
      </c>
      <c r="AI27" s="1">
        <v>52.2</v>
      </c>
      <c r="AJ27" s="1">
        <v>12</v>
      </c>
      <c r="AK27" s="1">
        <v>78.8</v>
      </c>
      <c r="AL27" s="1">
        <v>31.9</v>
      </c>
      <c r="AM27" s="1">
        <v>8</v>
      </c>
      <c r="AN27" s="1">
        <v>0</v>
      </c>
      <c r="AO27" s="1">
        <v>0</v>
      </c>
      <c r="AP27" s="1" t="s">
        <v>266</v>
      </c>
      <c r="AQ27" s="1" t="s">
        <v>267</v>
      </c>
      <c r="AR27" s="1" t="s">
        <v>268</v>
      </c>
    </row>
    <row r="28" spans="1:44" x14ac:dyDescent="0.2">
      <c r="A28" s="1" t="s">
        <v>140</v>
      </c>
      <c r="B28" s="1" t="s">
        <v>265</v>
      </c>
      <c r="C28" s="1">
        <v>-30.2</v>
      </c>
      <c r="D28" s="1">
        <v>473388</v>
      </c>
      <c r="E28" s="1">
        <v>5956030</v>
      </c>
      <c r="F28" s="1">
        <v>0</v>
      </c>
      <c r="G28" s="1">
        <v>-0.7</v>
      </c>
      <c r="H28" s="1">
        <v>0</v>
      </c>
      <c r="I28" s="1">
        <v>2</v>
      </c>
      <c r="J28" s="1">
        <v>0</v>
      </c>
      <c r="K28" s="1">
        <v>-60.4</v>
      </c>
      <c r="L28" s="1">
        <v>30.2</v>
      </c>
      <c r="M28" s="1">
        <v>1467.4380000000001</v>
      </c>
      <c r="N28" s="1">
        <v>85.8</v>
      </c>
      <c r="O28" s="1">
        <v>8</v>
      </c>
      <c r="P28" s="1">
        <v>10</v>
      </c>
      <c r="Q28" s="1">
        <v>2.95</v>
      </c>
      <c r="R28" s="1">
        <v>68</v>
      </c>
      <c r="S28" s="1">
        <v>110</v>
      </c>
      <c r="T28" s="1">
        <v>147</v>
      </c>
      <c r="U28" s="1">
        <v>1296.183</v>
      </c>
      <c r="V28" s="1">
        <v>549.80399999999997</v>
      </c>
      <c r="W28" s="1">
        <v>752.85199999999998</v>
      </c>
      <c r="X28" s="1">
        <v>132.18100000000001</v>
      </c>
      <c r="Y28" s="1">
        <v>4.9400000000000004</v>
      </c>
      <c r="Z28" s="1">
        <v>8.0150000000000006</v>
      </c>
      <c r="AA28" s="1">
        <v>21.7</v>
      </c>
      <c r="AB28" s="1">
        <v>290.5</v>
      </c>
      <c r="AC28" s="1">
        <v>12326</v>
      </c>
      <c r="AD28" s="1">
        <v>2889</v>
      </c>
      <c r="AE28" s="1">
        <v>268</v>
      </c>
      <c r="AF28" s="1">
        <v>21</v>
      </c>
      <c r="AG28" s="1">
        <v>21</v>
      </c>
      <c r="AH28" s="1">
        <v>36.4</v>
      </c>
      <c r="AI28" s="1">
        <v>51.1</v>
      </c>
      <c r="AJ28" s="1">
        <v>12.5</v>
      </c>
      <c r="AK28" s="1">
        <v>77.3</v>
      </c>
      <c r="AL28" s="1">
        <v>31.9</v>
      </c>
      <c r="AM28" s="1">
        <v>8</v>
      </c>
      <c r="AN28" s="1">
        <v>0</v>
      </c>
      <c r="AO28" s="1">
        <v>0</v>
      </c>
      <c r="AP28" s="1" t="s">
        <v>266</v>
      </c>
      <c r="AQ28" s="1" t="s">
        <v>267</v>
      </c>
      <c r="AR28" s="1" t="s">
        <v>268</v>
      </c>
    </row>
    <row r="29" spans="1:44" x14ac:dyDescent="0.2">
      <c r="A29" s="1" t="s">
        <v>150</v>
      </c>
      <c r="B29" s="1" t="s">
        <v>265</v>
      </c>
      <c r="C29" s="1">
        <v>-31.4</v>
      </c>
      <c r="D29" s="1">
        <v>474937</v>
      </c>
      <c r="E29" s="1">
        <v>5955210</v>
      </c>
      <c r="F29" s="1">
        <v>0</v>
      </c>
      <c r="G29" s="1">
        <v>-0.7</v>
      </c>
      <c r="H29" s="1">
        <v>0</v>
      </c>
      <c r="I29" s="1">
        <v>2</v>
      </c>
      <c r="J29" s="1">
        <v>0</v>
      </c>
      <c r="K29" s="1">
        <v>-59.6</v>
      </c>
      <c r="L29" s="1">
        <v>28.2</v>
      </c>
      <c r="M29" s="1">
        <v>1456.664</v>
      </c>
      <c r="N29" s="1">
        <v>85</v>
      </c>
      <c r="O29" s="1">
        <v>8</v>
      </c>
      <c r="P29" s="1">
        <v>10</v>
      </c>
      <c r="Q29" s="1">
        <v>2.75</v>
      </c>
      <c r="R29" s="1">
        <v>68</v>
      </c>
      <c r="S29" s="1">
        <v>110</v>
      </c>
      <c r="T29" s="1">
        <v>147</v>
      </c>
      <c r="U29" s="1">
        <v>1296.1079999999999</v>
      </c>
      <c r="V29" s="1">
        <v>549.33900000000006</v>
      </c>
      <c r="W29" s="1">
        <v>752.85199999999998</v>
      </c>
      <c r="X29" s="1">
        <v>132.18100000000001</v>
      </c>
      <c r="Y29" s="1">
        <v>4.9400000000000004</v>
      </c>
      <c r="Z29" s="1">
        <v>8.0150000000000006</v>
      </c>
      <c r="AA29" s="1">
        <v>21.7</v>
      </c>
      <c r="AB29" s="1">
        <v>290.5</v>
      </c>
      <c r="AC29" s="1">
        <v>12276</v>
      </c>
      <c r="AD29" s="1">
        <v>2963</v>
      </c>
      <c r="AE29" s="1">
        <v>268</v>
      </c>
      <c r="AF29" s="1">
        <v>19</v>
      </c>
      <c r="AG29" s="1">
        <v>19</v>
      </c>
      <c r="AH29" s="1">
        <v>36.9</v>
      </c>
      <c r="AI29" s="1">
        <v>50.2</v>
      </c>
      <c r="AJ29" s="1">
        <v>12.9</v>
      </c>
      <c r="AK29" s="1">
        <v>77.599999999999994</v>
      </c>
      <c r="AL29" s="1">
        <v>31.9</v>
      </c>
      <c r="AM29" s="1">
        <v>8</v>
      </c>
      <c r="AN29" s="1">
        <v>0</v>
      </c>
      <c r="AO29" s="1">
        <v>0</v>
      </c>
      <c r="AP29" s="1" t="s">
        <v>266</v>
      </c>
      <c r="AQ29" s="1" t="s">
        <v>267</v>
      </c>
      <c r="AR29" s="1" t="s">
        <v>268</v>
      </c>
    </row>
    <row r="30" spans="1:44" x14ac:dyDescent="0.2">
      <c r="A30" s="1" t="s">
        <v>119</v>
      </c>
      <c r="B30" s="1" t="s">
        <v>265</v>
      </c>
      <c r="C30" s="1">
        <v>-33.799999999999997</v>
      </c>
      <c r="D30" s="1">
        <v>476497</v>
      </c>
      <c r="E30" s="1">
        <v>5954390</v>
      </c>
      <c r="F30" s="1">
        <v>0</v>
      </c>
      <c r="G30" s="1">
        <v>-0.7</v>
      </c>
      <c r="H30" s="1">
        <v>0</v>
      </c>
      <c r="I30" s="1">
        <v>2</v>
      </c>
      <c r="J30" s="1">
        <v>0</v>
      </c>
      <c r="K30" s="1">
        <v>-61.5</v>
      </c>
      <c r="L30" s="1">
        <v>27.7</v>
      </c>
      <c r="M30" s="1">
        <v>1529.1079999999999</v>
      </c>
      <c r="N30" s="1">
        <v>86.9</v>
      </c>
      <c r="O30" s="1">
        <v>8</v>
      </c>
      <c r="P30" s="1">
        <v>10</v>
      </c>
      <c r="Q30" s="1">
        <v>2.7</v>
      </c>
      <c r="R30" s="1">
        <v>68</v>
      </c>
      <c r="S30" s="1">
        <v>110</v>
      </c>
      <c r="T30" s="1">
        <v>147</v>
      </c>
      <c r="U30" s="1">
        <v>1295.8320000000001</v>
      </c>
      <c r="V30" s="1">
        <v>553.76199999999994</v>
      </c>
      <c r="W30" s="1">
        <v>752.85199999999998</v>
      </c>
      <c r="X30" s="1">
        <v>132.18100000000001</v>
      </c>
      <c r="Y30" s="1">
        <v>4.9400000000000004</v>
      </c>
      <c r="Z30" s="1">
        <v>8.0150000000000006</v>
      </c>
      <c r="AA30" s="1">
        <v>21.7</v>
      </c>
      <c r="AB30" s="1">
        <v>290.5</v>
      </c>
      <c r="AC30" s="1">
        <v>12393</v>
      </c>
      <c r="AD30" s="1">
        <v>3112</v>
      </c>
      <c r="AE30" s="1">
        <v>268</v>
      </c>
      <c r="AF30" s="1">
        <v>19</v>
      </c>
      <c r="AG30" s="1">
        <v>19</v>
      </c>
      <c r="AH30" s="1">
        <v>35.5</v>
      </c>
      <c r="AI30" s="1">
        <v>51.3</v>
      </c>
      <c r="AJ30" s="1">
        <v>13.2</v>
      </c>
      <c r="AK30" s="1">
        <v>79.5</v>
      </c>
      <c r="AL30" s="1">
        <v>31.9</v>
      </c>
      <c r="AM30" s="1">
        <v>8</v>
      </c>
      <c r="AN30" s="1">
        <v>0</v>
      </c>
      <c r="AO30" s="1">
        <v>0</v>
      </c>
      <c r="AP30" s="1" t="s">
        <v>266</v>
      </c>
      <c r="AQ30" s="1" t="s">
        <v>267</v>
      </c>
      <c r="AR30" s="1" t="s">
        <v>268</v>
      </c>
    </row>
    <row r="31" spans="1:44" x14ac:dyDescent="0.2">
      <c r="A31" s="1" t="s">
        <v>53</v>
      </c>
      <c r="B31" s="1" t="s">
        <v>265</v>
      </c>
      <c r="C31" s="1">
        <v>-36.200000000000003</v>
      </c>
      <c r="D31" s="1">
        <v>478064</v>
      </c>
      <c r="E31" s="1">
        <v>5953570</v>
      </c>
      <c r="F31" s="1">
        <v>0</v>
      </c>
      <c r="G31" s="1">
        <v>-0.7</v>
      </c>
      <c r="H31" s="1">
        <v>0</v>
      </c>
      <c r="I31" s="1">
        <v>2</v>
      </c>
      <c r="J31" s="1">
        <v>0</v>
      </c>
      <c r="K31" s="1">
        <v>-64.8</v>
      </c>
      <c r="L31" s="1">
        <v>28.6</v>
      </c>
      <c r="M31" s="1">
        <v>1666.5830000000001</v>
      </c>
      <c r="N31" s="1">
        <v>90.2</v>
      </c>
      <c r="O31" s="1">
        <v>8</v>
      </c>
      <c r="P31" s="1">
        <v>10</v>
      </c>
      <c r="Q31" s="1">
        <v>2.79</v>
      </c>
      <c r="R31" s="1">
        <v>68</v>
      </c>
      <c r="S31" s="1">
        <v>110</v>
      </c>
      <c r="T31" s="1">
        <v>147</v>
      </c>
      <c r="U31" s="1">
        <v>1357.6959999999999</v>
      </c>
      <c r="V31" s="1">
        <v>422.00400000000002</v>
      </c>
      <c r="W31" s="1">
        <v>752.85199999999998</v>
      </c>
      <c r="X31" s="1">
        <v>132.18100000000001</v>
      </c>
      <c r="Y31" s="1">
        <v>4.9400000000000004</v>
      </c>
      <c r="Z31" s="1">
        <v>8.0150000000000006</v>
      </c>
      <c r="AA31" s="1">
        <v>21.7</v>
      </c>
      <c r="AB31" s="1">
        <v>290.5</v>
      </c>
      <c r="AC31" s="1">
        <v>12597</v>
      </c>
      <c r="AD31" s="1">
        <v>3260</v>
      </c>
      <c r="AE31" s="1">
        <v>268</v>
      </c>
      <c r="AF31" s="1">
        <v>19</v>
      </c>
      <c r="AG31" s="1">
        <v>19</v>
      </c>
      <c r="AH31" s="1">
        <v>32.9</v>
      </c>
      <c r="AI31" s="1">
        <v>54.3</v>
      </c>
      <c r="AJ31" s="1">
        <v>12.8</v>
      </c>
      <c r="AK31" s="1">
        <v>83</v>
      </c>
      <c r="AL31" s="1">
        <v>31.9</v>
      </c>
      <c r="AM31" s="1">
        <v>8</v>
      </c>
      <c r="AN31" s="1">
        <v>0</v>
      </c>
      <c r="AO31" s="1">
        <v>0</v>
      </c>
      <c r="AP31" s="1" t="s">
        <v>266</v>
      </c>
      <c r="AQ31" s="1" t="s">
        <v>267</v>
      </c>
      <c r="AR31" s="1" t="s">
        <v>268</v>
      </c>
    </row>
    <row r="32" spans="1:44" x14ac:dyDescent="0.2">
      <c r="A32" s="1" t="s">
        <v>40</v>
      </c>
      <c r="B32" s="1" t="s">
        <v>265</v>
      </c>
      <c r="C32" s="1">
        <v>-36.1</v>
      </c>
      <c r="D32" s="1">
        <v>479604</v>
      </c>
      <c r="E32" s="1">
        <v>5952760</v>
      </c>
      <c r="F32" s="1">
        <v>0</v>
      </c>
      <c r="G32" s="1">
        <v>-0.6</v>
      </c>
      <c r="H32" s="1">
        <v>0</v>
      </c>
      <c r="I32" s="1">
        <v>2</v>
      </c>
      <c r="J32" s="1">
        <v>0</v>
      </c>
      <c r="K32" s="1">
        <v>-65.3</v>
      </c>
      <c r="L32" s="1">
        <v>29.2</v>
      </c>
      <c r="M32" s="1">
        <v>1673.229</v>
      </c>
      <c r="N32" s="1">
        <v>90.7</v>
      </c>
      <c r="O32" s="1">
        <v>8</v>
      </c>
      <c r="P32" s="1">
        <v>10</v>
      </c>
      <c r="Q32" s="1">
        <v>2.86</v>
      </c>
      <c r="R32" s="1">
        <v>68</v>
      </c>
      <c r="S32" s="1">
        <v>110</v>
      </c>
      <c r="T32" s="1">
        <v>147</v>
      </c>
      <c r="U32" s="1">
        <v>1357.7080000000001</v>
      </c>
      <c r="V32" s="1">
        <v>427.75900000000001</v>
      </c>
      <c r="W32" s="1">
        <v>752.85199999999998</v>
      </c>
      <c r="X32" s="1">
        <v>132.18100000000001</v>
      </c>
      <c r="Y32" s="1">
        <v>4.9400000000000004</v>
      </c>
      <c r="Z32" s="1">
        <v>8.0150000000000006</v>
      </c>
      <c r="AA32" s="1">
        <v>21.7</v>
      </c>
      <c r="AB32" s="1">
        <v>290.5</v>
      </c>
      <c r="AC32" s="1">
        <v>12628</v>
      </c>
      <c r="AD32" s="1">
        <v>3254</v>
      </c>
      <c r="AE32" s="1">
        <v>268</v>
      </c>
      <c r="AF32" s="1">
        <v>19</v>
      </c>
      <c r="AG32" s="1">
        <v>19</v>
      </c>
      <c r="AH32" s="1">
        <v>32.700000000000003</v>
      </c>
      <c r="AI32" s="1">
        <v>54.4</v>
      </c>
      <c r="AJ32" s="1">
        <v>12.9</v>
      </c>
      <c r="AK32" s="1">
        <v>82.8</v>
      </c>
      <c r="AL32" s="1">
        <v>31.9</v>
      </c>
      <c r="AM32" s="1">
        <v>8</v>
      </c>
      <c r="AN32" s="1">
        <v>0</v>
      </c>
      <c r="AO32" s="1">
        <v>0</v>
      </c>
      <c r="AP32" s="1" t="s">
        <v>266</v>
      </c>
      <c r="AQ32" s="1" t="s">
        <v>267</v>
      </c>
      <c r="AR32" s="1" t="s">
        <v>268</v>
      </c>
    </row>
    <row r="33" spans="1:44" x14ac:dyDescent="0.2">
      <c r="A33" s="1" t="s">
        <v>183</v>
      </c>
      <c r="B33" s="1" t="s">
        <v>265</v>
      </c>
      <c r="C33" s="1">
        <v>-36.200000000000003</v>
      </c>
      <c r="D33" s="1">
        <v>481173</v>
      </c>
      <c r="E33" s="1">
        <v>5951940</v>
      </c>
      <c r="F33" s="1">
        <v>0</v>
      </c>
      <c r="G33" s="1">
        <v>-0.6</v>
      </c>
      <c r="H33" s="1">
        <v>0</v>
      </c>
      <c r="I33" s="1">
        <v>2</v>
      </c>
      <c r="J33" s="1">
        <v>0</v>
      </c>
      <c r="K33" s="1">
        <v>-66.7</v>
      </c>
      <c r="L33" s="1">
        <v>30.5</v>
      </c>
      <c r="M33" s="1">
        <v>1682.5050000000001</v>
      </c>
      <c r="N33" s="1">
        <v>92.1</v>
      </c>
      <c r="O33" s="1">
        <v>8</v>
      </c>
      <c r="P33" s="1">
        <v>10.5</v>
      </c>
      <c r="Q33" s="1">
        <v>2.8475999999999999</v>
      </c>
      <c r="R33" s="1">
        <v>68</v>
      </c>
      <c r="S33" s="1">
        <v>112</v>
      </c>
      <c r="T33" s="1">
        <v>146</v>
      </c>
      <c r="U33" s="1">
        <v>1406.51</v>
      </c>
      <c r="V33" s="1">
        <v>388.74099999999999</v>
      </c>
      <c r="W33" s="1">
        <v>752.85199999999998</v>
      </c>
      <c r="X33" s="1">
        <v>132.18100000000001</v>
      </c>
      <c r="Y33" s="1">
        <v>4.9400000000000004</v>
      </c>
      <c r="Z33" s="1">
        <v>8.0150000000000006</v>
      </c>
      <c r="AA33" s="1">
        <v>21.7</v>
      </c>
      <c r="AB33" s="1">
        <v>290.5</v>
      </c>
      <c r="AC33" s="1">
        <v>12867</v>
      </c>
      <c r="AD33" s="1">
        <v>3323</v>
      </c>
      <c r="AE33" s="1">
        <v>268</v>
      </c>
      <c r="AF33" s="1">
        <v>21</v>
      </c>
      <c r="AG33" s="1">
        <v>21</v>
      </c>
      <c r="AH33" s="1">
        <v>32.799999999999997</v>
      </c>
      <c r="AI33" s="1">
        <v>52.7</v>
      </c>
      <c r="AJ33" s="1">
        <v>14.6</v>
      </c>
      <c r="AK33" s="1">
        <v>79.900000000000006</v>
      </c>
      <c r="AL33" s="1">
        <v>31.9</v>
      </c>
      <c r="AM33" s="1">
        <v>8</v>
      </c>
      <c r="AN33" s="1">
        <v>0</v>
      </c>
      <c r="AO33" s="1">
        <v>0</v>
      </c>
      <c r="AP33" s="1" t="s">
        <v>270</v>
      </c>
      <c r="AQ33" s="1" t="s">
        <v>267</v>
      </c>
      <c r="AR33" s="1" t="s">
        <v>268</v>
      </c>
    </row>
    <row r="34" spans="1:44" x14ac:dyDescent="0.2">
      <c r="A34" s="1" t="s">
        <v>176</v>
      </c>
      <c r="B34" s="1" t="s">
        <v>265</v>
      </c>
      <c r="C34" s="1">
        <v>-37.200000000000003</v>
      </c>
      <c r="D34" s="1">
        <v>482709</v>
      </c>
      <c r="E34" s="1">
        <v>5951130</v>
      </c>
      <c r="F34" s="1">
        <v>0</v>
      </c>
      <c r="G34" s="1">
        <v>-0.6</v>
      </c>
      <c r="H34" s="1">
        <v>0</v>
      </c>
      <c r="I34" s="1">
        <v>2</v>
      </c>
      <c r="J34" s="1">
        <v>0</v>
      </c>
      <c r="K34" s="1">
        <v>-69</v>
      </c>
      <c r="L34" s="1">
        <v>31.8</v>
      </c>
      <c r="M34" s="1">
        <v>1754.989</v>
      </c>
      <c r="N34" s="1">
        <v>94.4</v>
      </c>
      <c r="O34" s="1">
        <v>8</v>
      </c>
      <c r="P34" s="1">
        <v>10.5</v>
      </c>
      <c r="Q34" s="1">
        <v>2.9714</v>
      </c>
      <c r="R34" s="1">
        <v>72</v>
      </c>
      <c r="S34" s="1">
        <v>112</v>
      </c>
      <c r="T34" s="1">
        <v>146</v>
      </c>
      <c r="U34" s="1">
        <v>1406.2840000000001</v>
      </c>
      <c r="V34" s="1">
        <v>454.17399999999998</v>
      </c>
      <c r="W34" s="1">
        <v>752.85199999999998</v>
      </c>
      <c r="X34" s="1">
        <v>132.18100000000001</v>
      </c>
      <c r="Y34" s="1">
        <v>4.9400000000000004</v>
      </c>
      <c r="Z34" s="1">
        <v>8.0150000000000006</v>
      </c>
      <c r="AA34" s="1">
        <v>21.7</v>
      </c>
      <c r="AB34" s="1">
        <v>290.5</v>
      </c>
      <c r="AC34" s="1">
        <v>13016</v>
      </c>
      <c r="AD34" s="1">
        <v>3388</v>
      </c>
      <c r="AE34" s="1">
        <v>268</v>
      </c>
      <c r="AF34" s="1">
        <v>23</v>
      </c>
      <c r="AG34" s="1">
        <v>23</v>
      </c>
      <c r="AH34" s="1">
        <v>32.299999999999997</v>
      </c>
      <c r="AI34" s="1">
        <v>53</v>
      </c>
      <c r="AJ34" s="1">
        <v>14.7</v>
      </c>
      <c r="AK34" s="1">
        <v>81.3</v>
      </c>
      <c r="AL34" s="1">
        <v>31.9</v>
      </c>
      <c r="AM34" s="1">
        <v>8</v>
      </c>
      <c r="AN34" s="1">
        <v>0</v>
      </c>
      <c r="AO34" s="1">
        <v>0</v>
      </c>
      <c r="AP34" s="1" t="s">
        <v>270</v>
      </c>
      <c r="AQ34" s="1" t="s">
        <v>267</v>
      </c>
      <c r="AR34" s="1" t="s">
        <v>268</v>
      </c>
    </row>
    <row r="35" spans="1:44" x14ac:dyDescent="0.2">
      <c r="A35" s="1" t="s">
        <v>211</v>
      </c>
      <c r="B35" s="1" t="s">
        <v>265</v>
      </c>
      <c r="C35" s="1">
        <v>-39.1</v>
      </c>
      <c r="D35" s="1">
        <v>484249</v>
      </c>
      <c r="E35" s="1">
        <v>5950333</v>
      </c>
      <c r="F35" s="1">
        <v>0</v>
      </c>
      <c r="G35" s="1">
        <v>-0.7</v>
      </c>
      <c r="H35" s="1">
        <v>0</v>
      </c>
      <c r="I35" s="1">
        <v>2</v>
      </c>
      <c r="J35" s="1">
        <v>0</v>
      </c>
      <c r="K35" s="1">
        <v>-72.599999999999994</v>
      </c>
      <c r="L35" s="1">
        <v>33.5</v>
      </c>
      <c r="M35" s="1">
        <v>1903.4459999999999</v>
      </c>
      <c r="N35" s="1">
        <v>98</v>
      </c>
      <c r="O35" s="1">
        <v>8</v>
      </c>
      <c r="P35" s="1">
        <v>11</v>
      </c>
      <c r="Q35" s="1">
        <v>2.9817999999999998</v>
      </c>
      <c r="R35" s="1">
        <v>70</v>
      </c>
      <c r="S35" s="1">
        <v>117</v>
      </c>
      <c r="T35" s="1">
        <v>149</v>
      </c>
      <c r="U35" s="1">
        <v>1507.223</v>
      </c>
      <c r="V35" s="1">
        <v>327.68700000000001</v>
      </c>
      <c r="W35" s="1">
        <v>752.85199999999998</v>
      </c>
      <c r="X35" s="1">
        <v>132.18100000000001</v>
      </c>
      <c r="Y35" s="1">
        <v>4.9400000000000004</v>
      </c>
      <c r="Z35" s="1">
        <v>8.0150000000000006</v>
      </c>
      <c r="AA35" s="1">
        <v>21.7</v>
      </c>
      <c r="AB35" s="1">
        <v>290.5</v>
      </c>
      <c r="AC35" s="1">
        <v>13410</v>
      </c>
      <c r="AD35" s="1">
        <v>3574</v>
      </c>
      <c r="AE35" s="1">
        <v>268</v>
      </c>
      <c r="AF35" s="1">
        <v>24.6</v>
      </c>
      <c r="AG35" s="1">
        <v>24.6</v>
      </c>
      <c r="AH35" s="1">
        <v>29.9</v>
      </c>
      <c r="AI35" s="1">
        <v>53.8</v>
      </c>
      <c r="AJ35" s="1">
        <v>16.3</v>
      </c>
      <c r="AK35" s="1">
        <v>82.3</v>
      </c>
      <c r="AL35" s="1">
        <v>31.9</v>
      </c>
      <c r="AM35" s="1">
        <v>8</v>
      </c>
      <c r="AN35" s="1">
        <v>0</v>
      </c>
      <c r="AO35" s="1">
        <v>0</v>
      </c>
      <c r="AP35" s="1" t="s">
        <v>270</v>
      </c>
      <c r="AQ35" s="1" t="s">
        <v>267</v>
      </c>
      <c r="AR35" s="1" t="s">
        <v>268</v>
      </c>
    </row>
    <row r="36" spans="1:44" x14ac:dyDescent="0.2">
      <c r="A36" s="1" t="s">
        <v>174</v>
      </c>
      <c r="B36" s="1" t="s">
        <v>271</v>
      </c>
      <c r="C36" s="1">
        <v>-38.6</v>
      </c>
      <c r="D36" s="1">
        <v>484978.2</v>
      </c>
      <c r="E36" s="1">
        <v>5952440.2000000002</v>
      </c>
      <c r="F36" s="1">
        <v>0</v>
      </c>
      <c r="G36" s="1">
        <v>-0.6</v>
      </c>
      <c r="H36" s="1">
        <v>0</v>
      </c>
      <c r="I36" s="1">
        <v>2</v>
      </c>
      <c r="J36" s="1">
        <v>0</v>
      </c>
      <c r="K36" s="1">
        <v>-70.400000000000006</v>
      </c>
      <c r="L36" s="1">
        <v>31.8</v>
      </c>
      <c r="M36" s="1">
        <v>1795.5440000000001</v>
      </c>
      <c r="N36" s="1">
        <v>95.8</v>
      </c>
      <c r="O36" s="1">
        <v>8</v>
      </c>
      <c r="P36" s="1">
        <v>10.5</v>
      </c>
      <c r="Q36" s="1">
        <v>2.9714</v>
      </c>
      <c r="R36" s="1">
        <v>72</v>
      </c>
      <c r="S36" s="1">
        <v>112</v>
      </c>
      <c r="T36" s="1">
        <v>146</v>
      </c>
      <c r="U36" s="1">
        <v>1471.6790000000001</v>
      </c>
      <c r="V36" s="1">
        <v>448.714</v>
      </c>
      <c r="W36" s="1">
        <v>752.85199999999998</v>
      </c>
      <c r="X36" s="1">
        <v>132.18100000000001</v>
      </c>
      <c r="Y36" s="1">
        <v>4.9400000000000004</v>
      </c>
      <c r="Z36" s="1">
        <v>8.0150000000000006</v>
      </c>
      <c r="AA36" s="1">
        <v>21.7</v>
      </c>
      <c r="AB36" s="1">
        <v>290.5</v>
      </c>
      <c r="AC36" s="1">
        <v>13108</v>
      </c>
      <c r="AD36" s="1">
        <v>3479</v>
      </c>
      <c r="AE36" s="1">
        <v>268</v>
      </c>
      <c r="AF36" s="1">
        <v>23</v>
      </c>
      <c r="AG36" s="1">
        <v>23</v>
      </c>
      <c r="AH36" s="1">
        <v>32.1</v>
      </c>
      <c r="AI36" s="1">
        <v>53.3</v>
      </c>
      <c r="AJ36" s="1">
        <v>14.6</v>
      </c>
      <c r="AK36" s="1">
        <v>81.900000000000006</v>
      </c>
      <c r="AL36" s="1">
        <v>31.9</v>
      </c>
      <c r="AM36" s="1">
        <v>8</v>
      </c>
      <c r="AN36" s="1">
        <v>0</v>
      </c>
      <c r="AO36" s="1">
        <v>0</v>
      </c>
      <c r="AP36" s="1" t="s">
        <v>270</v>
      </c>
      <c r="AQ36" s="1" t="s">
        <v>267</v>
      </c>
      <c r="AR36" s="1" t="s">
        <v>268</v>
      </c>
    </row>
    <row r="37" spans="1:44" x14ac:dyDescent="0.2">
      <c r="A37" s="1" t="s">
        <v>90</v>
      </c>
      <c r="B37" s="1" t="s">
        <v>271</v>
      </c>
      <c r="C37" s="1">
        <v>-34.5</v>
      </c>
      <c r="D37" s="1">
        <v>484662</v>
      </c>
      <c r="E37" s="1">
        <v>5956140</v>
      </c>
      <c r="F37" s="1">
        <v>0</v>
      </c>
      <c r="G37" s="1">
        <v>-0.6</v>
      </c>
      <c r="H37" s="1">
        <v>0</v>
      </c>
      <c r="I37" s="1">
        <v>2</v>
      </c>
      <c r="J37" s="1">
        <v>0</v>
      </c>
      <c r="K37" s="1">
        <v>-63.6</v>
      </c>
      <c r="L37" s="1">
        <v>29.1</v>
      </c>
      <c r="M37" s="1">
        <v>1593.9269999999999</v>
      </c>
      <c r="N37" s="1">
        <v>89</v>
      </c>
      <c r="O37" s="1">
        <v>8</v>
      </c>
      <c r="P37" s="1">
        <v>10</v>
      </c>
      <c r="Q37" s="1">
        <v>2.85</v>
      </c>
      <c r="R37" s="1">
        <v>68</v>
      </c>
      <c r="S37" s="1">
        <v>110</v>
      </c>
      <c r="T37" s="1">
        <v>147</v>
      </c>
      <c r="U37" s="1">
        <v>1358.0229999999999</v>
      </c>
      <c r="V37" s="1">
        <v>459.28800000000001</v>
      </c>
      <c r="W37" s="1">
        <v>752.85199999999998</v>
      </c>
      <c r="X37" s="1">
        <v>132.18100000000001</v>
      </c>
      <c r="Y37" s="1">
        <v>4.9400000000000004</v>
      </c>
      <c r="Z37" s="1">
        <v>8.0150000000000006</v>
      </c>
      <c r="AA37" s="1">
        <v>21.7</v>
      </c>
      <c r="AB37" s="1">
        <v>290.5</v>
      </c>
      <c r="AC37" s="1">
        <v>12523</v>
      </c>
      <c r="AD37" s="1">
        <v>3155</v>
      </c>
      <c r="AE37" s="1">
        <v>268</v>
      </c>
      <c r="AF37" s="1">
        <v>19</v>
      </c>
      <c r="AG37" s="1">
        <v>19</v>
      </c>
      <c r="AH37" s="1">
        <v>34.4</v>
      </c>
      <c r="AI37" s="1">
        <v>52.4</v>
      </c>
      <c r="AJ37" s="1">
        <v>13.3</v>
      </c>
      <c r="AK37" s="1">
        <v>80.7</v>
      </c>
      <c r="AL37" s="1">
        <v>31.9</v>
      </c>
      <c r="AM37" s="1">
        <v>8</v>
      </c>
      <c r="AN37" s="1">
        <v>0</v>
      </c>
      <c r="AO37" s="1">
        <v>0</v>
      </c>
      <c r="AP37" s="1" t="s">
        <v>266</v>
      </c>
      <c r="AQ37" s="1" t="s">
        <v>267</v>
      </c>
      <c r="AR37" s="1" t="s">
        <v>268</v>
      </c>
    </row>
    <row r="38" spans="1:44" x14ac:dyDescent="0.2">
      <c r="A38" s="1" t="s">
        <v>25</v>
      </c>
      <c r="B38" s="1" t="s">
        <v>265</v>
      </c>
      <c r="C38" s="1">
        <v>-36.9</v>
      </c>
      <c r="D38" s="1">
        <v>483697.2</v>
      </c>
      <c r="E38" s="1">
        <v>5960783.0999999996</v>
      </c>
      <c r="F38" s="1">
        <v>0</v>
      </c>
      <c r="G38" s="1">
        <v>-0.6</v>
      </c>
      <c r="H38" s="1">
        <v>0</v>
      </c>
      <c r="I38" s="1">
        <v>2</v>
      </c>
      <c r="J38" s="1">
        <v>0</v>
      </c>
      <c r="K38" s="1">
        <v>-66.7</v>
      </c>
      <c r="L38" s="1">
        <v>29.8</v>
      </c>
      <c r="M38" s="1">
        <v>1742.712</v>
      </c>
      <c r="N38" s="1">
        <v>92.1</v>
      </c>
      <c r="O38" s="1">
        <v>8</v>
      </c>
      <c r="P38" s="1">
        <v>10</v>
      </c>
      <c r="Q38" s="1">
        <v>2.92</v>
      </c>
      <c r="R38" s="1">
        <v>68</v>
      </c>
      <c r="S38" s="1">
        <v>110</v>
      </c>
      <c r="T38" s="1">
        <v>147</v>
      </c>
      <c r="U38" s="1">
        <v>1357.4570000000001</v>
      </c>
      <c r="V38" s="1">
        <v>483.66699999999997</v>
      </c>
      <c r="W38" s="1">
        <v>752.85199999999998</v>
      </c>
      <c r="X38" s="1">
        <v>132.18100000000001</v>
      </c>
      <c r="Y38" s="1">
        <v>4.9400000000000004</v>
      </c>
      <c r="Z38" s="1">
        <v>8.0150000000000006</v>
      </c>
      <c r="AA38" s="1">
        <v>21.7</v>
      </c>
      <c r="AB38" s="1">
        <v>290.5</v>
      </c>
      <c r="AC38" s="1">
        <v>12714</v>
      </c>
      <c r="AD38" s="1">
        <v>3303</v>
      </c>
      <c r="AE38" s="1">
        <v>268</v>
      </c>
      <c r="AF38" s="1">
        <v>21</v>
      </c>
      <c r="AG38" s="1">
        <v>21</v>
      </c>
      <c r="AH38" s="1">
        <v>31.4</v>
      </c>
      <c r="AI38" s="1">
        <v>56.3</v>
      </c>
      <c r="AJ38" s="1">
        <v>12.2</v>
      </c>
      <c r="AK38" s="1">
        <v>84.7</v>
      </c>
      <c r="AL38" s="1">
        <v>31.9</v>
      </c>
      <c r="AM38" s="1">
        <v>8</v>
      </c>
      <c r="AN38" s="1">
        <v>0</v>
      </c>
      <c r="AO38" s="1">
        <v>0</v>
      </c>
      <c r="AP38" s="1" t="s">
        <v>266</v>
      </c>
      <c r="AQ38" s="1" t="s">
        <v>267</v>
      </c>
      <c r="AR38" s="1" t="s">
        <v>268</v>
      </c>
    </row>
    <row r="39" spans="1:44" x14ac:dyDescent="0.2">
      <c r="A39" s="1" t="s">
        <v>29</v>
      </c>
      <c r="B39" s="1" t="s">
        <v>265</v>
      </c>
      <c r="C39" s="1">
        <v>-34.4</v>
      </c>
      <c r="D39" s="1">
        <v>482774.7</v>
      </c>
      <c r="E39" s="1">
        <v>5965224.7999999998</v>
      </c>
      <c r="F39" s="1">
        <v>0</v>
      </c>
      <c r="G39" s="1">
        <v>-0.7</v>
      </c>
      <c r="H39" s="1">
        <v>0</v>
      </c>
      <c r="I39" s="1">
        <v>2</v>
      </c>
      <c r="J39" s="1">
        <v>0</v>
      </c>
      <c r="K39" s="1">
        <v>-66.599999999999994</v>
      </c>
      <c r="L39" s="1">
        <v>32.200000000000003</v>
      </c>
      <c r="M39" s="1">
        <v>1672.625</v>
      </c>
      <c r="N39" s="1">
        <v>92</v>
      </c>
      <c r="O39" s="1">
        <v>8</v>
      </c>
      <c r="P39" s="1">
        <v>10</v>
      </c>
      <c r="Q39" s="1">
        <v>3.15</v>
      </c>
      <c r="R39" s="1">
        <v>68</v>
      </c>
      <c r="S39" s="1">
        <v>110</v>
      </c>
      <c r="T39" s="1">
        <v>147</v>
      </c>
      <c r="U39" s="1">
        <v>1357.8589999999999</v>
      </c>
      <c r="V39" s="1">
        <v>609.04200000000003</v>
      </c>
      <c r="W39" s="1">
        <v>752.85199999999998</v>
      </c>
      <c r="X39" s="1">
        <v>132.18100000000001</v>
      </c>
      <c r="Y39" s="1">
        <v>4.9400000000000004</v>
      </c>
      <c r="Z39" s="1">
        <v>8.0150000000000006</v>
      </c>
      <c r="AA39" s="1">
        <v>21.7</v>
      </c>
      <c r="AB39" s="1">
        <v>290.5</v>
      </c>
      <c r="AC39" s="1">
        <v>12710</v>
      </c>
      <c r="AD39" s="1">
        <v>3148</v>
      </c>
      <c r="AE39" s="1">
        <v>268</v>
      </c>
      <c r="AF39" s="1">
        <v>23</v>
      </c>
      <c r="AG39" s="1">
        <v>23</v>
      </c>
      <c r="AH39" s="1">
        <v>32.799999999999997</v>
      </c>
      <c r="AI39" s="1">
        <v>54.3</v>
      </c>
      <c r="AJ39" s="1">
        <v>12.9</v>
      </c>
      <c r="AK39" s="1">
        <v>81.599999999999994</v>
      </c>
      <c r="AL39" s="1">
        <v>31.9</v>
      </c>
      <c r="AM39" s="1">
        <v>8</v>
      </c>
      <c r="AN39" s="1">
        <v>0</v>
      </c>
      <c r="AO39" s="1">
        <v>0</v>
      </c>
      <c r="AP39" s="1" t="s">
        <v>266</v>
      </c>
      <c r="AQ39" s="1" t="s">
        <v>267</v>
      </c>
      <c r="AR39" s="1" t="s">
        <v>268</v>
      </c>
    </row>
    <row r="40" spans="1:44" x14ac:dyDescent="0.2">
      <c r="A40" s="1" t="s">
        <v>11</v>
      </c>
      <c r="B40" s="1" t="s">
        <v>271</v>
      </c>
      <c r="C40" s="1">
        <v>-30.9</v>
      </c>
      <c r="D40" s="1">
        <v>481884</v>
      </c>
      <c r="E40" s="1">
        <v>5969460</v>
      </c>
      <c r="F40" s="1">
        <v>0</v>
      </c>
      <c r="G40" s="1">
        <v>-0.6</v>
      </c>
      <c r="H40" s="1">
        <v>0</v>
      </c>
      <c r="I40" s="1">
        <v>2</v>
      </c>
      <c r="J40" s="1">
        <v>0</v>
      </c>
      <c r="K40" s="1">
        <v>-59.3</v>
      </c>
      <c r="L40" s="1">
        <v>28.4</v>
      </c>
      <c r="M40" s="1">
        <v>1517.1890000000001</v>
      </c>
      <c r="N40" s="1">
        <v>84.7</v>
      </c>
      <c r="O40" s="1">
        <v>8</v>
      </c>
      <c r="P40" s="1">
        <v>10</v>
      </c>
      <c r="Q40" s="1">
        <v>2.78</v>
      </c>
      <c r="R40" s="1">
        <v>64</v>
      </c>
      <c r="S40" s="1">
        <v>110</v>
      </c>
      <c r="T40" s="1">
        <v>147</v>
      </c>
      <c r="U40" s="1">
        <v>1358.06</v>
      </c>
      <c r="V40" s="1">
        <v>399.46</v>
      </c>
      <c r="W40" s="1">
        <v>752.85199999999998</v>
      </c>
      <c r="X40" s="1">
        <v>132.18100000000001</v>
      </c>
      <c r="Y40" s="1">
        <v>4.9400000000000004</v>
      </c>
      <c r="Z40" s="1">
        <v>8.0150000000000006</v>
      </c>
      <c r="AA40" s="1">
        <v>21.7</v>
      </c>
      <c r="AB40" s="1">
        <v>290.5</v>
      </c>
      <c r="AC40" s="1">
        <v>12255</v>
      </c>
      <c r="AD40" s="1">
        <v>2932</v>
      </c>
      <c r="AE40" s="1">
        <v>268</v>
      </c>
      <c r="AF40" s="1">
        <v>19</v>
      </c>
      <c r="AG40" s="1">
        <v>19</v>
      </c>
      <c r="AH40" s="1">
        <v>35.200000000000003</v>
      </c>
      <c r="AI40" s="1">
        <v>53</v>
      </c>
      <c r="AJ40" s="1">
        <v>11.8</v>
      </c>
      <c r="AK40" s="1">
        <v>80.7</v>
      </c>
      <c r="AL40" s="1">
        <v>31.9</v>
      </c>
      <c r="AM40" s="1">
        <v>8</v>
      </c>
      <c r="AN40" s="1">
        <v>0</v>
      </c>
      <c r="AO40" s="1">
        <v>0</v>
      </c>
      <c r="AP40" s="1" t="s">
        <v>266</v>
      </c>
      <c r="AQ40" s="1" t="s">
        <v>267</v>
      </c>
      <c r="AR40" s="1" t="s">
        <v>268</v>
      </c>
    </row>
    <row r="41" spans="1:44" x14ac:dyDescent="0.2">
      <c r="A41" s="1" t="s">
        <v>79</v>
      </c>
      <c r="B41" s="1" t="s">
        <v>265</v>
      </c>
      <c r="C41" s="1">
        <v>-33.299999999999997</v>
      </c>
      <c r="D41" s="1">
        <v>459408</v>
      </c>
      <c r="E41" s="1">
        <v>5963900</v>
      </c>
      <c r="F41" s="1">
        <v>0</v>
      </c>
      <c r="G41" s="1">
        <v>-0.6</v>
      </c>
      <c r="H41" s="1">
        <v>0</v>
      </c>
      <c r="I41" s="1">
        <v>2</v>
      </c>
      <c r="J41" s="1">
        <v>0</v>
      </c>
      <c r="K41" s="1">
        <v>-64</v>
      </c>
      <c r="L41" s="1">
        <v>30.7</v>
      </c>
      <c r="M41" s="1">
        <v>1611.4169999999999</v>
      </c>
      <c r="N41" s="1">
        <v>89.4</v>
      </c>
      <c r="O41" s="1">
        <v>8</v>
      </c>
      <c r="P41" s="1">
        <v>10</v>
      </c>
      <c r="Q41" s="1">
        <v>3.01</v>
      </c>
      <c r="R41" s="1">
        <v>68</v>
      </c>
      <c r="S41" s="1">
        <v>110</v>
      </c>
      <c r="T41" s="1">
        <v>147</v>
      </c>
      <c r="U41" s="1">
        <v>1357.9469999999999</v>
      </c>
      <c r="V41" s="1">
        <v>490.17599999999999</v>
      </c>
      <c r="W41" s="1">
        <v>752.85199999999998</v>
      </c>
      <c r="X41" s="1">
        <v>132.18100000000001</v>
      </c>
      <c r="Y41" s="1">
        <v>4.9400000000000004</v>
      </c>
      <c r="Z41" s="1">
        <v>8.0150000000000006</v>
      </c>
      <c r="AA41" s="1">
        <v>21.7</v>
      </c>
      <c r="AB41" s="1">
        <v>290.5</v>
      </c>
      <c r="AC41" s="1">
        <v>12548</v>
      </c>
      <c r="AD41" s="1">
        <v>3080</v>
      </c>
      <c r="AE41" s="1">
        <v>268</v>
      </c>
      <c r="AF41" s="1">
        <v>21</v>
      </c>
      <c r="AG41" s="1">
        <v>21</v>
      </c>
      <c r="AH41" s="1">
        <v>34.1</v>
      </c>
      <c r="AI41" s="1">
        <v>52.4</v>
      </c>
      <c r="AJ41" s="1">
        <v>13.6</v>
      </c>
      <c r="AK41" s="1">
        <v>81.2</v>
      </c>
      <c r="AL41" s="1">
        <v>31.9</v>
      </c>
      <c r="AM41" s="1">
        <v>8</v>
      </c>
      <c r="AN41" s="1">
        <v>0</v>
      </c>
      <c r="AO41" s="1">
        <v>0</v>
      </c>
      <c r="AP41" s="1" t="s">
        <v>266</v>
      </c>
      <c r="AQ41" s="1" t="s">
        <v>267</v>
      </c>
      <c r="AR41" s="1" t="s">
        <v>268</v>
      </c>
    </row>
    <row r="42" spans="1:44" x14ac:dyDescent="0.2">
      <c r="A42" s="1" t="s">
        <v>110</v>
      </c>
      <c r="B42" s="1" t="s">
        <v>265</v>
      </c>
      <c r="C42" s="1">
        <v>-34.4</v>
      </c>
      <c r="D42" s="1">
        <v>461577.5</v>
      </c>
      <c r="E42" s="1">
        <v>5963523</v>
      </c>
      <c r="F42" s="1">
        <v>0</v>
      </c>
      <c r="G42" s="1">
        <v>-0.6</v>
      </c>
      <c r="H42" s="1">
        <v>0</v>
      </c>
      <c r="I42" s="1">
        <v>2</v>
      </c>
      <c r="J42" s="1">
        <v>0</v>
      </c>
      <c r="K42" s="1">
        <v>-62</v>
      </c>
      <c r="L42" s="1">
        <v>27.6</v>
      </c>
      <c r="M42" s="1">
        <v>1558.5940000000001</v>
      </c>
      <c r="N42" s="1">
        <v>87.4</v>
      </c>
      <c r="O42" s="1">
        <v>8</v>
      </c>
      <c r="P42" s="1">
        <v>10</v>
      </c>
      <c r="Q42" s="1">
        <v>2.7</v>
      </c>
      <c r="R42" s="1">
        <v>68</v>
      </c>
      <c r="S42" s="1">
        <v>110</v>
      </c>
      <c r="T42" s="1">
        <v>147</v>
      </c>
      <c r="U42" s="1">
        <v>1295.693</v>
      </c>
      <c r="V42" s="1">
        <v>521.67999999999995</v>
      </c>
      <c r="W42" s="1">
        <v>752.85199999999998</v>
      </c>
      <c r="X42" s="1">
        <v>132.18100000000001</v>
      </c>
      <c r="Y42" s="1">
        <v>4.9400000000000004</v>
      </c>
      <c r="Z42" s="1">
        <v>8.0150000000000006</v>
      </c>
      <c r="AA42" s="1">
        <v>21.7</v>
      </c>
      <c r="AB42" s="1">
        <v>290.5</v>
      </c>
      <c r="AC42" s="1">
        <v>12424</v>
      </c>
      <c r="AD42" s="1">
        <v>3149</v>
      </c>
      <c r="AE42" s="1">
        <v>268</v>
      </c>
      <c r="AF42" s="1">
        <v>19</v>
      </c>
      <c r="AG42" s="1">
        <v>19</v>
      </c>
      <c r="AH42" s="1">
        <v>35</v>
      </c>
      <c r="AI42" s="1">
        <v>51.6</v>
      </c>
      <c r="AJ42" s="1">
        <v>13.4</v>
      </c>
      <c r="AK42" s="1">
        <v>80.5</v>
      </c>
      <c r="AL42" s="1">
        <v>31.9</v>
      </c>
      <c r="AM42" s="1">
        <v>8</v>
      </c>
      <c r="AN42" s="1">
        <v>0</v>
      </c>
      <c r="AO42" s="1">
        <v>0</v>
      </c>
      <c r="AP42" s="1" t="s">
        <v>266</v>
      </c>
      <c r="AQ42" s="1" t="s">
        <v>267</v>
      </c>
      <c r="AR42" s="1" t="s">
        <v>268</v>
      </c>
    </row>
    <row r="43" spans="1:44" x14ac:dyDescent="0.2">
      <c r="A43" s="1" t="s">
        <v>112</v>
      </c>
      <c r="B43" s="1" t="s">
        <v>265</v>
      </c>
      <c r="C43" s="1">
        <v>-32.799999999999997</v>
      </c>
      <c r="D43" s="1">
        <v>464508.1</v>
      </c>
      <c r="E43" s="1">
        <v>5962000.0999999996</v>
      </c>
      <c r="F43" s="1">
        <v>0</v>
      </c>
      <c r="G43" s="1">
        <v>-0.6</v>
      </c>
      <c r="H43" s="1">
        <v>0</v>
      </c>
      <c r="I43" s="1">
        <v>2</v>
      </c>
      <c r="J43" s="1">
        <v>0</v>
      </c>
      <c r="K43" s="1">
        <v>-62.2</v>
      </c>
      <c r="L43" s="1">
        <v>29.4</v>
      </c>
      <c r="M43" s="1">
        <v>1547.806</v>
      </c>
      <c r="N43" s="1">
        <v>87.6</v>
      </c>
      <c r="O43" s="1">
        <v>8</v>
      </c>
      <c r="P43" s="1">
        <v>10</v>
      </c>
      <c r="Q43" s="1">
        <v>2.88</v>
      </c>
      <c r="R43" s="1">
        <v>68</v>
      </c>
      <c r="S43" s="1">
        <v>110</v>
      </c>
      <c r="T43" s="1">
        <v>147</v>
      </c>
      <c r="U43" s="1">
        <v>1295.7940000000001</v>
      </c>
      <c r="V43" s="1">
        <v>459.351</v>
      </c>
      <c r="W43" s="1">
        <v>752.85199999999998</v>
      </c>
      <c r="X43" s="1">
        <v>132.18100000000001</v>
      </c>
      <c r="Y43" s="1">
        <v>4.9400000000000004</v>
      </c>
      <c r="Z43" s="1">
        <v>8.0150000000000006</v>
      </c>
      <c r="AA43" s="1">
        <v>21.7</v>
      </c>
      <c r="AB43" s="1">
        <v>290.5</v>
      </c>
      <c r="AC43" s="1">
        <v>12437</v>
      </c>
      <c r="AD43" s="1">
        <v>3050</v>
      </c>
      <c r="AE43" s="1">
        <v>268</v>
      </c>
      <c r="AF43" s="1">
        <v>21</v>
      </c>
      <c r="AG43" s="1">
        <v>21</v>
      </c>
      <c r="AH43" s="1">
        <v>35.200000000000003</v>
      </c>
      <c r="AI43" s="1">
        <v>51.6</v>
      </c>
      <c r="AJ43" s="1">
        <v>13.3</v>
      </c>
      <c r="AK43" s="1">
        <v>79.8</v>
      </c>
      <c r="AL43" s="1">
        <v>31.9</v>
      </c>
      <c r="AM43" s="1">
        <v>8</v>
      </c>
      <c r="AN43" s="1">
        <v>0</v>
      </c>
      <c r="AO43" s="1">
        <v>0</v>
      </c>
      <c r="AP43" s="1" t="s">
        <v>266</v>
      </c>
      <c r="AQ43" s="1" t="s">
        <v>267</v>
      </c>
      <c r="AR43" s="1" t="s">
        <v>268</v>
      </c>
    </row>
    <row r="44" spans="1:44" x14ac:dyDescent="0.2">
      <c r="A44" s="1" t="s">
        <v>155</v>
      </c>
      <c r="B44" s="1" t="s">
        <v>265</v>
      </c>
      <c r="C44" s="1">
        <v>-29.4</v>
      </c>
      <c r="D44" s="1">
        <v>467528.6</v>
      </c>
      <c r="E44" s="1">
        <v>5960419.7000000002</v>
      </c>
      <c r="F44" s="1">
        <v>0</v>
      </c>
      <c r="G44" s="1">
        <v>-0.6</v>
      </c>
      <c r="H44" s="1">
        <v>0</v>
      </c>
      <c r="I44" s="1">
        <v>2</v>
      </c>
      <c r="J44" s="1">
        <v>0</v>
      </c>
      <c r="K44" s="1">
        <v>-58.6</v>
      </c>
      <c r="L44" s="1">
        <v>29.2</v>
      </c>
      <c r="M44" s="1">
        <v>1432.7070000000001</v>
      </c>
      <c r="N44" s="1">
        <v>84</v>
      </c>
      <c r="O44" s="1">
        <v>8</v>
      </c>
      <c r="P44" s="1">
        <v>10</v>
      </c>
      <c r="Q44" s="1">
        <v>2.86</v>
      </c>
      <c r="R44" s="1">
        <v>64</v>
      </c>
      <c r="S44" s="1">
        <v>110</v>
      </c>
      <c r="T44" s="1">
        <v>147</v>
      </c>
      <c r="U44" s="1">
        <v>1233.8040000000001</v>
      </c>
      <c r="V44" s="1">
        <v>430.87599999999998</v>
      </c>
      <c r="W44" s="1">
        <v>752.85199999999998</v>
      </c>
      <c r="X44" s="1">
        <v>132.18100000000001</v>
      </c>
      <c r="Y44" s="1">
        <v>4.9400000000000004</v>
      </c>
      <c r="Z44" s="1">
        <v>8.0150000000000006</v>
      </c>
      <c r="AA44" s="1">
        <v>21.7</v>
      </c>
      <c r="AB44" s="1">
        <v>290.5</v>
      </c>
      <c r="AC44" s="1">
        <v>12214</v>
      </c>
      <c r="AD44" s="1">
        <v>2839</v>
      </c>
      <c r="AE44" s="1">
        <v>268</v>
      </c>
      <c r="AF44" s="1">
        <v>19</v>
      </c>
      <c r="AG44" s="1">
        <v>19</v>
      </c>
      <c r="AH44" s="1">
        <v>37.200000000000003</v>
      </c>
      <c r="AI44" s="1">
        <v>50.2</v>
      </c>
      <c r="AJ44" s="1">
        <v>12.5</v>
      </c>
      <c r="AK44" s="1">
        <v>77.3</v>
      </c>
      <c r="AL44" s="1">
        <v>31.9</v>
      </c>
      <c r="AM44" s="1">
        <v>8</v>
      </c>
      <c r="AN44" s="1">
        <v>0</v>
      </c>
      <c r="AO44" s="1">
        <v>0</v>
      </c>
      <c r="AP44" s="1" t="s">
        <v>266</v>
      </c>
      <c r="AQ44" s="1" t="s">
        <v>267</v>
      </c>
      <c r="AR44" s="1" t="s">
        <v>268</v>
      </c>
    </row>
    <row r="45" spans="1:44" x14ac:dyDescent="0.2">
      <c r="A45" s="1" t="s">
        <v>22</v>
      </c>
      <c r="B45" s="1" t="s">
        <v>265</v>
      </c>
      <c r="C45" s="1">
        <v>-37.4</v>
      </c>
      <c r="D45" s="1">
        <v>483031.5</v>
      </c>
      <c r="E45" s="1">
        <v>5952290.2999999998</v>
      </c>
      <c r="F45" s="1">
        <v>0</v>
      </c>
      <c r="G45" s="1">
        <v>-0.6</v>
      </c>
      <c r="H45" s="1">
        <v>0</v>
      </c>
      <c r="I45" s="1">
        <v>2</v>
      </c>
      <c r="J45" s="1">
        <v>0</v>
      </c>
      <c r="K45" s="1">
        <v>-68.2</v>
      </c>
      <c r="L45" s="1">
        <v>30.8</v>
      </c>
      <c r="M45" s="1">
        <v>1764.319</v>
      </c>
      <c r="N45" s="1">
        <v>93.6</v>
      </c>
      <c r="O45" s="1">
        <v>8</v>
      </c>
      <c r="P45" s="1">
        <v>10</v>
      </c>
      <c r="Q45" s="1">
        <v>3.02</v>
      </c>
      <c r="R45" s="1">
        <v>68</v>
      </c>
      <c r="S45" s="1">
        <v>110</v>
      </c>
      <c r="T45" s="1">
        <v>147</v>
      </c>
      <c r="U45" s="1">
        <v>1419.8489999999999</v>
      </c>
      <c r="V45" s="1">
        <v>489.52300000000002</v>
      </c>
      <c r="W45" s="1">
        <v>752.85199999999998</v>
      </c>
      <c r="X45" s="1">
        <v>132.18100000000001</v>
      </c>
      <c r="Y45" s="1">
        <v>4.9400000000000004</v>
      </c>
      <c r="Z45" s="1">
        <v>8.0150000000000006</v>
      </c>
      <c r="AA45" s="1">
        <v>21.7</v>
      </c>
      <c r="AB45" s="1">
        <v>290.5</v>
      </c>
      <c r="AC45" s="1">
        <v>12808</v>
      </c>
      <c r="AD45" s="1">
        <v>3334</v>
      </c>
      <c r="AE45" s="1">
        <v>268</v>
      </c>
      <c r="AF45" s="1">
        <v>21</v>
      </c>
      <c r="AG45" s="1">
        <v>21</v>
      </c>
      <c r="AH45" s="1">
        <v>31</v>
      </c>
      <c r="AI45" s="1">
        <v>56.9</v>
      </c>
      <c r="AJ45" s="1">
        <v>12.1</v>
      </c>
      <c r="AK45" s="1">
        <v>84.2</v>
      </c>
      <c r="AL45" s="1">
        <v>31.9</v>
      </c>
      <c r="AM45" s="1">
        <v>8</v>
      </c>
      <c r="AN45" s="1">
        <v>0</v>
      </c>
      <c r="AO45" s="1">
        <v>0</v>
      </c>
      <c r="AP45" s="1" t="s">
        <v>266</v>
      </c>
      <c r="AQ45" s="1" t="s">
        <v>267</v>
      </c>
      <c r="AR45" s="1" t="s">
        <v>268</v>
      </c>
    </row>
    <row r="46" spans="1:44" x14ac:dyDescent="0.2">
      <c r="A46" s="1" t="s">
        <v>32</v>
      </c>
      <c r="B46" s="1" t="s">
        <v>265</v>
      </c>
      <c r="C46" s="1">
        <v>-35.700000000000003</v>
      </c>
      <c r="D46" s="1">
        <v>483981.9</v>
      </c>
      <c r="E46" s="1">
        <v>5954052.2999999998</v>
      </c>
      <c r="F46" s="1">
        <v>0</v>
      </c>
      <c r="G46" s="1">
        <v>-0.6</v>
      </c>
      <c r="H46" s="1">
        <v>0</v>
      </c>
      <c r="I46" s="1">
        <v>2</v>
      </c>
      <c r="J46" s="1">
        <v>0</v>
      </c>
      <c r="K46" s="1">
        <v>-66.900000000000006</v>
      </c>
      <c r="L46" s="1">
        <v>31.2</v>
      </c>
      <c r="M46" s="1">
        <v>1704.413</v>
      </c>
      <c r="N46" s="1">
        <v>92.3</v>
      </c>
      <c r="O46" s="1">
        <v>8</v>
      </c>
      <c r="P46" s="1">
        <v>10</v>
      </c>
      <c r="Q46" s="1">
        <v>3.06</v>
      </c>
      <c r="R46" s="1">
        <v>68</v>
      </c>
      <c r="S46" s="1">
        <v>110</v>
      </c>
      <c r="T46" s="1">
        <v>147</v>
      </c>
      <c r="U46" s="1">
        <v>1420.0630000000001</v>
      </c>
      <c r="V46" s="1">
        <v>421.96600000000001</v>
      </c>
      <c r="W46" s="1">
        <v>752.85199999999998</v>
      </c>
      <c r="X46" s="1">
        <v>132.18100000000001</v>
      </c>
      <c r="Y46" s="1">
        <v>4.9400000000000004</v>
      </c>
      <c r="Z46" s="1">
        <v>8.0150000000000006</v>
      </c>
      <c r="AA46" s="1">
        <v>21.7</v>
      </c>
      <c r="AB46" s="1">
        <v>290.5</v>
      </c>
      <c r="AC46" s="1">
        <v>12728</v>
      </c>
      <c r="AD46" s="1">
        <v>3229</v>
      </c>
      <c r="AE46" s="1">
        <v>268</v>
      </c>
      <c r="AF46" s="1">
        <v>21</v>
      </c>
      <c r="AG46" s="1">
        <v>21</v>
      </c>
      <c r="AH46" s="1">
        <v>32.200000000000003</v>
      </c>
      <c r="AI46" s="1">
        <v>55.1</v>
      </c>
      <c r="AJ46" s="1">
        <v>12.7</v>
      </c>
      <c r="AK46" s="1">
        <v>82.8</v>
      </c>
      <c r="AL46" s="1">
        <v>31.9</v>
      </c>
      <c r="AM46" s="1">
        <v>8</v>
      </c>
      <c r="AN46" s="1">
        <v>0</v>
      </c>
      <c r="AO46" s="1">
        <v>0</v>
      </c>
      <c r="AP46" s="1" t="s">
        <v>266</v>
      </c>
      <c r="AQ46" s="1" t="s">
        <v>267</v>
      </c>
      <c r="AR46" s="1" t="s">
        <v>268</v>
      </c>
    </row>
    <row r="47" spans="1:44" x14ac:dyDescent="0.2">
      <c r="A47" s="1" t="s">
        <v>101</v>
      </c>
      <c r="B47" s="1" t="s">
        <v>265</v>
      </c>
      <c r="C47" s="1">
        <v>-34.200000000000003</v>
      </c>
      <c r="D47" s="1">
        <v>483871</v>
      </c>
      <c r="E47" s="1">
        <v>5957410</v>
      </c>
      <c r="F47" s="1">
        <v>0</v>
      </c>
      <c r="G47" s="1">
        <v>-0.6</v>
      </c>
      <c r="H47" s="1">
        <v>0</v>
      </c>
      <c r="I47" s="1">
        <v>2</v>
      </c>
      <c r="J47" s="1">
        <v>0</v>
      </c>
      <c r="K47" s="1">
        <v>-62.5</v>
      </c>
      <c r="L47" s="1">
        <v>28.3</v>
      </c>
      <c r="M47" s="1">
        <v>1565.038</v>
      </c>
      <c r="N47" s="1">
        <v>87.9</v>
      </c>
      <c r="O47" s="1">
        <v>8</v>
      </c>
      <c r="P47" s="1">
        <v>10</v>
      </c>
      <c r="Q47" s="1">
        <v>2.77</v>
      </c>
      <c r="R47" s="1">
        <v>68</v>
      </c>
      <c r="S47" s="1">
        <v>110</v>
      </c>
      <c r="T47" s="1">
        <v>147</v>
      </c>
      <c r="U47" s="1">
        <v>1295.7180000000001</v>
      </c>
      <c r="V47" s="1">
        <v>542.25099999999998</v>
      </c>
      <c r="W47" s="1">
        <v>752.85199999999998</v>
      </c>
      <c r="X47" s="1">
        <v>132.18100000000001</v>
      </c>
      <c r="Y47" s="1">
        <v>4.9400000000000004</v>
      </c>
      <c r="Z47" s="1">
        <v>8.0150000000000006</v>
      </c>
      <c r="AA47" s="1">
        <v>21.7</v>
      </c>
      <c r="AB47" s="1">
        <v>290.5</v>
      </c>
      <c r="AC47" s="1">
        <v>12455</v>
      </c>
      <c r="AD47" s="1">
        <v>3137</v>
      </c>
      <c r="AE47" s="1">
        <v>268</v>
      </c>
      <c r="AF47" s="1">
        <v>19</v>
      </c>
      <c r="AG47" s="1">
        <v>19</v>
      </c>
      <c r="AH47" s="1">
        <v>34.9</v>
      </c>
      <c r="AI47" s="1">
        <v>51.9</v>
      </c>
      <c r="AJ47" s="1">
        <v>13.2</v>
      </c>
      <c r="AK47" s="1">
        <v>80.3</v>
      </c>
      <c r="AL47" s="1">
        <v>31.9</v>
      </c>
      <c r="AM47" s="1">
        <v>8</v>
      </c>
      <c r="AN47" s="1">
        <v>0</v>
      </c>
      <c r="AO47" s="1">
        <v>0</v>
      </c>
      <c r="AP47" s="1" t="s">
        <v>266</v>
      </c>
      <c r="AQ47" s="1" t="s">
        <v>267</v>
      </c>
      <c r="AR47" s="1" t="s">
        <v>268</v>
      </c>
    </row>
    <row r="48" spans="1:44" x14ac:dyDescent="0.2">
      <c r="A48" s="1" t="s">
        <v>192</v>
      </c>
      <c r="B48" s="1" t="s">
        <v>271</v>
      </c>
      <c r="C48" s="1">
        <v>-48.7</v>
      </c>
      <c r="D48" s="1">
        <v>483074</v>
      </c>
      <c r="E48" s="1">
        <v>5961784</v>
      </c>
      <c r="F48" s="1">
        <v>0</v>
      </c>
      <c r="G48" s="1">
        <v>-0.7</v>
      </c>
      <c r="H48" s="1">
        <v>0</v>
      </c>
      <c r="I48" s="1">
        <v>2</v>
      </c>
      <c r="J48" s="1">
        <v>0</v>
      </c>
      <c r="K48" s="1">
        <v>-80.5</v>
      </c>
      <c r="L48" s="1">
        <v>31.8</v>
      </c>
      <c r="M48" s="1">
        <v>2316.0819999999999</v>
      </c>
      <c r="N48" s="1">
        <v>105.9</v>
      </c>
      <c r="O48" s="1">
        <v>8</v>
      </c>
      <c r="P48" s="1">
        <v>11</v>
      </c>
      <c r="Q48" s="1">
        <v>2.8273000000000001</v>
      </c>
      <c r="R48" s="1">
        <v>70</v>
      </c>
      <c r="S48" s="1">
        <v>117</v>
      </c>
      <c r="T48" s="1">
        <v>149</v>
      </c>
      <c r="U48" s="1">
        <v>1711.489</v>
      </c>
      <c r="V48" s="1">
        <v>335.19499999999999</v>
      </c>
      <c r="W48" s="1">
        <v>752.85199999999998</v>
      </c>
      <c r="X48" s="1">
        <v>132.18100000000001</v>
      </c>
      <c r="Y48" s="1">
        <v>4.9400000000000004</v>
      </c>
      <c r="Z48" s="1">
        <v>8.0150000000000006</v>
      </c>
      <c r="AA48" s="1">
        <v>21.7</v>
      </c>
      <c r="AB48" s="1">
        <v>290.5</v>
      </c>
      <c r="AC48" s="1">
        <v>13946</v>
      </c>
      <c r="AD48" s="1">
        <v>4229</v>
      </c>
      <c r="AE48" s="1">
        <v>268</v>
      </c>
      <c r="AF48" s="1">
        <v>23</v>
      </c>
      <c r="AG48" s="1">
        <v>23</v>
      </c>
      <c r="AH48" s="1">
        <v>25.3</v>
      </c>
      <c r="AI48" s="1">
        <v>60.8</v>
      </c>
      <c r="AJ48" s="1">
        <v>13.8</v>
      </c>
      <c r="AK48" s="1">
        <v>91</v>
      </c>
      <c r="AL48" s="1">
        <v>31.9</v>
      </c>
      <c r="AM48" s="1">
        <v>8</v>
      </c>
      <c r="AN48" s="1">
        <v>0</v>
      </c>
      <c r="AO48" s="1">
        <v>0</v>
      </c>
      <c r="AP48" s="1" t="s">
        <v>270</v>
      </c>
      <c r="AQ48" s="1" t="s">
        <v>267</v>
      </c>
      <c r="AR48" s="1" t="s">
        <v>268</v>
      </c>
    </row>
    <row r="49" spans="1:44" x14ac:dyDescent="0.2">
      <c r="A49" s="1" t="s">
        <v>130</v>
      </c>
      <c r="B49" s="1" t="s">
        <v>271</v>
      </c>
      <c r="C49" s="1">
        <v>-31.9</v>
      </c>
      <c r="D49" s="1">
        <v>481864.2</v>
      </c>
      <c r="E49" s="1">
        <v>5966688</v>
      </c>
      <c r="F49" s="1">
        <v>0</v>
      </c>
      <c r="G49" s="1">
        <v>-0.6</v>
      </c>
      <c r="H49" s="1">
        <v>0</v>
      </c>
      <c r="I49" s="1">
        <v>2</v>
      </c>
      <c r="J49" s="1">
        <v>0</v>
      </c>
      <c r="K49" s="1">
        <v>-60.7</v>
      </c>
      <c r="L49" s="1">
        <v>28.8</v>
      </c>
      <c r="M49" s="1">
        <v>1486.3489999999999</v>
      </c>
      <c r="N49" s="1">
        <v>86.1</v>
      </c>
      <c r="O49" s="1">
        <v>8</v>
      </c>
      <c r="P49" s="1">
        <v>10</v>
      </c>
      <c r="Q49" s="1">
        <v>2.82</v>
      </c>
      <c r="R49" s="1">
        <v>68</v>
      </c>
      <c r="S49" s="1">
        <v>110</v>
      </c>
      <c r="T49" s="1">
        <v>147</v>
      </c>
      <c r="U49" s="1">
        <v>1296.0329999999999</v>
      </c>
      <c r="V49" s="1">
        <v>555.572</v>
      </c>
      <c r="W49" s="1">
        <v>752.85199999999998</v>
      </c>
      <c r="X49" s="1">
        <v>132.18100000000001</v>
      </c>
      <c r="Y49" s="1">
        <v>4.9400000000000004</v>
      </c>
      <c r="Z49" s="1">
        <v>8.0150000000000006</v>
      </c>
      <c r="AA49" s="1">
        <v>21.7</v>
      </c>
      <c r="AB49" s="1">
        <v>290.5</v>
      </c>
      <c r="AC49" s="1">
        <v>12344</v>
      </c>
      <c r="AD49" s="1">
        <v>2994</v>
      </c>
      <c r="AE49" s="1">
        <v>268</v>
      </c>
      <c r="AF49" s="1">
        <v>19</v>
      </c>
      <c r="AG49" s="1">
        <v>19</v>
      </c>
      <c r="AH49" s="1">
        <v>36.299999999999997</v>
      </c>
      <c r="AI49" s="1">
        <v>50.5</v>
      </c>
      <c r="AJ49" s="1">
        <v>13.1</v>
      </c>
      <c r="AK49" s="1">
        <v>78.099999999999994</v>
      </c>
      <c r="AL49" s="1">
        <v>31.9</v>
      </c>
      <c r="AM49" s="1">
        <v>8</v>
      </c>
      <c r="AN49" s="1">
        <v>0</v>
      </c>
      <c r="AO49" s="1">
        <v>0</v>
      </c>
      <c r="AP49" s="1" t="s">
        <v>266</v>
      </c>
      <c r="AQ49" s="1" t="s">
        <v>267</v>
      </c>
      <c r="AR49" s="1" t="s">
        <v>268</v>
      </c>
    </row>
    <row r="50" spans="1:44" x14ac:dyDescent="0.2">
      <c r="A50" s="1" t="s">
        <v>92</v>
      </c>
      <c r="B50" s="1" t="s">
        <v>265</v>
      </c>
      <c r="C50" s="1">
        <v>-34.4</v>
      </c>
      <c r="D50" s="1">
        <v>480966.6</v>
      </c>
      <c r="E50" s="1">
        <v>5970941.2999999998</v>
      </c>
      <c r="F50" s="1">
        <v>0</v>
      </c>
      <c r="G50" s="1">
        <v>-0.7</v>
      </c>
      <c r="H50" s="1">
        <v>0</v>
      </c>
      <c r="I50" s="1">
        <v>2</v>
      </c>
      <c r="J50" s="1">
        <v>0</v>
      </c>
      <c r="K50" s="1">
        <v>-63.3</v>
      </c>
      <c r="L50" s="1">
        <v>28.9</v>
      </c>
      <c r="M50" s="1">
        <v>1604.5740000000001</v>
      </c>
      <c r="N50" s="1">
        <v>88.7</v>
      </c>
      <c r="O50" s="1">
        <v>8</v>
      </c>
      <c r="P50" s="1">
        <v>10</v>
      </c>
      <c r="Q50" s="1">
        <v>2.82</v>
      </c>
      <c r="R50" s="1">
        <v>68</v>
      </c>
      <c r="S50" s="1">
        <v>110</v>
      </c>
      <c r="T50" s="1">
        <v>147</v>
      </c>
      <c r="U50" s="1">
        <v>1295.5930000000001</v>
      </c>
      <c r="V50" s="1">
        <v>546.76300000000003</v>
      </c>
      <c r="W50" s="1">
        <v>752.85199999999998</v>
      </c>
      <c r="X50" s="1">
        <v>132.18100000000001</v>
      </c>
      <c r="Y50" s="1">
        <v>4.9400000000000004</v>
      </c>
      <c r="Z50" s="1">
        <v>8.0150000000000006</v>
      </c>
      <c r="AA50" s="1">
        <v>21.7</v>
      </c>
      <c r="AB50" s="1">
        <v>290.5</v>
      </c>
      <c r="AC50" s="1">
        <v>12504</v>
      </c>
      <c r="AD50" s="1">
        <v>3149</v>
      </c>
      <c r="AE50" s="1">
        <v>268</v>
      </c>
      <c r="AF50" s="1">
        <v>19</v>
      </c>
      <c r="AG50" s="1">
        <v>19</v>
      </c>
      <c r="AH50" s="1">
        <v>34.1</v>
      </c>
      <c r="AI50" s="1">
        <v>52.6</v>
      </c>
      <c r="AJ50" s="1">
        <v>13.3</v>
      </c>
      <c r="AK50" s="1">
        <v>81.5</v>
      </c>
      <c r="AL50" s="1">
        <v>31.9</v>
      </c>
      <c r="AM50" s="1">
        <v>8</v>
      </c>
      <c r="AN50" s="1">
        <v>0</v>
      </c>
      <c r="AO50" s="1">
        <v>0</v>
      </c>
      <c r="AP50" s="1" t="s">
        <v>266</v>
      </c>
      <c r="AQ50" s="1" t="s">
        <v>267</v>
      </c>
      <c r="AR50" s="1" t="s">
        <v>268</v>
      </c>
    </row>
    <row r="51" spans="1:44" x14ac:dyDescent="0.2">
      <c r="A51" s="1" t="s">
        <v>83</v>
      </c>
      <c r="B51" s="1" t="s">
        <v>269</v>
      </c>
      <c r="C51" s="1">
        <v>-35.700000000000003</v>
      </c>
      <c r="D51" s="1">
        <v>458281.5</v>
      </c>
      <c r="E51" s="1">
        <v>5965690.2000000002</v>
      </c>
      <c r="F51" s="1">
        <v>0</v>
      </c>
      <c r="G51" s="1">
        <v>-0.7</v>
      </c>
      <c r="H51" s="1">
        <v>0</v>
      </c>
      <c r="I51" s="1">
        <v>2</v>
      </c>
      <c r="J51" s="1">
        <v>0</v>
      </c>
      <c r="K51" s="1">
        <v>-63.2</v>
      </c>
      <c r="L51" s="1">
        <v>27.5</v>
      </c>
      <c r="M51" s="1">
        <v>1633.6990000000001</v>
      </c>
      <c r="N51" s="1">
        <v>88.6</v>
      </c>
      <c r="O51" s="1">
        <v>8</v>
      </c>
      <c r="P51" s="1">
        <v>10</v>
      </c>
      <c r="Q51" s="1">
        <v>2.68</v>
      </c>
      <c r="R51" s="1">
        <v>68</v>
      </c>
      <c r="S51" s="1">
        <v>110</v>
      </c>
      <c r="T51" s="1">
        <v>147</v>
      </c>
      <c r="U51" s="1">
        <v>1295.4169999999999</v>
      </c>
      <c r="V51" s="1">
        <v>490.12599999999998</v>
      </c>
      <c r="W51" s="1">
        <v>752.85199999999998</v>
      </c>
      <c r="X51" s="1">
        <v>132.18100000000001</v>
      </c>
      <c r="Y51" s="1">
        <v>4.9400000000000004</v>
      </c>
      <c r="Z51" s="1">
        <v>8.0150000000000006</v>
      </c>
      <c r="AA51" s="1">
        <v>21.7</v>
      </c>
      <c r="AB51" s="1">
        <v>290.5</v>
      </c>
      <c r="AC51" s="1">
        <v>12497</v>
      </c>
      <c r="AD51" s="1">
        <v>3229</v>
      </c>
      <c r="AE51" s="1">
        <v>268</v>
      </c>
      <c r="AF51" s="1">
        <v>19</v>
      </c>
      <c r="AG51" s="1">
        <v>19</v>
      </c>
      <c r="AH51" s="1">
        <v>33.6</v>
      </c>
      <c r="AI51" s="1">
        <v>53.1</v>
      </c>
      <c r="AJ51" s="1">
        <v>13.3</v>
      </c>
      <c r="AK51" s="1">
        <v>83</v>
      </c>
      <c r="AL51" s="1">
        <v>31.9</v>
      </c>
      <c r="AM51" s="1">
        <v>8</v>
      </c>
      <c r="AN51" s="1">
        <v>0</v>
      </c>
      <c r="AO51" s="1">
        <v>0</v>
      </c>
      <c r="AP51" s="1" t="s">
        <v>266</v>
      </c>
      <c r="AQ51" s="1" t="s">
        <v>267</v>
      </c>
      <c r="AR51" s="1" t="s">
        <v>268</v>
      </c>
    </row>
    <row r="52" spans="1:44" x14ac:dyDescent="0.2">
      <c r="A52" s="1" t="s">
        <v>178</v>
      </c>
      <c r="B52" s="1" t="s">
        <v>265</v>
      </c>
      <c r="C52" s="1">
        <v>-36.5</v>
      </c>
      <c r="D52" s="1">
        <v>460741</v>
      </c>
      <c r="E52" s="1">
        <v>5964870</v>
      </c>
      <c r="F52" s="1">
        <v>0</v>
      </c>
      <c r="G52" s="1">
        <v>-0.7</v>
      </c>
      <c r="H52" s="1">
        <v>0</v>
      </c>
      <c r="I52" s="1">
        <v>2</v>
      </c>
      <c r="J52" s="1">
        <v>0</v>
      </c>
      <c r="K52" s="1">
        <v>-69.2</v>
      </c>
      <c r="L52" s="1">
        <v>32.700000000000003</v>
      </c>
      <c r="M52" s="1">
        <v>1737.62</v>
      </c>
      <c r="N52" s="1">
        <v>94.6</v>
      </c>
      <c r="O52" s="1">
        <v>8</v>
      </c>
      <c r="P52" s="1">
        <v>10.5</v>
      </c>
      <c r="Q52" s="1">
        <v>3.0476000000000001</v>
      </c>
      <c r="R52" s="1">
        <v>70</v>
      </c>
      <c r="S52" s="1">
        <v>112</v>
      </c>
      <c r="T52" s="1">
        <v>146</v>
      </c>
      <c r="U52" s="1">
        <v>1406.46</v>
      </c>
      <c r="V52" s="1">
        <v>388.72800000000001</v>
      </c>
      <c r="W52" s="1">
        <v>752.85199999999998</v>
      </c>
      <c r="X52" s="1">
        <v>132.18100000000001</v>
      </c>
      <c r="Y52" s="1">
        <v>4.9400000000000004</v>
      </c>
      <c r="Z52" s="1">
        <v>8.0150000000000006</v>
      </c>
      <c r="AA52" s="1">
        <v>21.7</v>
      </c>
      <c r="AB52" s="1">
        <v>290.5</v>
      </c>
      <c r="AC52" s="1">
        <v>13030</v>
      </c>
      <c r="AD52" s="1">
        <v>3343</v>
      </c>
      <c r="AE52" s="1">
        <v>268</v>
      </c>
      <c r="AF52" s="1">
        <v>23</v>
      </c>
      <c r="AG52" s="1">
        <v>23</v>
      </c>
      <c r="AH52" s="1">
        <v>31.9</v>
      </c>
      <c r="AI52" s="1">
        <v>53.8</v>
      </c>
      <c r="AJ52" s="1">
        <v>14.3</v>
      </c>
      <c r="AK52" s="1">
        <v>80.099999999999994</v>
      </c>
      <c r="AL52" s="1">
        <v>31.9</v>
      </c>
      <c r="AM52" s="1">
        <v>8</v>
      </c>
      <c r="AN52" s="1">
        <v>0</v>
      </c>
      <c r="AO52" s="1">
        <v>0</v>
      </c>
      <c r="AP52" s="1" t="s">
        <v>270</v>
      </c>
      <c r="AQ52" s="1" t="s">
        <v>267</v>
      </c>
      <c r="AR52" s="1" t="s">
        <v>268</v>
      </c>
    </row>
    <row r="53" spans="1:44" x14ac:dyDescent="0.2">
      <c r="A53" s="1" t="s">
        <v>47</v>
      </c>
      <c r="B53" s="1" t="s">
        <v>269</v>
      </c>
      <c r="C53" s="1">
        <v>-35</v>
      </c>
      <c r="D53" s="1">
        <v>463727.4</v>
      </c>
      <c r="E53" s="1">
        <v>5963253.4000000004</v>
      </c>
      <c r="F53" s="1">
        <v>0</v>
      </c>
      <c r="G53" s="1">
        <v>-0.6</v>
      </c>
      <c r="H53" s="1">
        <v>0</v>
      </c>
      <c r="I53" s="1">
        <v>2</v>
      </c>
      <c r="J53" s="1">
        <v>0</v>
      </c>
      <c r="K53" s="1">
        <v>-66.099999999999994</v>
      </c>
      <c r="L53" s="1">
        <v>31.1</v>
      </c>
      <c r="M53" s="1">
        <v>1664.336</v>
      </c>
      <c r="N53" s="1">
        <v>91.5</v>
      </c>
      <c r="O53" s="1">
        <v>8</v>
      </c>
      <c r="P53" s="1">
        <v>10</v>
      </c>
      <c r="Q53" s="1">
        <v>3.05</v>
      </c>
      <c r="R53" s="1">
        <v>68</v>
      </c>
      <c r="S53" s="1">
        <v>110</v>
      </c>
      <c r="T53" s="1">
        <v>147</v>
      </c>
      <c r="U53" s="1">
        <v>1420.2260000000001</v>
      </c>
      <c r="V53" s="1">
        <v>453.43200000000002</v>
      </c>
      <c r="W53" s="1">
        <v>752.85199999999998</v>
      </c>
      <c r="X53" s="1">
        <v>132.18100000000001</v>
      </c>
      <c r="Y53" s="1">
        <v>4.9400000000000004</v>
      </c>
      <c r="Z53" s="1">
        <v>8.0150000000000006</v>
      </c>
      <c r="AA53" s="1">
        <v>21.7</v>
      </c>
      <c r="AB53" s="1">
        <v>290.5</v>
      </c>
      <c r="AC53" s="1">
        <v>12679</v>
      </c>
      <c r="AD53" s="1">
        <v>3186</v>
      </c>
      <c r="AE53" s="1">
        <v>268</v>
      </c>
      <c r="AF53" s="1">
        <v>21</v>
      </c>
      <c r="AG53" s="1">
        <v>21</v>
      </c>
      <c r="AH53" s="1">
        <v>32.9</v>
      </c>
      <c r="AI53" s="1">
        <v>54.1</v>
      </c>
      <c r="AJ53" s="1">
        <v>13</v>
      </c>
      <c r="AK53" s="1">
        <v>81.7</v>
      </c>
      <c r="AL53" s="1">
        <v>31.9</v>
      </c>
      <c r="AM53" s="1">
        <v>8</v>
      </c>
      <c r="AN53" s="1">
        <v>0</v>
      </c>
      <c r="AO53" s="1">
        <v>0</v>
      </c>
      <c r="AP53" s="1" t="s">
        <v>266</v>
      </c>
      <c r="AQ53" s="1" t="s">
        <v>267</v>
      </c>
      <c r="AR53" s="1" t="s">
        <v>268</v>
      </c>
    </row>
    <row r="54" spans="1:44" x14ac:dyDescent="0.2">
      <c r="A54" s="1" t="s">
        <v>138</v>
      </c>
      <c r="B54" s="1" t="s">
        <v>269</v>
      </c>
      <c r="C54" s="1">
        <v>-31.1</v>
      </c>
      <c r="D54" s="1">
        <v>466748.9</v>
      </c>
      <c r="E54" s="1">
        <v>5961671.7999999998</v>
      </c>
      <c r="F54" s="1">
        <v>0</v>
      </c>
      <c r="G54" s="1">
        <v>-0.7</v>
      </c>
      <c r="H54" s="1">
        <v>0</v>
      </c>
      <c r="I54" s="1">
        <v>2</v>
      </c>
      <c r="J54" s="1">
        <v>0</v>
      </c>
      <c r="K54" s="1">
        <v>-60.7</v>
      </c>
      <c r="L54" s="1">
        <v>29.6</v>
      </c>
      <c r="M54" s="1">
        <v>1474.922</v>
      </c>
      <c r="N54" s="1">
        <v>86.1</v>
      </c>
      <c r="O54" s="1">
        <v>8</v>
      </c>
      <c r="P54" s="1">
        <v>10</v>
      </c>
      <c r="Q54" s="1">
        <v>2.89</v>
      </c>
      <c r="R54" s="1">
        <v>68</v>
      </c>
      <c r="S54" s="1">
        <v>110</v>
      </c>
      <c r="T54" s="1">
        <v>147</v>
      </c>
      <c r="U54" s="1">
        <v>1296.1210000000001</v>
      </c>
      <c r="V54" s="1">
        <v>549.351</v>
      </c>
      <c r="W54" s="1">
        <v>752.85199999999998</v>
      </c>
      <c r="X54" s="1">
        <v>132.18100000000001</v>
      </c>
      <c r="Y54" s="1">
        <v>4.9400000000000004</v>
      </c>
      <c r="Z54" s="1">
        <v>8.0150000000000006</v>
      </c>
      <c r="AA54" s="1">
        <v>21.7</v>
      </c>
      <c r="AB54" s="1">
        <v>290.5</v>
      </c>
      <c r="AC54" s="1">
        <v>12344</v>
      </c>
      <c r="AD54" s="1">
        <v>2945</v>
      </c>
      <c r="AE54" s="1">
        <v>268</v>
      </c>
      <c r="AF54" s="1">
        <v>21</v>
      </c>
      <c r="AG54" s="1">
        <v>21</v>
      </c>
      <c r="AH54" s="1">
        <v>36.4</v>
      </c>
      <c r="AI54" s="1">
        <v>51</v>
      </c>
      <c r="AJ54" s="1">
        <v>12.6</v>
      </c>
      <c r="AK54" s="1">
        <v>77.5</v>
      </c>
      <c r="AL54" s="1">
        <v>31.9</v>
      </c>
      <c r="AM54" s="1">
        <v>8</v>
      </c>
      <c r="AN54" s="1">
        <v>0</v>
      </c>
      <c r="AO54" s="1">
        <v>0</v>
      </c>
      <c r="AP54" s="1" t="s">
        <v>266</v>
      </c>
      <c r="AQ54" s="1" t="s">
        <v>267</v>
      </c>
      <c r="AR54" s="1" t="s">
        <v>268</v>
      </c>
    </row>
    <row r="55" spans="1:44" x14ac:dyDescent="0.2">
      <c r="A55" s="1" t="s">
        <v>161</v>
      </c>
      <c r="B55" s="1" t="s">
        <v>265</v>
      </c>
      <c r="C55" s="1">
        <v>-28.9</v>
      </c>
      <c r="D55" s="1">
        <v>470584.2</v>
      </c>
      <c r="E55" s="1">
        <v>5958839.5999999996</v>
      </c>
      <c r="F55" s="1">
        <v>0</v>
      </c>
      <c r="G55" s="1">
        <v>-0.7</v>
      </c>
      <c r="H55" s="1">
        <v>0</v>
      </c>
      <c r="I55" s="1">
        <v>2</v>
      </c>
      <c r="J55" s="1">
        <v>0</v>
      </c>
      <c r="K55" s="1">
        <v>-57.8</v>
      </c>
      <c r="L55" s="1">
        <v>28.9</v>
      </c>
      <c r="M55" s="1">
        <v>1416.875</v>
      </c>
      <c r="N55" s="1">
        <v>83.2</v>
      </c>
      <c r="O55" s="1">
        <v>8</v>
      </c>
      <c r="P55" s="1">
        <v>10</v>
      </c>
      <c r="Q55" s="1">
        <v>2.82</v>
      </c>
      <c r="R55" s="1">
        <v>64</v>
      </c>
      <c r="S55" s="1">
        <v>110</v>
      </c>
      <c r="T55" s="1">
        <v>147</v>
      </c>
      <c r="U55" s="1">
        <v>1233.7909999999999</v>
      </c>
      <c r="V55" s="1">
        <v>430.87599999999998</v>
      </c>
      <c r="W55" s="1">
        <v>752.85199999999998</v>
      </c>
      <c r="X55" s="1">
        <v>132.18100000000001</v>
      </c>
      <c r="Y55" s="1">
        <v>4.9400000000000004</v>
      </c>
      <c r="Z55" s="1">
        <v>8.0150000000000006</v>
      </c>
      <c r="AA55" s="1">
        <v>21.7</v>
      </c>
      <c r="AB55" s="1">
        <v>290.5</v>
      </c>
      <c r="AC55" s="1">
        <v>12164</v>
      </c>
      <c r="AD55" s="1">
        <v>2808</v>
      </c>
      <c r="AE55" s="1">
        <v>268</v>
      </c>
      <c r="AF55" s="1">
        <v>19</v>
      </c>
      <c r="AG55" s="1">
        <v>19</v>
      </c>
      <c r="AH55" s="1">
        <v>37.700000000000003</v>
      </c>
      <c r="AI55" s="1">
        <v>49.6</v>
      </c>
      <c r="AJ55" s="1">
        <v>12.7</v>
      </c>
      <c r="AK55" s="1">
        <v>77.2</v>
      </c>
      <c r="AL55" s="1">
        <v>31.9</v>
      </c>
      <c r="AM55" s="1">
        <v>8</v>
      </c>
      <c r="AN55" s="1">
        <v>0</v>
      </c>
      <c r="AO55" s="1">
        <v>0</v>
      </c>
      <c r="AP55" s="1" t="s">
        <v>266</v>
      </c>
      <c r="AQ55" s="1" t="s">
        <v>267</v>
      </c>
      <c r="AR55" s="1" t="s">
        <v>268</v>
      </c>
    </row>
    <row r="56" spans="1:44" x14ac:dyDescent="0.2">
      <c r="A56" s="1" t="s">
        <v>124</v>
      </c>
      <c r="B56" s="1" t="s">
        <v>265</v>
      </c>
      <c r="C56" s="1">
        <v>-31</v>
      </c>
      <c r="D56" s="1">
        <v>473709.7</v>
      </c>
      <c r="E56" s="1">
        <v>5957180.4000000004</v>
      </c>
      <c r="F56" s="1">
        <v>0</v>
      </c>
      <c r="G56" s="1">
        <v>-0.7</v>
      </c>
      <c r="H56" s="1">
        <v>0</v>
      </c>
      <c r="I56" s="1">
        <v>2</v>
      </c>
      <c r="J56" s="1">
        <v>0</v>
      </c>
      <c r="K56" s="1">
        <v>-61.4</v>
      </c>
      <c r="L56" s="1">
        <v>30.4</v>
      </c>
      <c r="M56" s="1">
        <v>1497.2449999999999</v>
      </c>
      <c r="N56" s="1">
        <v>86.8</v>
      </c>
      <c r="O56" s="1">
        <v>8</v>
      </c>
      <c r="P56" s="1">
        <v>10</v>
      </c>
      <c r="Q56" s="1">
        <v>2.97</v>
      </c>
      <c r="R56" s="1">
        <v>68</v>
      </c>
      <c r="S56" s="1">
        <v>110</v>
      </c>
      <c r="T56" s="1">
        <v>147</v>
      </c>
      <c r="U56" s="1">
        <v>1296.1210000000001</v>
      </c>
      <c r="V56" s="1">
        <v>611.75599999999997</v>
      </c>
      <c r="W56" s="1">
        <v>752.85199999999998</v>
      </c>
      <c r="X56" s="1">
        <v>132.18100000000001</v>
      </c>
      <c r="Y56" s="1">
        <v>4.9400000000000004</v>
      </c>
      <c r="Z56" s="1">
        <v>8.0150000000000006</v>
      </c>
      <c r="AA56" s="1">
        <v>21.7</v>
      </c>
      <c r="AB56" s="1">
        <v>290.5</v>
      </c>
      <c r="AC56" s="1">
        <v>12388</v>
      </c>
      <c r="AD56" s="1">
        <v>2938</v>
      </c>
      <c r="AE56" s="1">
        <v>268</v>
      </c>
      <c r="AF56" s="1">
        <v>21</v>
      </c>
      <c r="AG56" s="1">
        <v>21</v>
      </c>
      <c r="AH56" s="1">
        <v>35.9</v>
      </c>
      <c r="AI56" s="1">
        <v>51.7</v>
      </c>
      <c r="AJ56" s="1">
        <v>12.5</v>
      </c>
      <c r="AK56" s="1">
        <v>77.900000000000006</v>
      </c>
      <c r="AL56" s="1">
        <v>31.9</v>
      </c>
      <c r="AM56" s="1">
        <v>8</v>
      </c>
      <c r="AN56" s="1">
        <v>0</v>
      </c>
      <c r="AO56" s="1">
        <v>0</v>
      </c>
      <c r="AP56" s="1" t="s">
        <v>266</v>
      </c>
      <c r="AQ56" s="1" t="s">
        <v>267</v>
      </c>
      <c r="AR56" s="1" t="s">
        <v>268</v>
      </c>
    </row>
    <row r="57" spans="1:44" x14ac:dyDescent="0.2">
      <c r="A57" s="1" t="s">
        <v>30</v>
      </c>
      <c r="B57" s="1" t="s">
        <v>265</v>
      </c>
      <c r="C57" s="1">
        <v>-36.4</v>
      </c>
      <c r="D57" s="1">
        <v>476832.1</v>
      </c>
      <c r="E57" s="1">
        <v>5955548.2000000002</v>
      </c>
      <c r="F57" s="1">
        <v>0</v>
      </c>
      <c r="G57" s="1">
        <v>-0.6</v>
      </c>
      <c r="H57" s="1">
        <v>0</v>
      </c>
      <c r="I57" s="1">
        <v>2</v>
      </c>
      <c r="J57" s="1">
        <v>0</v>
      </c>
      <c r="K57" s="1">
        <v>-65.400000000000006</v>
      </c>
      <c r="L57" s="1">
        <v>29</v>
      </c>
      <c r="M57" s="1">
        <v>1700.2819999999999</v>
      </c>
      <c r="N57" s="1">
        <v>90.8</v>
      </c>
      <c r="O57" s="1">
        <v>8</v>
      </c>
      <c r="P57" s="1">
        <v>10</v>
      </c>
      <c r="Q57" s="1">
        <v>2.84</v>
      </c>
      <c r="R57" s="1">
        <v>68</v>
      </c>
      <c r="S57" s="1">
        <v>110</v>
      </c>
      <c r="T57" s="1">
        <v>147</v>
      </c>
      <c r="U57" s="1">
        <v>1357.5450000000001</v>
      </c>
      <c r="V57" s="1">
        <v>483.642</v>
      </c>
      <c r="W57" s="1">
        <v>752.85199999999998</v>
      </c>
      <c r="X57" s="1">
        <v>132.18100000000001</v>
      </c>
      <c r="Y57" s="1">
        <v>4.9400000000000004</v>
      </c>
      <c r="Z57" s="1">
        <v>8.0150000000000006</v>
      </c>
      <c r="AA57" s="1">
        <v>21.7</v>
      </c>
      <c r="AB57" s="1">
        <v>290.5</v>
      </c>
      <c r="AC57" s="1">
        <v>12634</v>
      </c>
      <c r="AD57" s="1">
        <v>3272</v>
      </c>
      <c r="AE57" s="1">
        <v>268</v>
      </c>
      <c r="AF57" s="1">
        <v>19</v>
      </c>
      <c r="AG57" s="1">
        <v>19</v>
      </c>
      <c r="AH57" s="1">
        <v>32.299999999999997</v>
      </c>
      <c r="AI57" s="1">
        <v>54.8</v>
      </c>
      <c r="AJ57" s="1">
        <v>12.8</v>
      </c>
      <c r="AK57" s="1">
        <v>84</v>
      </c>
      <c r="AL57" s="1">
        <v>31.9</v>
      </c>
      <c r="AM57" s="1">
        <v>8</v>
      </c>
      <c r="AN57" s="1">
        <v>0</v>
      </c>
      <c r="AO57" s="1">
        <v>0</v>
      </c>
      <c r="AP57" s="1" t="s">
        <v>266</v>
      </c>
      <c r="AQ57" s="1" t="s">
        <v>267</v>
      </c>
      <c r="AR57" s="1" t="s">
        <v>268</v>
      </c>
    </row>
    <row r="58" spans="1:44" x14ac:dyDescent="0.2">
      <c r="A58" s="1" t="s">
        <v>58</v>
      </c>
      <c r="B58" s="1" t="s">
        <v>265</v>
      </c>
      <c r="C58" s="1">
        <v>-36</v>
      </c>
      <c r="D58" s="1">
        <v>479945.7</v>
      </c>
      <c r="E58" s="1">
        <v>5953911</v>
      </c>
      <c r="F58" s="1">
        <v>0</v>
      </c>
      <c r="G58" s="1">
        <v>-0.6</v>
      </c>
      <c r="H58" s="1">
        <v>0</v>
      </c>
      <c r="I58" s="1">
        <v>2</v>
      </c>
      <c r="J58" s="1">
        <v>0</v>
      </c>
      <c r="K58" s="1">
        <v>-65.3</v>
      </c>
      <c r="L58" s="1">
        <v>29.3</v>
      </c>
      <c r="M58" s="1">
        <v>1652.8969999999999</v>
      </c>
      <c r="N58" s="1">
        <v>90.7</v>
      </c>
      <c r="O58" s="1">
        <v>8</v>
      </c>
      <c r="P58" s="1">
        <v>10</v>
      </c>
      <c r="Q58" s="1">
        <v>2.87</v>
      </c>
      <c r="R58" s="1">
        <v>68</v>
      </c>
      <c r="S58" s="1">
        <v>110</v>
      </c>
      <c r="T58" s="1">
        <v>147</v>
      </c>
      <c r="U58" s="1">
        <v>1357.8340000000001</v>
      </c>
      <c r="V58" s="1">
        <v>459.22500000000002</v>
      </c>
      <c r="W58" s="1">
        <v>752.85199999999998</v>
      </c>
      <c r="X58" s="1">
        <v>132.18100000000001</v>
      </c>
      <c r="Y58" s="1">
        <v>4.9400000000000004</v>
      </c>
      <c r="Z58" s="1">
        <v>8.0150000000000006</v>
      </c>
      <c r="AA58" s="1">
        <v>21.7</v>
      </c>
      <c r="AB58" s="1">
        <v>290.5</v>
      </c>
      <c r="AC58" s="1">
        <v>12629</v>
      </c>
      <c r="AD58" s="1">
        <v>3248</v>
      </c>
      <c r="AE58" s="1">
        <v>268</v>
      </c>
      <c r="AF58" s="1">
        <v>19</v>
      </c>
      <c r="AG58" s="1">
        <v>19</v>
      </c>
      <c r="AH58" s="1">
        <v>33.1</v>
      </c>
      <c r="AI58" s="1">
        <v>53.8</v>
      </c>
      <c r="AJ58" s="1">
        <v>13</v>
      </c>
      <c r="AK58" s="1">
        <v>81.900000000000006</v>
      </c>
      <c r="AL58" s="1">
        <v>31.9</v>
      </c>
      <c r="AM58" s="1">
        <v>8</v>
      </c>
      <c r="AN58" s="1">
        <v>0</v>
      </c>
      <c r="AO58" s="1">
        <v>0</v>
      </c>
      <c r="AP58" s="1" t="s">
        <v>266</v>
      </c>
      <c r="AQ58" s="1" t="s">
        <v>267</v>
      </c>
      <c r="AR58" s="1" t="s">
        <v>268</v>
      </c>
    </row>
    <row r="59" spans="1:44" x14ac:dyDescent="0.2">
      <c r="A59" s="1" t="s">
        <v>38</v>
      </c>
      <c r="B59" s="1" t="s">
        <v>265</v>
      </c>
      <c r="C59" s="1">
        <v>-35.700000000000003</v>
      </c>
      <c r="D59" s="1">
        <v>482214.3</v>
      </c>
      <c r="E59" s="1">
        <v>5953603.5999999996</v>
      </c>
      <c r="F59" s="1">
        <v>0</v>
      </c>
      <c r="G59" s="1">
        <v>-0.6</v>
      </c>
      <c r="H59" s="1">
        <v>0</v>
      </c>
      <c r="I59" s="1">
        <v>2</v>
      </c>
      <c r="J59" s="1">
        <v>0</v>
      </c>
      <c r="K59" s="1">
        <v>-66.400000000000006</v>
      </c>
      <c r="L59" s="1">
        <v>30.7</v>
      </c>
      <c r="M59" s="1">
        <v>1699.905</v>
      </c>
      <c r="N59" s="1">
        <v>91.8</v>
      </c>
      <c r="O59" s="1">
        <v>8</v>
      </c>
      <c r="P59" s="1">
        <v>10</v>
      </c>
      <c r="Q59" s="1">
        <v>3.01</v>
      </c>
      <c r="R59" s="1">
        <v>68</v>
      </c>
      <c r="S59" s="1">
        <v>110</v>
      </c>
      <c r="T59" s="1">
        <v>147</v>
      </c>
      <c r="U59" s="1">
        <v>1420.05</v>
      </c>
      <c r="V59" s="1">
        <v>427.84699999999998</v>
      </c>
      <c r="W59" s="1">
        <v>752.85199999999998</v>
      </c>
      <c r="X59" s="1">
        <v>132.18100000000001</v>
      </c>
      <c r="Y59" s="1">
        <v>4.9400000000000004</v>
      </c>
      <c r="Z59" s="1">
        <v>8.0150000000000006</v>
      </c>
      <c r="AA59" s="1">
        <v>21.7</v>
      </c>
      <c r="AB59" s="1">
        <v>290.5</v>
      </c>
      <c r="AC59" s="1">
        <v>12697</v>
      </c>
      <c r="AD59" s="1">
        <v>3229</v>
      </c>
      <c r="AE59" s="1">
        <v>268</v>
      </c>
      <c r="AF59" s="1">
        <v>21</v>
      </c>
      <c r="AG59" s="1">
        <v>21</v>
      </c>
      <c r="AH59" s="1">
        <v>32.200000000000003</v>
      </c>
      <c r="AI59" s="1">
        <v>55.2</v>
      </c>
      <c r="AJ59" s="1">
        <v>12.6</v>
      </c>
      <c r="AK59" s="1">
        <v>83</v>
      </c>
      <c r="AL59" s="1">
        <v>31.9</v>
      </c>
      <c r="AM59" s="1">
        <v>8</v>
      </c>
      <c r="AN59" s="1">
        <v>0</v>
      </c>
      <c r="AO59" s="1">
        <v>0</v>
      </c>
      <c r="AP59" s="1" t="s">
        <v>266</v>
      </c>
      <c r="AQ59" s="1" t="s">
        <v>267</v>
      </c>
      <c r="AR59" s="1" t="s">
        <v>268</v>
      </c>
    </row>
    <row r="60" spans="1:44" x14ac:dyDescent="0.2">
      <c r="A60" s="1" t="s">
        <v>82</v>
      </c>
      <c r="B60" s="1" t="s">
        <v>269</v>
      </c>
      <c r="C60" s="1">
        <v>-33.799999999999997</v>
      </c>
      <c r="D60" s="1">
        <v>483010</v>
      </c>
      <c r="E60" s="1">
        <v>5955625</v>
      </c>
      <c r="F60" s="1">
        <v>0</v>
      </c>
      <c r="G60" s="1">
        <v>-0.6</v>
      </c>
      <c r="H60" s="1">
        <v>0</v>
      </c>
      <c r="I60" s="1">
        <v>2</v>
      </c>
      <c r="J60" s="1">
        <v>0</v>
      </c>
      <c r="K60" s="1">
        <v>-64</v>
      </c>
      <c r="L60" s="1">
        <v>30.2</v>
      </c>
      <c r="M60" s="1">
        <v>1592.0340000000001</v>
      </c>
      <c r="N60" s="1">
        <v>89.4</v>
      </c>
      <c r="O60" s="1">
        <v>8</v>
      </c>
      <c r="P60" s="1">
        <v>10</v>
      </c>
      <c r="Q60" s="1">
        <v>2.96</v>
      </c>
      <c r="R60" s="1">
        <v>68</v>
      </c>
      <c r="S60" s="1">
        <v>110</v>
      </c>
      <c r="T60" s="1">
        <v>147</v>
      </c>
      <c r="U60" s="1">
        <v>1358.085</v>
      </c>
      <c r="V60" s="1">
        <v>484.43400000000003</v>
      </c>
      <c r="W60" s="1">
        <v>752.85199999999998</v>
      </c>
      <c r="X60" s="1">
        <v>132.18100000000001</v>
      </c>
      <c r="Y60" s="1">
        <v>4.9400000000000004</v>
      </c>
      <c r="Z60" s="1">
        <v>8.0150000000000006</v>
      </c>
      <c r="AA60" s="1">
        <v>21.7</v>
      </c>
      <c r="AB60" s="1">
        <v>290.5</v>
      </c>
      <c r="AC60" s="1">
        <v>12549</v>
      </c>
      <c r="AD60" s="1">
        <v>3111</v>
      </c>
      <c r="AE60" s="1">
        <v>268</v>
      </c>
      <c r="AF60" s="1">
        <v>21</v>
      </c>
      <c r="AG60" s="1">
        <v>21</v>
      </c>
      <c r="AH60" s="1">
        <v>34.299999999999997</v>
      </c>
      <c r="AI60" s="1">
        <v>52.6</v>
      </c>
      <c r="AJ60" s="1">
        <v>13.1</v>
      </c>
      <c r="AK60" s="1">
        <v>80.2</v>
      </c>
      <c r="AL60" s="1">
        <v>31.9</v>
      </c>
      <c r="AM60" s="1">
        <v>8</v>
      </c>
      <c r="AN60" s="1">
        <v>0</v>
      </c>
      <c r="AO60" s="1">
        <v>0</v>
      </c>
      <c r="AP60" s="1" t="s">
        <v>266</v>
      </c>
      <c r="AQ60" s="1" t="s">
        <v>267</v>
      </c>
      <c r="AR60" s="1" t="s">
        <v>268</v>
      </c>
    </row>
    <row r="61" spans="1:44" x14ac:dyDescent="0.2">
      <c r="A61" s="1" t="s">
        <v>118</v>
      </c>
      <c r="B61" s="1" t="s">
        <v>271</v>
      </c>
      <c r="C61" s="1">
        <v>-31.7</v>
      </c>
      <c r="D61" s="1">
        <v>483080</v>
      </c>
      <c r="E61" s="1">
        <v>5958680</v>
      </c>
      <c r="F61" s="1">
        <v>0</v>
      </c>
      <c r="G61" s="1">
        <v>-0.7</v>
      </c>
      <c r="H61" s="1">
        <v>0</v>
      </c>
      <c r="I61" s="1">
        <v>2</v>
      </c>
      <c r="J61" s="1">
        <v>0</v>
      </c>
      <c r="K61" s="1">
        <v>-61.6</v>
      </c>
      <c r="L61" s="1">
        <v>29.9</v>
      </c>
      <c r="M61" s="1">
        <v>1505.12</v>
      </c>
      <c r="N61" s="1">
        <v>87</v>
      </c>
      <c r="O61" s="1">
        <v>8</v>
      </c>
      <c r="P61" s="1">
        <v>10</v>
      </c>
      <c r="Q61" s="1">
        <v>2.92</v>
      </c>
      <c r="R61" s="1">
        <v>68</v>
      </c>
      <c r="S61" s="1">
        <v>110</v>
      </c>
      <c r="T61" s="1">
        <v>147</v>
      </c>
      <c r="U61" s="1">
        <v>1296.02</v>
      </c>
      <c r="V61" s="1">
        <v>555.572</v>
      </c>
      <c r="W61" s="1">
        <v>752.85199999999998</v>
      </c>
      <c r="X61" s="1">
        <v>132.18100000000001</v>
      </c>
      <c r="Y61" s="1">
        <v>4.9400000000000004</v>
      </c>
      <c r="Z61" s="1">
        <v>8.0150000000000006</v>
      </c>
      <c r="AA61" s="1">
        <v>21.7</v>
      </c>
      <c r="AB61" s="1">
        <v>290.5</v>
      </c>
      <c r="AC61" s="1">
        <v>12400</v>
      </c>
      <c r="AD61" s="1">
        <v>2982</v>
      </c>
      <c r="AE61" s="1">
        <v>268</v>
      </c>
      <c r="AF61" s="1">
        <v>21</v>
      </c>
      <c r="AG61" s="1">
        <v>21</v>
      </c>
      <c r="AH61" s="1">
        <v>35.9</v>
      </c>
      <c r="AI61" s="1">
        <v>51.3</v>
      </c>
      <c r="AJ61" s="1">
        <v>12.8</v>
      </c>
      <c r="AK61" s="1">
        <v>78.2</v>
      </c>
      <c r="AL61" s="1">
        <v>31.9</v>
      </c>
      <c r="AM61" s="1">
        <v>8</v>
      </c>
      <c r="AN61" s="1">
        <v>0</v>
      </c>
      <c r="AO61" s="1">
        <v>0</v>
      </c>
      <c r="AP61" s="1" t="s">
        <v>266</v>
      </c>
      <c r="AQ61" s="1" t="s">
        <v>267</v>
      </c>
      <c r="AR61" s="1" t="s">
        <v>268</v>
      </c>
    </row>
    <row r="62" spans="1:44" x14ac:dyDescent="0.2">
      <c r="A62" s="1" t="s">
        <v>74</v>
      </c>
      <c r="B62" s="1" t="s">
        <v>271</v>
      </c>
      <c r="C62" s="1">
        <v>-35.4</v>
      </c>
      <c r="D62" s="1">
        <v>481215.8</v>
      </c>
      <c r="E62" s="1">
        <v>5964770</v>
      </c>
      <c r="F62" s="1">
        <v>0</v>
      </c>
      <c r="G62" s="1">
        <v>-0.6</v>
      </c>
      <c r="H62" s="1">
        <v>0</v>
      </c>
      <c r="I62" s="1">
        <v>2</v>
      </c>
      <c r="J62" s="1">
        <v>0</v>
      </c>
      <c r="K62" s="1">
        <v>-64</v>
      </c>
      <c r="L62" s="1">
        <v>28.6</v>
      </c>
      <c r="M62" s="1">
        <v>1620.414</v>
      </c>
      <c r="N62" s="1">
        <v>89.4</v>
      </c>
      <c r="O62" s="1">
        <v>8</v>
      </c>
      <c r="P62" s="1">
        <v>10</v>
      </c>
      <c r="Q62" s="1">
        <v>2.8</v>
      </c>
      <c r="R62" s="1">
        <v>68</v>
      </c>
      <c r="S62" s="1">
        <v>110</v>
      </c>
      <c r="T62" s="1">
        <v>147</v>
      </c>
      <c r="U62" s="1">
        <v>1357.884</v>
      </c>
      <c r="V62" s="1">
        <v>521.59199999999998</v>
      </c>
      <c r="W62" s="1">
        <v>752.85199999999998</v>
      </c>
      <c r="X62" s="1">
        <v>132.18100000000001</v>
      </c>
      <c r="Y62" s="1">
        <v>4.9400000000000004</v>
      </c>
      <c r="Z62" s="1">
        <v>8.0150000000000006</v>
      </c>
      <c r="AA62" s="1">
        <v>21.7</v>
      </c>
      <c r="AB62" s="1">
        <v>290.5</v>
      </c>
      <c r="AC62" s="1">
        <v>12548</v>
      </c>
      <c r="AD62" s="1">
        <v>3211</v>
      </c>
      <c r="AE62" s="1">
        <v>268</v>
      </c>
      <c r="AF62" s="1">
        <v>19</v>
      </c>
      <c r="AG62" s="1">
        <v>19</v>
      </c>
      <c r="AH62" s="1">
        <v>33.799999999999997</v>
      </c>
      <c r="AI62" s="1">
        <v>52.9</v>
      </c>
      <c r="AJ62" s="1">
        <v>13.3</v>
      </c>
      <c r="AK62" s="1">
        <v>81.599999999999994</v>
      </c>
      <c r="AL62" s="1">
        <v>31.9</v>
      </c>
      <c r="AM62" s="1">
        <v>8</v>
      </c>
      <c r="AN62" s="1">
        <v>0</v>
      </c>
      <c r="AO62" s="1">
        <v>0</v>
      </c>
      <c r="AP62" s="1" t="s">
        <v>266</v>
      </c>
      <c r="AQ62" s="1" t="s">
        <v>267</v>
      </c>
      <c r="AR62" s="1" t="s">
        <v>268</v>
      </c>
    </row>
    <row r="63" spans="1:44" x14ac:dyDescent="0.2">
      <c r="A63" s="1" t="s">
        <v>141</v>
      </c>
      <c r="B63" s="1" t="s">
        <v>265</v>
      </c>
      <c r="C63" s="1">
        <v>-30.1</v>
      </c>
      <c r="D63" s="1">
        <v>480956.4</v>
      </c>
      <c r="E63" s="1">
        <v>5968146</v>
      </c>
      <c r="F63" s="1">
        <v>0</v>
      </c>
      <c r="G63" s="1">
        <v>-0.6</v>
      </c>
      <c r="H63" s="1">
        <v>0</v>
      </c>
      <c r="I63" s="1">
        <v>2</v>
      </c>
      <c r="J63" s="1">
        <v>0</v>
      </c>
      <c r="K63" s="1">
        <v>-60</v>
      </c>
      <c r="L63" s="1">
        <v>29.9</v>
      </c>
      <c r="M63" s="1">
        <v>1449.6030000000001</v>
      </c>
      <c r="N63" s="1">
        <v>85.4</v>
      </c>
      <c r="O63" s="1">
        <v>8</v>
      </c>
      <c r="P63" s="1">
        <v>10</v>
      </c>
      <c r="Q63" s="1">
        <v>2.93</v>
      </c>
      <c r="R63" s="1">
        <v>64</v>
      </c>
      <c r="S63" s="1">
        <v>110</v>
      </c>
      <c r="T63" s="1">
        <v>147</v>
      </c>
      <c r="U63" s="1">
        <v>1296.2090000000001</v>
      </c>
      <c r="V63" s="1">
        <v>549.82899999999995</v>
      </c>
      <c r="W63" s="1">
        <v>752.85199999999998</v>
      </c>
      <c r="X63" s="1">
        <v>132.18100000000001</v>
      </c>
      <c r="Y63" s="1">
        <v>4.9400000000000004</v>
      </c>
      <c r="Z63" s="1">
        <v>8.0150000000000006</v>
      </c>
      <c r="AA63" s="1">
        <v>21.7</v>
      </c>
      <c r="AB63" s="1">
        <v>290.5</v>
      </c>
      <c r="AC63" s="1">
        <v>12301</v>
      </c>
      <c r="AD63" s="1">
        <v>2883</v>
      </c>
      <c r="AE63" s="1">
        <v>268</v>
      </c>
      <c r="AF63" s="1">
        <v>21</v>
      </c>
      <c r="AG63" s="1">
        <v>21</v>
      </c>
      <c r="AH63" s="1">
        <v>36.799999999999997</v>
      </c>
      <c r="AI63" s="1">
        <v>50.8</v>
      </c>
      <c r="AJ63" s="1">
        <v>12.4</v>
      </c>
      <c r="AK63" s="1">
        <v>76.8</v>
      </c>
      <c r="AL63" s="1">
        <v>31.9</v>
      </c>
      <c r="AM63" s="1">
        <v>8</v>
      </c>
      <c r="AN63" s="1">
        <v>0</v>
      </c>
      <c r="AO63" s="1">
        <v>0</v>
      </c>
      <c r="AP63" s="1" t="s">
        <v>266</v>
      </c>
      <c r="AQ63" s="1" t="s">
        <v>267</v>
      </c>
      <c r="AR63" s="1" t="s">
        <v>268</v>
      </c>
    </row>
    <row r="64" spans="1:44" x14ac:dyDescent="0.2">
      <c r="A64" s="1" t="s">
        <v>87</v>
      </c>
      <c r="B64" s="1" t="s">
        <v>265</v>
      </c>
      <c r="C64" s="1">
        <v>-37.299999999999997</v>
      </c>
      <c r="D64" s="1">
        <v>480018</v>
      </c>
      <c r="E64" s="1">
        <v>5972470</v>
      </c>
      <c r="F64" s="1">
        <v>0</v>
      </c>
      <c r="G64" s="1">
        <v>-0.6</v>
      </c>
      <c r="H64" s="1">
        <v>0</v>
      </c>
      <c r="I64" s="1">
        <v>2</v>
      </c>
      <c r="J64" s="1">
        <v>0</v>
      </c>
      <c r="K64" s="1">
        <v>-62.8</v>
      </c>
      <c r="L64" s="1">
        <v>25.5</v>
      </c>
      <c r="M64" s="1">
        <v>1623.779</v>
      </c>
      <c r="N64" s="1">
        <v>88.2</v>
      </c>
      <c r="O64" s="1">
        <v>8</v>
      </c>
      <c r="P64" s="1">
        <v>10</v>
      </c>
      <c r="Q64" s="1">
        <v>2.4900000000000002</v>
      </c>
      <c r="R64" s="1">
        <v>68</v>
      </c>
      <c r="S64" s="1">
        <v>110</v>
      </c>
      <c r="T64" s="1">
        <v>147</v>
      </c>
      <c r="U64" s="1">
        <v>1295.3920000000001</v>
      </c>
      <c r="V64" s="1">
        <v>452.86700000000002</v>
      </c>
      <c r="W64" s="1">
        <v>752.85199999999998</v>
      </c>
      <c r="X64" s="1">
        <v>132.18100000000001</v>
      </c>
      <c r="Y64" s="1">
        <v>4.9400000000000004</v>
      </c>
      <c r="Z64" s="1">
        <v>8.0150000000000006</v>
      </c>
      <c r="AA64" s="1">
        <v>21.7</v>
      </c>
      <c r="AB64" s="1">
        <v>290.5</v>
      </c>
      <c r="AC64" s="1">
        <v>12472</v>
      </c>
      <c r="AD64" s="1">
        <v>3329</v>
      </c>
      <c r="AE64" s="1">
        <v>268</v>
      </c>
      <c r="AF64" s="1">
        <v>17</v>
      </c>
      <c r="AG64" s="1">
        <v>17</v>
      </c>
      <c r="AH64" s="1">
        <v>33.700000000000003</v>
      </c>
      <c r="AI64" s="1">
        <v>53.1</v>
      </c>
      <c r="AJ64" s="1">
        <v>13.1</v>
      </c>
      <c r="AK64" s="1">
        <v>82.9</v>
      </c>
      <c r="AL64" s="1">
        <v>31.9</v>
      </c>
      <c r="AM64" s="1">
        <v>8</v>
      </c>
      <c r="AN64" s="1">
        <v>0</v>
      </c>
      <c r="AO64" s="1">
        <v>0</v>
      </c>
      <c r="AP64" s="1" t="s">
        <v>266</v>
      </c>
      <c r="AQ64" s="1" t="s">
        <v>267</v>
      </c>
      <c r="AR64" s="1" t="s">
        <v>268</v>
      </c>
    </row>
    <row r="65" spans="1:44" x14ac:dyDescent="0.2">
      <c r="A65" s="1" t="s">
        <v>186</v>
      </c>
      <c r="B65" s="1" t="s">
        <v>265</v>
      </c>
      <c r="C65" s="1">
        <v>-36.5</v>
      </c>
      <c r="D65" s="1">
        <v>457556</v>
      </c>
      <c r="E65" s="1">
        <v>5966844.7999999998</v>
      </c>
      <c r="F65" s="1">
        <v>0</v>
      </c>
      <c r="G65" s="1">
        <v>-0.6</v>
      </c>
      <c r="H65" s="1">
        <v>0</v>
      </c>
      <c r="I65" s="1">
        <v>2</v>
      </c>
      <c r="J65" s="1">
        <v>0</v>
      </c>
      <c r="K65" s="1">
        <v>-67</v>
      </c>
      <c r="L65" s="1">
        <v>30.5</v>
      </c>
      <c r="M65" s="1">
        <v>1708.25</v>
      </c>
      <c r="N65" s="1">
        <v>92.4</v>
      </c>
      <c r="O65" s="1">
        <v>8</v>
      </c>
      <c r="P65" s="1">
        <v>10.5</v>
      </c>
      <c r="Q65" s="1">
        <v>2.8475999999999999</v>
      </c>
      <c r="R65" s="1">
        <v>70</v>
      </c>
      <c r="S65" s="1">
        <v>112</v>
      </c>
      <c r="T65" s="1">
        <v>146</v>
      </c>
      <c r="U65" s="1">
        <v>1406.347</v>
      </c>
      <c r="V65" s="1">
        <v>356.14400000000001</v>
      </c>
      <c r="W65" s="1">
        <v>752.85199999999998</v>
      </c>
      <c r="X65" s="1">
        <v>132.18100000000001</v>
      </c>
      <c r="Y65" s="1">
        <v>4.9400000000000004</v>
      </c>
      <c r="Z65" s="1">
        <v>8.0150000000000006</v>
      </c>
      <c r="AA65" s="1">
        <v>21.7</v>
      </c>
      <c r="AB65" s="1">
        <v>290.5</v>
      </c>
      <c r="AC65" s="1">
        <v>12886</v>
      </c>
      <c r="AD65" s="1">
        <v>3342</v>
      </c>
      <c r="AE65" s="1">
        <v>268</v>
      </c>
      <c r="AF65" s="1">
        <v>21</v>
      </c>
      <c r="AG65" s="1">
        <v>21</v>
      </c>
      <c r="AH65" s="1">
        <v>33</v>
      </c>
      <c r="AI65" s="1">
        <v>52.2</v>
      </c>
      <c r="AJ65" s="1">
        <v>14.8</v>
      </c>
      <c r="AK65" s="1">
        <v>81</v>
      </c>
      <c r="AL65" s="1">
        <v>31.9</v>
      </c>
      <c r="AM65" s="1">
        <v>8</v>
      </c>
      <c r="AN65" s="1">
        <v>0</v>
      </c>
      <c r="AO65" s="1">
        <v>0</v>
      </c>
      <c r="AP65" s="1" t="s">
        <v>270</v>
      </c>
      <c r="AQ65" s="1" t="s">
        <v>267</v>
      </c>
      <c r="AR65" s="1" t="s">
        <v>268</v>
      </c>
    </row>
    <row r="66" spans="1:44" x14ac:dyDescent="0.2">
      <c r="A66" s="1" t="s">
        <v>17</v>
      </c>
      <c r="B66" s="1" t="s">
        <v>269</v>
      </c>
      <c r="C66" s="1">
        <v>-36.6</v>
      </c>
      <c r="D66" s="1">
        <v>462946.7</v>
      </c>
      <c r="E66" s="1">
        <v>5964506.7000000002</v>
      </c>
      <c r="F66" s="1">
        <v>0</v>
      </c>
      <c r="G66" s="1">
        <v>-0.7</v>
      </c>
      <c r="H66" s="1">
        <v>0</v>
      </c>
      <c r="I66" s="1">
        <v>2</v>
      </c>
      <c r="J66" s="1">
        <v>0</v>
      </c>
      <c r="K66" s="1">
        <v>-70.7</v>
      </c>
      <c r="L66" s="1">
        <v>34.1</v>
      </c>
      <c r="M66" s="1">
        <v>1825.818</v>
      </c>
      <c r="N66" s="1">
        <v>96.1</v>
      </c>
      <c r="O66" s="1">
        <v>8</v>
      </c>
      <c r="P66" s="1">
        <v>10</v>
      </c>
      <c r="Q66" s="1">
        <v>3.34</v>
      </c>
      <c r="R66" s="1">
        <v>68</v>
      </c>
      <c r="S66" s="1">
        <v>110</v>
      </c>
      <c r="T66" s="1">
        <v>147</v>
      </c>
      <c r="U66" s="1">
        <v>1419.761</v>
      </c>
      <c r="V66" s="1">
        <v>514.55499999999995</v>
      </c>
      <c r="W66" s="1">
        <v>752.85199999999998</v>
      </c>
      <c r="X66" s="1">
        <v>132.18100000000001</v>
      </c>
      <c r="Y66" s="1">
        <v>4.9400000000000004</v>
      </c>
      <c r="Z66" s="1">
        <v>8.0150000000000006</v>
      </c>
      <c r="AA66" s="1">
        <v>21.7</v>
      </c>
      <c r="AB66" s="1">
        <v>290.5</v>
      </c>
      <c r="AC66" s="1">
        <v>12964</v>
      </c>
      <c r="AD66" s="1">
        <v>3285</v>
      </c>
      <c r="AE66" s="1">
        <v>268</v>
      </c>
      <c r="AF66" s="1">
        <v>24.6</v>
      </c>
      <c r="AG66" s="1">
        <v>24.6</v>
      </c>
      <c r="AH66" s="1">
        <v>30</v>
      </c>
      <c r="AI66" s="1">
        <v>58.4</v>
      </c>
      <c r="AJ66" s="1">
        <v>11.6</v>
      </c>
      <c r="AK66" s="1">
        <v>84.7</v>
      </c>
      <c r="AL66" s="1">
        <v>31.9</v>
      </c>
      <c r="AM66" s="1">
        <v>8</v>
      </c>
      <c r="AN66" s="1">
        <v>0</v>
      </c>
      <c r="AO66" s="1">
        <v>0</v>
      </c>
      <c r="AP66" s="1" t="s">
        <v>266</v>
      </c>
      <c r="AQ66" s="1" t="s">
        <v>267</v>
      </c>
      <c r="AR66" s="1" t="s">
        <v>268</v>
      </c>
    </row>
    <row r="67" spans="1:44" x14ac:dyDescent="0.2">
      <c r="A67" s="1" t="s">
        <v>75</v>
      </c>
      <c r="B67" s="1" t="s">
        <v>269</v>
      </c>
      <c r="C67" s="1">
        <v>-33.1</v>
      </c>
      <c r="D67" s="1">
        <v>465969.2</v>
      </c>
      <c r="E67" s="1">
        <v>5962923.9000000004</v>
      </c>
      <c r="F67" s="1">
        <v>0</v>
      </c>
      <c r="G67" s="1">
        <v>-0.7</v>
      </c>
      <c r="H67" s="1">
        <v>0</v>
      </c>
      <c r="I67" s="1">
        <v>2</v>
      </c>
      <c r="J67" s="1">
        <v>0</v>
      </c>
      <c r="K67" s="1">
        <v>-64.099999999999994</v>
      </c>
      <c r="L67" s="1">
        <v>31</v>
      </c>
      <c r="M67" s="1">
        <v>1587.2950000000001</v>
      </c>
      <c r="N67" s="1">
        <v>89.5</v>
      </c>
      <c r="O67" s="1">
        <v>8</v>
      </c>
      <c r="P67" s="1">
        <v>10</v>
      </c>
      <c r="Q67" s="1">
        <v>3.03</v>
      </c>
      <c r="R67" s="1">
        <v>68</v>
      </c>
      <c r="S67" s="1">
        <v>110</v>
      </c>
      <c r="T67" s="1">
        <v>147</v>
      </c>
      <c r="U67" s="1">
        <v>1358.123</v>
      </c>
      <c r="V67" s="1">
        <v>546.82600000000002</v>
      </c>
      <c r="W67" s="1">
        <v>752.85199999999998</v>
      </c>
      <c r="X67" s="1">
        <v>132.18100000000001</v>
      </c>
      <c r="Y67" s="1">
        <v>4.9400000000000004</v>
      </c>
      <c r="Z67" s="1">
        <v>8.0150000000000006</v>
      </c>
      <c r="AA67" s="1">
        <v>21.7</v>
      </c>
      <c r="AB67" s="1">
        <v>290.5</v>
      </c>
      <c r="AC67" s="1">
        <v>12555</v>
      </c>
      <c r="AD67" s="1">
        <v>3068</v>
      </c>
      <c r="AE67" s="1">
        <v>268</v>
      </c>
      <c r="AF67" s="1">
        <v>21</v>
      </c>
      <c r="AG67" s="1">
        <v>21</v>
      </c>
      <c r="AH67" s="1">
        <v>34.4</v>
      </c>
      <c r="AI67" s="1">
        <v>52.4</v>
      </c>
      <c r="AJ67" s="1">
        <v>13.2</v>
      </c>
      <c r="AK67" s="1">
        <v>79.900000000000006</v>
      </c>
      <c r="AL67" s="1">
        <v>31.9</v>
      </c>
      <c r="AM67" s="1">
        <v>8</v>
      </c>
      <c r="AN67" s="1">
        <v>0</v>
      </c>
      <c r="AO67" s="1">
        <v>0</v>
      </c>
      <c r="AP67" s="1" t="s">
        <v>266</v>
      </c>
      <c r="AQ67" s="1" t="s">
        <v>267</v>
      </c>
      <c r="AR67" s="1" t="s">
        <v>268</v>
      </c>
    </row>
    <row r="68" spans="1:44" x14ac:dyDescent="0.2">
      <c r="A68" s="1" t="s">
        <v>162</v>
      </c>
      <c r="B68" s="1" t="s">
        <v>265</v>
      </c>
      <c r="C68" s="1">
        <v>-29.5</v>
      </c>
      <c r="D68" s="1">
        <v>469781.5</v>
      </c>
      <c r="E68" s="1">
        <v>5960130.0999999996</v>
      </c>
      <c r="F68" s="1">
        <v>0</v>
      </c>
      <c r="G68" s="1">
        <v>-0.7</v>
      </c>
      <c r="H68" s="1">
        <v>0</v>
      </c>
      <c r="I68" s="1">
        <v>2</v>
      </c>
      <c r="J68" s="1">
        <v>0</v>
      </c>
      <c r="K68" s="1">
        <v>-57.7</v>
      </c>
      <c r="L68" s="1">
        <v>28.2</v>
      </c>
      <c r="M68" s="1">
        <v>1412.925</v>
      </c>
      <c r="N68" s="1">
        <v>83.1</v>
      </c>
      <c r="O68" s="1">
        <v>8</v>
      </c>
      <c r="P68" s="1">
        <v>10</v>
      </c>
      <c r="Q68" s="1">
        <v>2.75</v>
      </c>
      <c r="R68" s="1">
        <v>64</v>
      </c>
      <c r="S68" s="1">
        <v>110</v>
      </c>
      <c r="T68" s="1">
        <v>147</v>
      </c>
      <c r="U68" s="1">
        <v>1233.8040000000001</v>
      </c>
      <c r="V68" s="1">
        <v>430.87599999999998</v>
      </c>
      <c r="W68" s="1">
        <v>752.85199999999998</v>
      </c>
      <c r="X68" s="1">
        <v>132.18100000000001</v>
      </c>
      <c r="Y68" s="1">
        <v>4.9400000000000004</v>
      </c>
      <c r="Z68" s="1">
        <v>8.0150000000000006</v>
      </c>
      <c r="AA68" s="1">
        <v>21.7</v>
      </c>
      <c r="AB68" s="1">
        <v>290.5</v>
      </c>
      <c r="AC68" s="1">
        <v>12158</v>
      </c>
      <c r="AD68" s="1">
        <v>2845</v>
      </c>
      <c r="AE68" s="1">
        <v>268</v>
      </c>
      <c r="AF68" s="1">
        <v>19</v>
      </c>
      <c r="AG68" s="1">
        <v>19</v>
      </c>
      <c r="AH68" s="1">
        <v>37.799999999999997</v>
      </c>
      <c r="AI68" s="1">
        <v>49.5</v>
      </c>
      <c r="AJ68" s="1">
        <v>12.7</v>
      </c>
      <c r="AK68" s="1">
        <v>77.099999999999994</v>
      </c>
      <c r="AL68" s="1">
        <v>31.9</v>
      </c>
      <c r="AM68" s="1">
        <v>8</v>
      </c>
      <c r="AN68" s="1">
        <v>0</v>
      </c>
      <c r="AO68" s="1">
        <v>0</v>
      </c>
      <c r="AP68" s="1" t="s">
        <v>266</v>
      </c>
      <c r="AQ68" s="1" t="s">
        <v>267</v>
      </c>
      <c r="AR68" s="1" t="s">
        <v>268</v>
      </c>
    </row>
    <row r="69" spans="1:44" x14ac:dyDescent="0.2">
      <c r="A69" s="1" t="s">
        <v>134</v>
      </c>
      <c r="B69" s="1" t="s">
        <v>265</v>
      </c>
      <c r="C69" s="1">
        <v>-30.7</v>
      </c>
      <c r="D69" s="1">
        <v>473047.2</v>
      </c>
      <c r="E69" s="1">
        <v>5958242.7000000002</v>
      </c>
      <c r="F69" s="1">
        <v>0</v>
      </c>
      <c r="G69" s="1">
        <v>-0.6</v>
      </c>
      <c r="H69" s="1">
        <v>0</v>
      </c>
      <c r="I69" s="1">
        <v>2</v>
      </c>
      <c r="J69" s="1">
        <v>0</v>
      </c>
      <c r="K69" s="1">
        <v>-60.6</v>
      </c>
      <c r="L69" s="1">
        <v>29.9</v>
      </c>
      <c r="M69" s="1">
        <v>1472.7049999999999</v>
      </c>
      <c r="N69" s="1">
        <v>86</v>
      </c>
      <c r="O69" s="1">
        <v>8</v>
      </c>
      <c r="P69" s="1">
        <v>10</v>
      </c>
      <c r="Q69" s="1">
        <v>2.93</v>
      </c>
      <c r="R69" s="1">
        <v>66</v>
      </c>
      <c r="S69" s="1">
        <v>110</v>
      </c>
      <c r="T69" s="1">
        <v>147</v>
      </c>
      <c r="U69" s="1">
        <v>1296.133</v>
      </c>
      <c r="V69" s="1">
        <v>611.76900000000001</v>
      </c>
      <c r="W69" s="1">
        <v>752.85199999999998</v>
      </c>
      <c r="X69" s="1">
        <v>132.18100000000001</v>
      </c>
      <c r="Y69" s="1">
        <v>4.9400000000000004</v>
      </c>
      <c r="Z69" s="1">
        <v>8.0150000000000006</v>
      </c>
      <c r="AA69" s="1">
        <v>21.7</v>
      </c>
      <c r="AB69" s="1">
        <v>290.5</v>
      </c>
      <c r="AC69" s="1">
        <v>12338</v>
      </c>
      <c r="AD69" s="1">
        <v>2920</v>
      </c>
      <c r="AE69" s="1">
        <v>268</v>
      </c>
      <c r="AF69" s="1">
        <v>21</v>
      </c>
      <c r="AG69" s="1">
        <v>21</v>
      </c>
      <c r="AH69" s="1">
        <v>36.4</v>
      </c>
      <c r="AI69" s="1">
        <v>51</v>
      </c>
      <c r="AJ69" s="1">
        <v>12.5</v>
      </c>
      <c r="AK69" s="1">
        <v>77.5</v>
      </c>
      <c r="AL69" s="1">
        <v>31.9</v>
      </c>
      <c r="AM69" s="1">
        <v>8</v>
      </c>
      <c r="AN69" s="1">
        <v>0</v>
      </c>
      <c r="AO69" s="1">
        <v>0</v>
      </c>
      <c r="AP69" s="1" t="s">
        <v>266</v>
      </c>
      <c r="AQ69" s="1" t="s">
        <v>267</v>
      </c>
      <c r="AR69" s="1" t="s">
        <v>268</v>
      </c>
    </row>
    <row r="70" spans="1:44" x14ac:dyDescent="0.2">
      <c r="A70" s="1" t="s">
        <v>109</v>
      </c>
      <c r="B70" s="1" t="s">
        <v>265</v>
      </c>
      <c r="C70" s="1">
        <v>-33.200000000000003</v>
      </c>
      <c r="D70" s="1">
        <v>475925.3</v>
      </c>
      <c r="E70" s="1">
        <v>5957007.4000000004</v>
      </c>
      <c r="F70" s="1">
        <v>0</v>
      </c>
      <c r="G70" s="1">
        <v>-0.7</v>
      </c>
      <c r="H70" s="1">
        <v>0</v>
      </c>
      <c r="I70" s="1">
        <v>2.4</v>
      </c>
      <c r="J70" s="1">
        <v>0</v>
      </c>
      <c r="K70" s="1">
        <v>-62.3</v>
      </c>
      <c r="L70" s="1">
        <v>29.1</v>
      </c>
      <c r="M70" s="1">
        <v>1544.097</v>
      </c>
      <c r="N70" s="1">
        <v>87.7</v>
      </c>
      <c r="O70" s="1">
        <v>8</v>
      </c>
      <c r="P70" s="1">
        <v>10</v>
      </c>
      <c r="Q70" s="1">
        <v>2.84</v>
      </c>
      <c r="R70" s="1">
        <v>68</v>
      </c>
      <c r="S70" s="1">
        <v>110</v>
      </c>
      <c r="T70" s="1">
        <v>147</v>
      </c>
      <c r="U70" s="1">
        <v>1295.8320000000001</v>
      </c>
      <c r="V70" s="1">
        <v>522.35900000000004</v>
      </c>
      <c r="W70" s="1">
        <v>752.85199999999998</v>
      </c>
      <c r="X70" s="1">
        <v>132.18100000000001</v>
      </c>
      <c r="Y70" s="1">
        <v>4.9400000000000004</v>
      </c>
      <c r="Z70" s="1">
        <v>8.0150000000000006</v>
      </c>
      <c r="AA70" s="1">
        <v>21.7</v>
      </c>
      <c r="AB70" s="1">
        <v>290.5</v>
      </c>
      <c r="AC70" s="1">
        <v>12443</v>
      </c>
      <c r="AD70" s="1">
        <v>3075</v>
      </c>
      <c r="AE70" s="1">
        <v>268</v>
      </c>
      <c r="AF70" s="1">
        <v>19</v>
      </c>
      <c r="AG70" s="1">
        <v>19</v>
      </c>
      <c r="AH70" s="1">
        <v>35.200000000000003</v>
      </c>
      <c r="AI70" s="1">
        <v>51.7</v>
      </c>
      <c r="AJ70" s="1">
        <v>13.2</v>
      </c>
      <c r="AK70" s="1">
        <v>79.5</v>
      </c>
      <c r="AL70" s="1">
        <v>31.9</v>
      </c>
      <c r="AM70" s="1">
        <v>8</v>
      </c>
      <c r="AN70" s="1">
        <v>0</v>
      </c>
      <c r="AO70" s="1">
        <v>0</v>
      </c>
      <c r="AP70" s="1" t="s">
        <v>266</v>
      </c>
      <c r="AQ70" s="1" t="s">
        <v>267</v>
      </c>
      <c r="AR70" s="1" t="s">
        <v>268</v>
      </c>
    </row>
    <row r="71" spans="1:44" x14ac:dyDescent="0.2">
      <c r="A71" s="1" t="s">
        <v>136</v>
      </c>
      <c r="B71" s="1" t="s">
        <v>265</v>
      </c>
      <c r="C71" s="1">
        <v>-33.6</v>
      </c>
      <c r="D71" s="1">
        <v>479093.5</v>
      </c>
      <c r="E71" s="1">
        <v>5955279.5999999996</v>
      </c>
      <c r="F71" s="1">
        <v>0</v>
      </c>
      <c r="G71" s="1">
        <v>-0.6</v>
      </c>
      <c r="H71" s="1">
        <v>0</v>
      </c>
      <c r="I71" s="1">
        <v>2</v>
      </c>
      <c r="J71" s="1">
        <v>0</v>
      </c>
      <c r="K71" s="1">
        <v>-59.9</v>
      </c>
      <c r="L71" s="1">
        <v>26.3</v>
      </c>
      <c r="M71" s="1">
        <v>1506.432</v>
      </c>
      <c r="N71" s="1">
        <v>85.3</v>
      </c>
      <c r="O71" s="1">
        <v>8</v>
      </c>
      <c r="P71" s="1">
        <v>10</v>
      </c>
      <c r="Q71" s="1">
        <v>2.57</v>
      </c>
      <c r="R71" s="1">
        <v>68</v>
      </c>
      <c r="S71" s="1">
        <v>110</v>
      </c>
      <c r="T71" s="1">
        <v>147</v>
      </c>
      <c r="U71" s="1">
        <v>1295.7940000000001</v>
      </c>
      <c r="V71" s="1">
        <v>428.375</v>
      </c>
      <c r="W71" s="1">
        <v>752.85199999999998</v>
      </c>
      <c r="X71" s="1">
        <v>132.18100000000001</v>
      </c>
      <c r="Y71" s="1">
        <v>4.9400000000000004</v>
      </c>
      <c r="Z71" s="1">
        <v>8.0150000000000006</v>
      </c>
      <c r="AA71" s="1">
        <v>21.7</v>
      </c>
      <c r="AB71" s="1">
        <v>290.5</v>
      </c>
      <c r="AC71" s="1">
        <v>12293</v>
      </c>
      <c r="AD71" s="1">
        <v>3099</v>
      </c>
      <c r="AE71" s="1">
        <v>268</v>
      </c>
      <c r="AF71" s="1">
        <v>17</v>
      </c>
      <c r="AG71" s="1">
        <v>17</v>
      </c>
      <c r="AH71" s="1">
        <v>36.200000000000003</v>
      </c>
      <c r="AI71" s="1">
        <v>50.2</v>
      </c>
      <c r="AJ71" s="1">
        <v>13.6</v>
      </c>
      <c r="AK71" s="1">
        <v>80</v>
      </c>
      <c r="AL71" s="1">
        <v>31.9</v>
      </c>
      <c r="AM71" s="1">
        <v>8</v>
      </c>
      <c r="AN71" s="1">
        <v>0</v>
      </c>
      <c r="AO71" s="1">
        <v>0</v>
      </c>
      <c r="AP71" s="1" t="s">
        <v>266</v>
      </c>
      <c r="AQ71" s="1" t="s">
        <v>267</v>
      </c>
      <c r="AR71" s="1" t="s">
        <v>268</v>
      </c>
    </row>
    <row r="72" spans="1:44" x14ac:dyDescent="0.2">
      <c r="A72" s="1" t="s">
        <v>48</v>
      </c>
      <c r="B72" s="1" t="s">
        <v>265</v>
      </c>
      <c r="C72" s="1">
        <v>-36.4</v>
      </c>
      <c r="D72" s="1">
        <v>481397.1</v>
      </c>
      <c r="E72" s="1">
        <v>5954916.9000000004</v>
      </c>
      <c r="F72" s="1">
        <v>0</v>
      </c>
      <c r="G72" s="1">
        <v>-0.6</v>
      </c>
      <c r="H72" s="1">
        <v>0</v>
      </c>
      <c r="I72" s="1">
        <v>2</v>
      </c>
      <c r="J72" s="1">
        <v>0</v>
      </c>
      <c r="K72" s="1">
        <v>-65.900000000000006</v>
      </c>
      <c r="L72" s="1">
        <v>29.5</v>
      </c>
      <c r="M72" s="1">
        <v>1687.2739999999999</v>
      </c>
      <c r="N72" s="1">
        <v>91.3</v>
      </c>
      <c r="O72" s="1">
        <v>8</v>
      </c>
      <c r="P72" s="1">
        <v>10</v>
      </c>
      <c r="Q72" s="1">
        <v>2.89</v>
      </c>
      <c r="R72" s="1">
        <v>68</v>
      </c>
      <c r="S72" s="1">
        <v>110</v>
      </c>
      <c r="T72" s="1">
        <v>147</v>
      </c>
      <c r="U72" s="1">
        <v>1357.6959999999999</v>
      </c>
      <c r="V72" s="1">
        <v>427.75900000000001</v>
      </c>
      <c r="W72" s="1">
        <v>752.85199999999998</v>
      </c>
      <c r="X72" s="1">
        <v>132.18100000000001</v>
      </c>
      <c r="Y72" s="1">
        <v>4.9400000000000004</v>
      </c>
      <c r="Z72" s="1">
        <v>8.0150000000000006</v>
      </c>
      <c r="AA72" s="1">
        <v>21.7</v>
      </c>
      <c r="AB72" s="1">
        <v>290.5</v>
      </c>
      <c r="AC72" s="1">
        <v>12666</v>
      </c>
      <c r="AD72" s="1">
        <v>3273</v>
      </c>
      <c r="AE72" s="1">
        <v>268</v>
      </c>
      <c r="AF72" s="1">
        <v>21</v>
      </c>
      <c r="AG72" s="1">
        <v>21</v>
      </c>
      <c r="AH72" s="1">
        <v>32.5</v>
      </c>
      <c r="AI72" s="1">
        <v>54.8</v>
      </c>
      <c r="AJ72" s="1">
        <v>12.7</v>
      </c>
      <c r="AK72" s="1">
        <v>82.9</v>
      </c>
      <c r="AL72" s="1">
        <v>31.9</v>
      </c>
      <c r="AM72" s="1">
        <v>8</v>
      </c>
      <c r="AN72" s="1">
        <v>0</v>
      </c>
      <c r="AO72" s="1">
        <v>0</v>
      </c>
      <c r="AP72" s="1" t="s">
        <v>266</v>
      </c>
      <c r="AQ72" s="1" t="s">
        <v>267</v>
      </c>
      <c r="AR72" s="1" t="s">
        <v>268</v>
      </c>
    </row>
    <row r="73" spans="1:44" x14ac:dyDescent="0.2">
      <c r="A73" s="1" t="s">
        <v>88</v>
      </c>
      <c r="B73" s="1" t="s">
        <v>269</v>
      </c>
      <c r="C73" s="1">
        <v>-34.200000000000003</v>
      </c>
      <c r="D73" s="1">
        <v>482020</v>
      </c>
      <c r="E73" s="1">
        <v>5957212</v>
      </c>
      <c r="F73" s="1">
        <v>0</v>
      </c>
      <c r="G73" s="1">
        <v>-0.7</v>
      </c>
      <c r="H73" s="1">
        <v>0</v>
      </c>
      <c r="I73" s="1">
        <v>2</v>
      </c>
      <c r="J73" s="1">
        <v>0</v>
      </c>
      <c r="K73" s="1">
        <v>-63.8</v>
      </c>
      <c r="L73" s="1">
        <v>29.6</v>
      </c>
      <c r="M73" s="1">
        <v>1586.1</v>
      </c>
      <c r="N73" s="1">
        <v>89.2</v>
      </c>
      <c r="O73" s="1">
        <v>8</v>
      </c>
      <c r="P73" s="1">
        <v>10</v>
      </c>
      <c r="Q73" s="1">
        <v>2.89</v>
      </c>
      <c r="R73" s="1">
        <v>68</v>
      </c>
      <c r="S73" s="1">
        <v>110</v>
      </c>
      <c r="T73" s="1">
        <v>147</v>
      </c>
      <c r="U73" s="1">
        <v>1358.098</v>
      </c>
      <c r="V73" s="1">
        <v>578.22900000000004</v>
      </c>
      <c r="W73" s="1">
        <v>752.85199999999998</v>
      </c>
      <c r="X73" s="1">
        <v>132.18100000000001</v>
      </c>
      <c r="Y73" s="1">
        <v>4.9400000000000004</v>
      </c>
      <c r="Z73" s="1">
        <v>8.0150000000000006</v>
      </c>
      <c r="AA73" s="1">
        <v>21.7</v>
      </c>
      <c r="AB73" s="1">
        <v>290.5</v>
      </c>
      <c r="AC73" s="1">
        <v>12536</v>
      </c>
      <c r="AD73" s="1">
        <v>3136</v>
      </c>
      <c r="AE73" s="1">
        <v>268</v>
      </c>
      <c r="AF73" s="1">
        <v>21</v>
      </c>
      <c r="AG73" s="1">
        <v>21</v>
      </c>
      <c r="AH73" s="1">
        <v>34.4</v>
      </c>
      <c r="AI73" s="1">
        <v>52.2</v>
      </c>
      <c r="AJ73" s="1">
        <v>13.4</v>
      </c>
      <c r="AK73" s="1">
        <v>80.2</v>
      </c>
      <c r="AL73" s="1">
        <v>31.9</v>
      </c>
      <c r="AM73" s="1">
        <v>8</v>
      </c>
      <c r="AN73" s="1">
        <v>0</v>
      </c>
      <c r="AO73" s="1">
        <v>0</v>
      </c>
      <c r="AP73" s="1" t="s">
        <v>266</v>
      </c>
      <c r="AQ73" s="1" t="s">
        <v>267</v>
      </c>
      <c r="AR73" s="1" t="s">
        <v>268</v>
      </c>
    </row>
    <row r="74" spans="1:44" x14ac:dyDescent="0.2">
      <c r="A74" s="1" t="s">
        <v>61</v>
      </c>
      <c r="B74" s="1" t="s">
        <v>271</v>
      </c>
      <c r="C74" s="1">
        <v>-36.6</v>
      </c>
      <c r="D74" s="1">
        <v>482289</v>
      </c>
      <c r="E74" s="1">
        <v>5959950</v>
      </c>
      <c r="F74" s="1">
        <v>0</v>
      </c>
      <c r="G74" s="1">
        <v>-0.6</v>
      </c>
      <c r="H74" s="1">
        <v>0</v>
      </c>
      <c r="I74" s="1">
        <v>2</v>
      </c>
      <c r="J74" s="1">
        <v>0</v>
      </c>
      <c r="K74" s="1">
        <v>-64.5</v>
      </c>
      <c r="L74" s="1">
        <v>27.9</v>
      </c>
      <c r="M74" s="1">
        <v>1656.4369999999999</v>
      </c>
      <c r="N74" s="1">
        <v>89.9</v>
      </c>
      <c r="O74" s="1">
        <v>8</v>
      </c>
      <c r="P74" s="1">
        <v>10</v>
      </c>
      <c r="Q74" s="1">
        <v>2.73</v>
      </c>
      <c r="R74" s="1">
        <v>68</v>
      </c>
      <c r="S74" s="1">
        <v>110</v>
      </c>
      <c r="T74" s="1">
        <v>147</v>
      </c>
      <c r="U74" s="1">
        <v>1357.721</v>
      </c>
      <c r="V74" s="1">
        <v>396.88400000000001</v>
      </c>
      <c r="W74" s="1">
        <v>752.85199999999998</v>
      </c>
      <c r="X74" s="1">
        <v>132.18100000000001</v>
      </c>
      <c r="Y74" s="1">
        <v>4.9400000000000004</v>
      </c>
      <c r="Z74" s="1">
        <v>8.0150000000000006</v>
      </c>
      <c r="AA74" s="1">
        <v>21.7</v>
      </c>
      <c r="AB74" s="1">
        <v>290.5</v>
      </c>
      <c r="AC74" s="1">
        <v>12578</v>
      </c>
      <c r="AD74" s="1">
        <v>3285</v>
      </c>
      <c r="AE74" s="1">
        <v>268</v>
      </c>
      <c r="AF74" s="1">
        <v>19</v>
      </c>
      <c r="AG74" s="1">
        <v>19</v>
      </c>
      <c r="AH74" s="1">
        <v>33.1</v>
      </c>
      <c r="AI74" s="1">
        <v>54.1</v>
      </c>
      <c r="AJ74" s="1">
        <v>12.9</v>
      </c>
      <c r="AK74" s="1">
        <v>82.8</v>
      </c>
      <c r="AL74" s="1">
        <v>31.9</v>
      </c>
      <c r="AM74" s="1">
        <v>8</v>
      </c>
      <c r="AN74" s="1">
        <v>0</v>
      </c>
      <c r="AO74" s="1">
        <v>0</v>
      </c>
      <c r="AP74" s="1" t="s">
        <v>266</v>
      </c>
      <c r="AQ74" s="1" t="s">
        <v>267</v>
      </c>
      <c r="AR74" s="1" t="s">
        <v>268</v>
      </c>
    </row>
    <row r="75" spans="1:44" x14ac:dyDescent="0.2">
      <c r="A75" s="1" t="s">
        <v>111</v>
      </c>
      <c r="B75" s="1" t="s">
        <v>265</v>
      </c>
      <c r="C75" s="1">
        <v>-32.9</v>
      </c>
      <c r="D75" s="1">
        <v>480311</v>
      </c>
      <c r="E75" s="1">
        <v>5966220</v>
      </c>
      <c r="F75" s="1">
        <v>0</v>
      </c>
      <c r="G75" s="1">
        <v>-0.7</v>
      </c>
      <c r="H75" s="1">
        <v>0</v>
      </c>
      <c r="I75" s="1">
        <v>2</v>
      </c>
      <c r="J75" s="1">
        <v>0</v>
      </c>
      <c r="K75" s="1">
        <v>-62</v>
      </c>
      <c r="L75" s="1">
        <v>29.1</v>
      </c>
      <c r="M75" s="1">
        <v>1541.751</v>
      </c>
      <c r="N75" s="1">
        <v>87.4</v>
      </c>
      <c r="O75" s="1">
        <v>8</v>
      </c>
      <c r="P75" s="1">
        <v>10</v>
      </c>
      <c r="Q75" s="1">
        <v>2.84</v>
      </c>
      <c r="R75" s="1">
        <v>68</v>
      </c>
      <c r="S75" s="1">
        <v>110</v>
      </c>
      <c r="T75" s="1">
        <v>147</v>
      </c>
      <c r="U75" s="1">
        <v>1295.806</v>
      </c>
      <c r="V75" s="1">
        <v>484.49599999999998</v>
      </c>
      <c r="W75" s="1">
        <v>752.85199999999998</v>
      </c>
      <c r="X75" s="1">
        <v>132.18100000000001</v>
      </c>
      <c r="Y75" s="1">
        <v>4.9400000000000004</v>
      </c>
      <c r="Z75" s="1">
        <v>8.0150000000000006</v>
      </c>
      <c r="AA75" s="1">
        <v>21.7</v>
      </c>
      <c r="AB75" s="1">
        <v>290.5</v>
      </c>
      <c r="AC75" s="1">
        <v>12424</v>
      </c>
      <c r="AD75" s="1">
        <v>3056</v>
      </c>
      <c r="AE75" s="1">
        <v>268</v>
      </c>
      <c r="AF75" s="1">
        <v>19</v>
      </c>
      <c r="AG75" s="1">
        <v>19</v>
      </c>
      <c r="AH75" s="1">
        <v>35.299999999999997</v>
      </c>
      <c r="AI75" s="1">
        <v>51.4</v>
      </c>
      <c r="AJ75" s="1">
        <v>13.3</v>
      </c>
      <c r="AK75" s="1">
        <v>79.7</v>
      </c>
      <c r="AL75" s="1">
        <v>31.9</v>
      </c>
      <c r="AM75" s="1">
        <v>8</v>
      </c>
      <c r="AN75" s="1">
        <v>0</v>
      </c>
      <c r="AO75" s="1">
        <v>0</v>
      </c>
      <c r="AP75" s="1" t="s">
        <v>266</v>
      </c>
      <c r="AQ75" s="1" t="s">
        <v>267</v>
      </c>
      <c r="AR75" s="1" t="s">
        <v>268</v>
      </c>
    </row>
    <row r="76" spans="1:44" x14ac:dyDescent="0.2">
      <c r="A76" s="1" t="s">
        <v>145</v>
      </c>
      <c r="B76" s="1" t="s">
        <v>271</v>
      </c>
      <c r="C76" s="1">
        <v>-30.5</v>
      </c>
      <c r="D76" s="1">
        <v>480065.6</v>
      </c>
      <c r="E76" s="1">
        <v>5969576.2999999998</v>
      </c>
      <c r="F76" s="1">
        <v>0</v>
      </c>
      <c r="G76" s="1">
        <v>-0.6</v>
      </c>
      <c r="H76" s="1">
        <v>0</v>
      </c>
      <c r="I76" s="1">
        <v>2</v>
      </c>
      <c r="J76" s="1">
        <v>0</v>
      </c>
      <c r="K76" s="1">
        <v>-59.8</v>
      </c>
      <c r="L76" s="1">
        <v>29.3</v>
      </c>
      <c r="M76" s="1">
        <v>1450.9860000000001</v>
      </c>
      <c r="N76" s="1">
        <v>85.2</v>
      </c>
      <c r="O76" s="1">
        <v>8</v>
      </c>
      <c r="P76" s="1">
        <v>10</v>
      </c>
      <c r="Q76" s="1">
        <v>2.87</v>
      </c>
      <c r="R76" s="1">
        <v>64</v>
      </c>
      <c r="S76" s="1">
        <v>110</v>
      </c>
      <c r="T76" s="1">
        <v>147</v>
      </c>
      <c r="U76" s="1">
        <v>1296.1959999999999</v>
      </c>
      <c r="V76" s="1">
        <v>493.28</v>
      </c>
      <c r="W76" s="1">
        <v>752.85199999999998</v>
      </c>
      <c r="X76" s="1">
        <v>132.18100000000001</v>
      </c>
      <c r="Y76" s="1">
        <v>4.9400000000000004</v>
      </c>
      <c r="Z76" s="1">
        <v>8.0150000000000006</v>
      </c>
      <c r="AA76" s="1">
        <v>21.7</v>
      </c>
      <c r="AB76" s="1">
        <v>290.5</v>
      </c>
      <c r="AC76" s="1">
        <v>12289</v>
      </c>
      <c r="AD76" s="1">
        <v>2907</v>
      </c>
      <c r="AE76" s="1">
        <v>268</v>
      </c>
      <c r="AF76" s="1">
        <v>19</v>
      </c>
      <c r="AG76" s="1">
        <v>19</v>
      </c>
      <c r="AH76" s="1">
        <v>36.799999999999997</v>
      </c>
      <c r="AI76" s="1">
        <v>50.8</v>
      </c>
      <c r="AJ76" s="1">
        <v>12.4</v>
      </c>
      <c r="AK76" s="1">
        <v>77.099999999999994</v>
      </c>
      <c r="AL76" s="1">
        <v>31.9</v>
      </c>
      <c r="AM76" s="1">
        <v>8</v>
      </c>
      <c r="AN76" s="1">
        <v>0</v>
      </c>
      <c r="AO76" s="1">
        <v>0</v>
      </c>
      <c r="AP76" s="1" t="s">
        <v>266</v>
      </c>
      <c r="AQ76" s="1" t="s">
        <v>267</v>
      </c>
      <c r="AR76" s="1" t="s">
        <v>268</v>
      </c>
    </row>
    <row r="77" spans="1:44" x14ac:dyDescent="0.2">
      <c r="A77" s="1" t="s">
        <v>77</v>
      </c>
      <c r="B77" s="1" t="s">
        <v>265</v>
      </c>
      <c r="C77" s="1">
        <v>-36.9</v>
      </c>
      <c r="D77" s="1">
        <v>456830.5</v>
      </c>
      <c r="E77" s="1">
        <v>5967999.4000000004</v>
      </c>
      <c r="F77" s="1">
        <v>0</v>
      </c>
      <c r="G77" s="1">
        <v>-0.6</v>
      </c>
      <c r="H77" s="1">
        <v>0</v>
      </c>
      <c r="I77" s="1">
        <v>2</v>
      </c>
      <c r="J77" s="1">
        <v>0</v>
      </c>
      <c r="K77" s="1">
        <v>-63.1</v>
      </c>
      <c r="L77" s="1">
        <v>26.2</v>
      </c>
      <c r="M77" s="1">
        <v>1646.3109999999999</v>
      </c>
      <c r="N77" s="1">
        <v>88.5</v>
      </c>
      <c r="O77" s="1">
        <v>8</v>
      </c>
      <c r="P77" s="1">
        <v>10</v>
      </c>
      <c r="Q77" s="1">
        <v>2.56</v>
      </c>
      <c r="R77" s="1">
        <v>68</v>
      </c>
      <c r="S77" s="1">
        <v>110</v>
      </c>
      <c r="T77" s="1">
        <v>147</v>
      </c>
      <c r="U77" s="1">
        <v>1295.316</v>
      </c>
      <c r="V77" s="1">
        <v>396.88400000000001</v>
      </c>
      <c r="W77" s="1">
        <v>752.85199999999998</v>
      </c>
      <c r="X77" s="1">
        <v>132.18100000000001</v>
      </c>
      <c r="Y77" s="1">
        <v>4.9400000000000004</v>
      </c>
      <c r="Z77" s="1">
        <v>8.0150000000000006</v>
      </c>
      <c r="AA77" s="1">
        <v>21.7</v>
      </c>
      <c r="AB77" s="1">
        <v>290.5</v>
      </c>
      <c r="AC77" s="1">
        <v>12491</v>
      </c>
      <c r="AD77" s="1">
        <v>3304</v>
      </c>
      <c r="AE77" s="1">
        <v>268</v>
      </c>
      <c r="AF77" s="1">
        <v>17</v>
      </c>
      <c r="AG77" s="1">
        <v>17</v>
      </c>
      <c r="AH77" s="1">
        <v>33.299999999999997</v>
      </c>
      <c r="AI77" s="1">
        <v>53.8</v>
      </c>
      <c r="AJ77" s="1">
        <v>13</v>
      </c>
      <c r="AK77" s="1">
        <v>83.6</v>
      </c>
      <c r="AL77" s="1">
        <v>31.9</v>
      </c>
      <c r="AM77" s="1">
        <v>8</v>
      </c>
      <c r="AN77" s="1">
        <v>0</v>
      </c>
      <c r="AO77" s="1">
        <v>0</v>
      </c>
      <c r="AP77" s="1" t="s">
        <v>266</v>
      </c>
      <c r="AQ77" s="1" t="s">
        <v>267</v>
      </c>
      <c r="AR77" s="1" t="s">
        <v>268</v>
      </c>
    </row>
    <row r="78" spans="1:44" x14ac:dyDescent="0.2">
      <c r="A78" s="1" t="s">
        <v>23</v>
      </c>
      <c r="B78" s="1" t="s">
        <v>265</v>
      </c>
      <c r="C78" s="1">
        <v>-38.1</v>
      </c>
      <c r="D78" s="1">
        <v>459201</v>
      </c>
      <c r="E78" s="1">
        <v>5967340</v>
      </c>
      <c r="F78" s="1">
        <v>0</v>
      </c>
      <c r="G78" s="1">
        <v>-0.8</v>
      </c>
      <c r="H78" s="1">
        <v>0</v>
      </c>
      <c r="I78" s="1">
        <v>2</v>
      </c>
      <c r="J78" s="1">
        <v>0</v>
      </c>
      <c r="K78" s="1">
        <v>-67.3</v>
      </c>
      <c r="L78" s="1">
        <v>29.2</v>
      </c>
      <c r="M78" s="1">
        <v>1742.915</v>
      </c>
      <c r="N78" s="1">
        <v>92.7</v>
      </c>
      <c r="O78" s="1">
        <v>8</v>
      </c>
      <c r="P78" s="1">
        <v>10</v>
      </c>
      <c r="Q78" s="1">
        <v>2.84</v>
      </c>
      <c r="R78" s="1">
        <v>68</v>
      </c>
      <c r="S78" s="1">
        <v>110</v>
      </c>
      <c r="T78" s="1">
        <v>147</v>
      </c>
      <c r="U78" s="1">
        <v>1357.5319999999999</v>
      </c>
      <c r="V78" s="1">
        <v>458.685</v>
      </c>
      <c r="W78" s="1">
        <v>752.85199999999998</v>
      </c>
      <c r="X78" s="1">
        <v>132.18100000000001</v>
      </c>
      <c r="Y78" s="1">
        <v>4.9400000000000004</v>
      </c>
      <c r="Z78" s="1">
        <v>8.0150000000000006</v>
      </c>
      <c r="AA78" s="1">
        <v>21.7</v>
      </c>
      <c r="AB78" s="1">
        <v>290.5</v>
      </c>
      <c r="AC78" s="1">
        <v>12752</v>
      </c>
      <c r="AD78" s="1">
        <v>3378</v>
      </c>
      <c r="AE78" s="1">
        <v>268</v>
      </c>
      <c r="AF78" s="1">
        <v>19</v>
      </c>
      <c r="AG78" s="1">
        <v>19</v>
      </c>
      <c r="AH78" s="1">
        <v>31.5</v>
      </c>
      <c r="AI78" s="1">
        <v>56</v>
      </c>
      <c r="AJ78" s="1">
        <v>12.5</v>
      </c>
      <c r="AK78" s="1">
        <v>84.2</v>
      </c>
      <c r="AL78" s="1">
        <v>31.9</v>
      </c>
      <c r="AM78" s="1">
        <v>8</v>
      </c>
      <c r="AN78" s="1">
        <v>0</v>
      </c>
      <c r="AO78" s="1">
        <v>0</v>
      </c>
      <c r="AP78" s="1" t="s">
        <v>266</v>
      </c>
      <c r="AQ78" s="1" t="s">
        <v>267</v>
      </c>
      <c r="AR78" s="1" t="s">
        <v>268</v>
      </c>
    </row>
    <row r="79" spans="1:44" x14ac:dyDescent="0.2">
      <c r="A79" s="1" t="s">
        <v>173</v>
      </c>
      <c r="B79" s="1" t="s">
        <v>265</v>
      </c>
      <c r="C79" s="1">
        <v>-38.799999999999997</v>
      </c>
      <c r="D79" s="1">
        <v>462166</v>
      </c>
      <c r="E79" s="1">
        <v>5965760</v>
      </c>
      <c r="F79" s="1">
        <v>0</v>
      </c>
      <c r="G79" s="1">
        <v>-0.7</v>
      </c>
      <c r="H79" s="1">
        <v>0</v>
      </c>
      <c r="I79" s="1">
        <v>2</v>
      </c>
      <c r="J79" s="1">
        <v>0</v>
      </c>
      <c r="K79" s="1">
        <v>-70.900000000000006</v>
      </c>
      <c r="L79" s="1">
        <v>32.1</v>
      </c>
      <c r="M79" s="1">
        <v>1796.414</v>
      </c>
      <c r="N79" s="1">
        <v>96.3</v>
      </c>
      <c r="O79" s="1">
        <v>8</v>
      </c>
      <c r="P79" s="1">
        <v>10.5</v>
      </c>
      <c r="Q79" s="1">
        <v>2.9904999999999999</v>
      </c>
      <c r="R79" s="1">
        <v>72</v>
      </c>
      <c r="S79" s="1">
        <v>112</v>
      </c>
      <c r="T79" s="1">
        <v>146</v>
      </c>
      <c r="U79" s="1">
        <v>1471.742</v>
      </c>
      <c r="V79" s="1">
        <v>421.62700000000001</v>
      </c>
      <c r="W79" s="1">
        <v>752.85199999999998</v>
      </c>
      <c r="X79" s="1">
        <v>132.18100000000001</v>
      </c>
      <c r="Y79" s="1">
        <v>4.9400000000000004</v>
      </c>
      <c r="Z79" s="1">
        <v>8.0150000000000006</v>
      </c>
      <c r="AA79" s="1">
        <v>21.7</v>
      </c>
      <c r="AB79" s="1">
        <v>290.5</v>
      </c>
      <c r="AC79" s="1">
        <v>13141</v>
      </c>
      <c r="AD79" s="1">
        <v>3493</v>
      </c>
      <c r="AE79" s="1">
        <v>268</v>
      </c>
      <c r="AF79" s="1">
        <v>23</v>
      </c>
      <c r="AG79" s="1">
        <v>23</v>
      </c>
      <c r="AH79" s="1">
        <v>31.9</v>
      </c>
      <c r="AI79" s="1">
        <v>53.8</v>
      </c>
      <c r="AJ79" s="1">
        <v>14.3</v>
      </c>
      <c r="AK79" s="1">
        <v>81.400000000000006</v>
      </c>
      <c r="AL79" s="1">
        <v>31.9</v>
      </c>
      <c r="AM79" s="1">
        <v>8</v>
      </c>
      <c r="AN79" s="1">
        <v>0</v>
      </c>
      <c r="AO79" s="1">
        <v>0</v>
      </c>
      <c r="AP79" s="1" t="s">
        <v>270</v>
      </c>
      <c r="AQ79" s="1" t="s">
        <v>267</v>
      </c>
      <c r="AR79" s="1" t="s">
        <v>268</v>
      </c>
    </row>
    <row r="80" spans="1:44" x14ac:dyDescent="0.2">
      <c r="A80" s="1" t="s">
        <v>45</v>
      </c>
      <c r="B80" s="1" t="s">
        <v>269</v>
      </c>
      <c r="C80" s="1">
        <v>-36</v>
      </c>
      <c r="D80" s="1">
        <v>465189.5</v>
      </c>
      <c r="E80" s="1">
        <v>5964176</v>
      </c>
      <c r="F80" s="1">
        <v>0</v>
      </c>
      <c r="G80" s="1">
        <v>-0.6</v>
      </c>
      <c r="H80" s="1">
        <v>0</v>
      </c>
      <c r="I80" s="1">
        <v>2</v>
      </c>
      <c r="J80" s="1">
        <v>0</v>
      </c>
      <c r="K80" s="1">
        <v>-65.900000000000006</v>
      </c>
      <c r="L80" s="1">
        <v>29.9</v>
      </c>
      <c r="M80" s="1">
        <v>1684.673</v>
      </c>
      <c r="N80" s="1">
        <v>91.3</v>
      </c>
      <c r="O80" s="1">
        <v>8</v>
      </c>
      <c r="P80" s="1">
        <v>10</v>
      </c>
      <c r="Q80" s="1">
        <v>2.93</v>
      </c>
      <c r="R80" s="1">
        <v>68</v>
      </c>
      <c r="S80" s="1">
        <v>110</v>
      </c>
      <c r="T80" s="1">
        <v>147</v>
      </c>
      <c r="U80" s="1">
        <v>1357.7339999999999</v>
      </c>
      <c r="V80" s="1">
        <v>422.01600000000002</v>
      </c>
      <c r="W80" s="1">
        <v>752.85199999999998</v>
      </c>
      <c r="X80" s="1">
        <v>132.18100000000001</v>
      </c>
      <c r="Y80" s="1">
        <v>4.9400000000000004</v>
      </c>
      <c r="Z80" s="1">
        <v>8.0150000000000006</v>
      </c>
      <c r="AA80" s="1">
        <v>21.7</v>
      </c>
      <c r="AB80" s="1">
        <v>290.5</v>
      </c>
      <c r="AC80" s="1">
        <v>12666</v>
      </c>
      <c r="AD80" s="1">
        <v>3248</v>
      </c>
      <c r="AE80" s="1">
        <v>268</v>
      </c>
      <c r="AF80" s="1">
        <v>21</v>
      </c>
      <c r="AG80" s="1">
        <v>21</v>
      </c>
      <c r="AH80" s="1">
        <v>32.5</v>
      </c>
      <c r="AI80" s="1">
        <v>54.8</v>
      </c>
      <c r="AJ80" s="1">
        <v>12.7</v>
      </c>
      <c r="AK80" s="1">
        <v>82.8</v>
      </c>
      <c r="AL80" s="1">
        <v>31.9</v>
      </c>
      <c r="AM80" s="1">
        <v>8</v>
      </c>
      <c r="AN80" s="1">
        <v>0</v>
      </c>
      <c r="AO80" s="1">
        <v>0</v>
      </c>
      <c r="AP80" s="1" t="s">
        <v>266</v>
      </c>
      <c r="AQ80" s="1" t="s">
        <v>267</v>
      </c>
      <c r="AR80" s="1" t="s">
        <v>268</v>
      </c>
    </row>
    <row r="81" spans="1:44" x14ac:dyDescent="0.2">
      <c r="A81" s="1" t="s">
        <v>144</v>
      </c>
      <c r="B81" s="1" t="s">
        <v>265</v>
      </c>
      <c r="C81" s="1">
        <v>-31</v>
      </c>
      <c r="D81" s="1">
        <v>468965</v>
      </c>
      <c r="E81" s="1">
        <v>5961442.0999999996</v>
      </c>
      <c r="F81" s="1">
        <v>0</v>
      </c>
      <c r="G81" s="1">
        <v>-0.6</v>
      </c>
      <c r="H81" s="1">
        <v>0</v>
      </c>
      <c r="I81" s="1">
        <v>2</v>
      </c>
      <c r="J81" s="1">
        <v>0</v>
      </c>
      <c r="K81" s="1">
        <v>-59.9</v>
      </c>
      <c r="L81" s="1">
        <v>28.9</v>
      </c>
      <c r="M81" s="1">
        <v>1456.64</v>
      </c>
      <c r="N81" s="1">
        <v>85.3</v>
      </c>
      <c r="O81" s="1">
        <v>8</v>
      </c>
      <c r="P81" s="1">
        <v>10</v>
      </c>
      <c r="Q81" s="1">
        <v>2.83</v>
      </c>
      <c r="R81" s="1">
        <v>66</v>
      </c>
      <c r="S81" s="1">
        <v>110</v>
      </c>
      <c r="T81" s="1">
        <v>147</v>
      </c>
      <c r="U81" s="1">
        <v>1296.1579999999999</v>
      </c>
      <c r="V81" s="1">
        <v>524.24400000000003</v>
      </c>
      <c r="W81" s="1">
        <v>752.85199999999998</v>
      </c>
      <c r="X81" s="1">
        <v>132.18100000000001</v>
      </c>
      <c r="Y81" s="1">
        <v>4.9400000000000004</v>
      </c>
      <c r="Z81" s="1">
        <v>8.0150000000000006</v>
      </c>
      <c r="AA81" s="1">
        <v>21.7</v>
      </c>
      <c r="AB81" s="1">
        <v>290.5</v>
      </c>
      <c r="AC81" s="1">
        <v>12295</v>
      </c>
      <c r="AD81" s="1">
        <v>2938</v>
      </c>
      <c r="AE81" s="1">
        <v>268</v>
      </c>
      <c r="AF81" s="1">
        <v>19</v>
      </c>
      <c r="AG81" s="1">
        <v>19</v>
      </c>
      <c r="AH81" s="1">
        <v>36.700000000000003</v>
      </c>
      <c r="AI81" s="1">
        <v>50.7</v>
      </c>
      <c r="AJ81" s="1">
        <v>12.6</v>
      </c>
      <c r="AK81" s="1">
        <v>77.3</v>
      </c>
      <c r="AL81" s="1">
        <v>31.9</v>
      </c>
      <c r="AM81" s="1">
        <v>8</v>
      </c>
      <c r="AN81" s="1">
        <v>0</v>
      </c>
      <c r="AO81" s="1">
        <v>0</v>
      </c>
      <c r="AP81" s="1" t="s">
        <v>266</v>
      </c>
      <c r="AQ81" s="1" t="s">
        <v>267</v>
      </c>
      <c r="AR81" s="1" t="s">
        <v>268</v>
      </c>
    </row>
    <row r="82" spans="1:44" x14ac:dyDescent="0.2">
      <c r="A82" s="1" t="s">
        <v>159</v>
      </c>
      <c r="B82" s="1" t="s">
        <v>265</v>
      </c>
      <c r="C82" s="1">
        <v>-29.4</v>
      </c>
      <c r="D82" s="1">
        <v>472154.9</v>
      </c>
      <c r="E82" s="1">
        <v>5959675.2999999998</v>
      </c>
      <c r="F82" s="1">
        <v>0</v>
      </c>
      <c r="G82" s="1">
        <v>-0.7</v>
      </c>
      <c r="H82" s="1">
        <v>0</v>
      </c>
      <c r="I82" s="1">
        <v>2</v>
      </c>
      <c r="J82" s="1">
        <v>0</v>
      </c>
      <c r="K82" s="1">
        <v>-58.2</v>
      </c>
      <c r="L82" s="1">
        <v>28.8</v>
      </c>
      <c r="M82" s="1">
        <v>1422.4680000000001</v>
      </c>
      <c r="N82" s="1">
        <v>83.6</v>
      </c>
      <c r="O82" s="1">
        <v>8</v>
      </c>
      <c r="P82" s="1">
        <v>10</v>
      </c>
      <c r="Q82" s="1">
        <v>2.81</v>
      </c>
      <c r="R82" s="1">
        <v>64</v>
      </c>
      <c r="S82" s="1">
        <v>110</v>
      </c>
      <c r="T82" s="1">
        <v>147</v>
      </c>
      <c r="U82" s="1">
        <v>1233.8040000000001</v>
      </c>
      <c r="V82" s="1">
        <v>430.87599999999998</v>
      </c>
      <c r="W82" s="1">
        <v>752.85199999999998</v>
      </c>
      <c r="X82" s="1">
        <v>132.18100000000001</v>
      </c>
      <c r="Y82" s="1">
        <v>4.9400000000000004</v>
      </c>
      <c r="Z82" s="1">
        <v>8.0150000000000006</v>
      </c>
      <c r="AA82" s="1">
        <v>21.7</v>
      </c>
      <c r="AB82" s="1">
        <v>290.5</v>
      </c>
      <c r="AC82" s="1">
        <v>12189</v>
      </c>
      <c r="AD82" s="1">
        <v>2839</v>
      </c>
      <c r="AE82" s="1">
        <v>268</v>
      </c>
      <c r="AF82" s="1">
        <v>19</v>
      </c>
      <c r="AG82" s="1">
        <v>19</v>
      </c>
      <c r="AH82" s="1">
        <v>37.5</v>
      </c>
      <c r="AI82" s="1">
        <v>49.8</v>
      </c>
      <c r="AJ82" s="1">
        <v>12.6</v>
      </c>
      <c r="AK82" s="1">
        <v>77.099999999999994</v>
      </c>
      <c r="AL82" s="1">
        <v>31.9</v>
      </c>
      <c r="AM82" s="1">
        <v>8</v>
      </c>
      <c r="AN82" s="1">
        <v>0</v>
      </c>
      <c r="AO82" s="1">
        <v>0</v>
      </c>
      <c r="AP82" s="1" t="s">
        <v>266</v>
      </c>
      <c r="AQ82" s="1" t="s">
        <v>267</v>
      </c>
      <c r="AR82" s="1" t="s">
        <v>268</v>
      </c>
    </row>
    <row r="83" spans="1:44" x14ac:dyDescent="0.2">
      <c r="A83" s="1" t="s">
        <v>106</v>
      </c>
      <c r="B83" s="1" t="s">
        <v>269</v>
      </c>
      <c r="C83" s="1">
        <v>-31.4</v>
      </c>
      <c r="D83" s="1">
        <v>474974.3</v>
      </c>
      <c r="E83" s="1">
        <v>5958531.5999999996</v>
      </c>
      <c r="F83" s="1">
        <v>0</v>
      </c>
      <c r="G83" s="1">
        <v>-0.7</v>
      </c>
      <c r="H83" s="1">
        <v>0</v>
      </c>
      <c r="I83" s="1">
        <v>2</v>
      </c>
      <c r="J83" s="1">
        <v>0</v>
      </c>
      <c r="K83" s="1">
        <v>-62.4</v>
      </c>
      <c r="L83" s="1">
        <v>31</v>
      </c>
      <c r="M83" s="1">
        <v>1526.357</v>
      </c>
      <c r="N83" s="1">
        <v>87.8</v>
      </c>
      <c r="O83" s="1">
        <v>8</v>
      </c>
      <c r="P83" s="1">
        <v>10</v>
      </c>
      <c r="Q83" s="1">
        <v>3.03</v>
      </c>
      <c r="R83" s="1">
        <v>68</v>
      </c>
      <c r="S83" s="1">
        <v>110</v>
      </c>
      <c r="T83" s="1">
        <v>147</v>
      </c>
      <c r="U83" s="1">
        <v>1295.9949999999999</v>
      </c>
      <c r="V83" s="1">
        <v>555.55899999999997</v>
      </c>
      <c r="W83" s="1">
        <v>752.85199999999998</v>
      </c>
      <c r="X83" s="1">
        <v>132.18100000000001</v>
      </c>
      <c r="Y83" s="1">
        <v>4.9400000000000004</v>
      </c>
      <c r="Z83" s="1">
        <v>8.0150000000000006</v>
      </c>
      <c r="AA83" s="1">
        <v>21.7</v>
      </c>
      <c r="AB83" s="1">
        <v>290.5</v>
      </c>
      <c r="AC83" s="1">
        <v>12450</v>
      </c>
      <c r="AD83" s="1">
        <v>2963</v>
      </c>
      <c r="AE83" s="1">
        <v>268</v>
      </c>
      <c r="AF83" s="1">
        <v>21</v>
      </c>
      <c r="AG83" s="1">
        <v>21</v>
      </c>
      <c r="AH83" s="1">
        <v>35.5</v>
      </c>
      <c r="AI83" s="1">
        <v>51.8</v>
      </c>
      <c r="AJ83" s="1">
        <v>12.8</v>
      </c>
      <c r="AK83" s="1">
        <v>78.5</v>
      </c>
      <c r="AL83" s="1">
        <v>31.9</v>
      </c>
      <c r="AM83" s="1">
        <v>8</v>
      </c>
      <c r="AN83" s="1">
        <v>0</v>
      </c>
      <c r="AO83" s="1">
        <v>0</v>
      </c>
      <c r="AP83" s="1" t="s">
        <v>266</v>
      </c>
      <c r="AQ83" s="1" t="s">
        <v>267</v>
      </c>
      <c r="AR83" s="1" t="s">
        <v>268</v>
      </c>
    </row>
    <row r="84" spans="1:44" x14ac:dyDescent="0.2">
      <c r="A84" s="1" t="s">
        <v>120</v>
      </c>
      <c r="B84" s="1" t="s">
        <v>265</v>
      </c>
      <c r="C84" s="1">
        <v>-32.1</v>
      </c>
      <c r="D84" s="1">
        <v>478241.3</v>
      </c>
      <c r="E84" s="1">
        <v>5956648.2000000002</v>
      </c>
      <c r="F84" s="1">
        <v>0</v>
      </c>
      <c r="G84" s="1">
        <v>-0.7</v>
      </c>
      <c r="H84" s="1">
        <v>0</v>
      </c>
      <c r="I84" s="1">
        <v>2</v>
      </c>
      <c r="J84" s="1">
        <v>0</v>
      </c>
      <c r="K84" s="1">
        <v>-61.2</v>
      </c>
      <c r="L84" s="1">
        <v>29.1</v>
      </c>
      <c r="M84" s="1">
        <v>1508.8040000000001</v>
      </c>
      <c r="N84" s="1">
        <v>86.6</v>
      </c>
      <c r="O84" s="1">
        <v>8</v>
      </c>
      <c r="P84" s="1">
        <v>10</v>
      </c>
      <c r="Q84" s="1">
        <v>2.84</v>
      </c>
      <c r="R84" s="1">
        <v>68</v>
      </c>
      <c r="S84" s="1">
        <v>110</v>
      </c>
      <c r="T84" s="1">
        <v>147</v>
      </c>
      <c r="U84" s="1">
        <v>1295.9449999999999</v>
      </c>
      <c r="V84" s="1">
        <v>487.29899999999998</v>
      </c>
      <c r="W84" s="1">
        <v>752.85199999999998</v>
      </c>
      <c r="X84" s="1">
        <v>132.18100000000001</v>
      </c>
      <c r="Y84" s="1">
        <v>4.9400000000000004</v>
      </c>
      <c r="Z84" s="1">
        <v>8.0150000000000006</v>
      </c>
      <c r="AA84" s="1">
        <v>21.7</v>
      </c>
      <c r="AB84" s="1">
        <v>290.5</v>
      </c>
      <c r="AC84" s="1">
        <v>12375</v>
      </c>
      <c r="AD84" s="1">
        <v>3006</v>
      </c>
      <c r="AE84" s="1">
        <v>268</v>
      </c>
      <c r="AF84" s="1">
        <v>19</v>
      </c>
      <c r="AG84" s="1">
        <v>19</v>
      </c>
      <c r="AH84" s="1">
        <v>35.9</v>
      </c>
      <c r="AI84" s="1">
        <v>51.1</v>
      </c>
      <c r="AJ84" s="1">
        <v>13</v>
      </c>
      <c r="AK84" s="1">
        <v>78.8</v>
      </c>
      <c r="AL84" s="1">
        <v>31.9</v>
      </c>
      <c r="AM84" s="1">
        <v>8</v>
      </c>
      <c r="AN84" s="1">
        <v>0</v>
      </c>
      <c r="AO84" s="1">
        <v>0</v>
      </c>
      <c r="AP84" s="1" t="s">
        <v>266</v>
      </c>
      <c r="AQ84" s="1" t="s">
        <v>267</v>
      </c>
      <c r="AR84" s="1" t="s">
        <v>268</v>
      </c>
    </row>
    <row r="85" spans="1:44" x14ac:dyDescent="0.2">
      <c r="A85" s="1" t="s">
        <v>84</v>
      </c>
      <c r="B85" s="1" t="s">
        <v>269</v>
      </c>
      <c r="C85" s="1">
        <v>-34.1</v>
      </c>
      <c r="D85" s="1">
        <v>480591</v>
      </c>
      <c r="E85" s="1">
        <v>5956212.5</v>
      </c>
      <c r="F85" s="1">
        <v>0</v>
      </c>
      <c r="G85" s="1">
        <v>-0.6</v>
      </c>
      <c r="H85" s="1">
        <v>0</v>
      </c>
      <c r="I85" s="1">
        <v>2</v>
      </c>
      <c r="J85" s="1">
        <v>0</v>
      </c>
      <c r="K85" s="1">
        <v>-63.8</v>
      </c>
      <c r="L85" s="1">
        <v>29.7</v>
      </c>
      <c r="M85" s="1">
        <v>1595.403</v>
      </c>
      <c r="N85" s="1">
        <v>89.2</v>
      </c>
      <c r="O85" s="1">
        <v>8</v>
      </c>
      <c r="P85" s="1">
        <v>10</v>
      </c>
      <c r="Q85" s="1">
        <v>2.91</v>
      </c>
      <c r="R85" s="1">
        <v>68</v>
      </c>
      <c r="S85" s="1">
        <v>110</v>
      </c>
      <c r="T85" s="1">
        <v>147</v>
      </c>
      <c r="U85" s="1">
        <v>1358.0350000000001</v>
      </c>
      <c r="V85" s="1">
        <v>547.24</v>
      </c>
      <c r="W85" s="1">
        <v>752.85199999999998</v>
      </c>
      <c r="X85" s="1">
        <v>132.18100000000001</v>
      </c>
      <c r="Y85" s="1">
        <v>4.9400000000000004</v>
      </c>
      <c r="Z85" s="1">
        <v>8.0150000000000006</v>
      </c>
      <c r="AA85" s="1">
        <v>21.7</v>
      </c>
      <c r="AB85" s="1">
        <v>290.5</v>
      </c>
      <c r="AC85" s="1">
        <v>12536</v>
      </c>
      <c r="AD85" s="1">
        <v>3130</v>
      </c>
      <c r="AE85" s="1">
        <v>268</v>
      </c>
      <c r="AF85" s="1">
        <v>21</v>
      </c>
      <c r="AG85" s="1">
        <v>21</v>
      </c>
      <c r="AH85" s="1">
        <v>34.299999999999997</v>
      </c>
      <c r="AI85" s="1">
        <v>52.3</v>
      </c>
      <c r="AJ85" s="1">
        <v>13.4</v>
      </c>
      <c r="AK85" s="1">
        <v>80.599999999999994</v>
      </c>
      <c r="AL85" s="1">
        <v>31.9</v>
      </c>
      <c r="AM85" s="1">
        <v>8</v>
      </c>
      <c r="AN85" s="1">
        <v>0</v>
      </c>
      <c r="AO85" s="1">
        <v>0</v>
      </c>
      <c r="AP85" s="1" t="s">
        <v>266</v>
      </c>
      <c r="AQ85" s="1" t="s">
        <v>267</v>
      </c>
      <c r="AR85" s="1" t="s">
        <v>268</v>
      </c>
    </row>
    <row r="86" spans="1:44" x14ac:dyDescent="0.2">
      <c r="A86" s="1" t="s">
        <v>91</v>
      </c>
      <c r="B86" s="1" t="s">
        <v>269</v>
      </c>
      <c r="C86" s="1">
        <v>-34.4</v>
      </c>
      <c r="D86" s="1">
        <v>481023.4</v>
      </c>
      <c r="E86" s="1">
        <v>5958793.4000000004</v>
      </c>
      <c r="F86" s="1">
        <v>0</v>
      </c>
      <c r="G86" s="1">
        <v>-0.6</v>
      </c>
      <c r="H86" s="1">
        <v>0</v>
      </c>
      <c r="I86" s="1">
        <v>2</v>
      </c>
      <c r="J86" s="1">
        <v>0</v>
      </c>
      <c r="K86" s="1">
        <v>-63.2</v>
      </c>
      <c r="L86" s="1">
        <v>28.8</v>
      </c>
      <c r="M86" s="1">
        <v>1592.0550000000001</v>
      </c>
      <c r="N86" s="1">
        <v>88.6</v>
      </c>
      <c r="O86" s="1">
        <v>8</v>
      </c>
      <c r="P86" s="1">
        <v>10</v>
      </c>
      <c r="Q86" s="1">
        <v>2.82</v>
      </c>
      <c r="R86" s="1">
        <v>68</v>
      </c>
      <c r="S86" s="1">
        <v>110</v>
      </c>
      <c r="T86" s="1">
        <v>147</v>
      </c>
      <c r="U86" s="1">
        <v>1295.6559999999999</v>
      </c>
      <c r="V86" s="1">
        <v>577.726</v>
      </c>
      <c r="W86" s="1">
        <v>752.85199999999998</v>
      </c>
      <c r="X86" s="1">
        <v>132.18100000000001</v>
      </c>
      <c r="Y86" s="1">
        <v>4.9400000000000004</v>
      </c>
      <c r="Z86" s="1">
        <v>8.0150000000000006</v>
      </c>
      <c r="AA86" s="1">
        <v>21.7</v>
      </c>
      <c r="AB86" s="1">
        <v>290.5</v>
      </c>
      <c r="AC86" s="1">
        <v>12498</v>
      </c>
      <c r="AD86" s="1">
        <v>3149</v>
      </c>
      <c r="AE86" s="1">
        <v>268</v>
      </c>
      <c r="AF86" s="1">
        <v>19</v>
      </c>
      <c r="AG86" s="1">
        <v>19</v>
      </c>
      <c r="AH86" s="1">
        <v>34.4</v>
      </c>
      <c r="AI86" s="1">
        <v>52.3</v>
      </c>
      <c r="AJ86" s="1">
        <v>13.3</v>
      </c>
      <c r="AK86" s="1">
        <v>81</v>
      </c>
      <c r="AL86" s="1">
        <v>31.9</v>
      </c>
      <c r="AM86" s="1">
        <v>8</v>
      </c>
      <c r="AN86" s="1">
        <v>0</v>
      </c>
      <c r="AO86" s="1">
        <v>0</v>
      </c>
      <c r="AP86" s="1" t="s">
        <v>266</v>
      </c>
      <c r="AQ86" s="1" t="s">
        <v>267</v>
      </c>
      <c r="AR86" s="1" t="s">
        <v>268</v>
      </c>
    </row>
    <row r="87" spans="1:44" x14ac:dyDescent="0.2">
      <c r="A87" s="1" t="s">
        <v>177</v>
      </c>
      <c r="B87" s="1" t="s">
        <v>271</v>
      </c>
      <c r="C87" s="1">
        <v>-38.799999999999997</v>
      </c>
      <c r="D87" s="1">
        <v>481498</v>
      </c>
      <c r="E87" s="1">
        <v>5961220</v>
      </c>
      <c r="F87" s="1">
        <v>0</v>
      </c>
      <c r="G87" s="1">
        <v>-0.7</v>
      </c>
      <c r="H87" s="1">
        <v>0</v>
      </c>
      <c r="I87" s="1">
        <v>2</v>
      </c>
      <c r="J87" s="1">
        <v>0</v>
      </c>
      <c r="K87" s="1">
        <v>-68.599999999999994</v>
      </c>
      <c r="L87" s="1">
        <v>29.8</v>
      </c>
      <c r="M87" s="1">
        <v>1755.7370000000001</v>
      </c>
      <c r="N87" s="1">
        <v>94</v>
      </c>
      <c r="O87" s="1">
        <v>8</v>
      </c>
      <c r="P87" s="1">
        <v>10.5</v>
      </c>
      <c r="Q87" s="1">
        <v>2.7713999999999999</v>
      </c>
      <c r="R87" s="1">
        <v>72</v>
      </c>
      <c r="S87" s="1">
        <v>112</v>
      </c>
      <c r="T87" s="1">
        <v>146</v>
      </c>
      <c r="U87" s="1">
        <v>1406.2329999999999</v>
      </c>
      <c r="V87" s="1">
        <v>362.03100000000001</v>
      </c>
      <c r="W87" s="1">
        <v>752.85199999999998</v>
      </c>
      <c r="X87" s="1">
        <v>132.18100000000001</v>
      </c>
      <c r="Y87" s="1">
        <v>4.9400000000000004</v>
      </c>
      <c r="Z87" s="1">
        <v>8.0150000000000006</v>
      </c>
      <c r="AA87" s="1">
        <v>21.7</v>
      </c>
      <c r="AB87" s="1">
        <v>290.5</v>
      </c>
      <c r="AC87" s="1">
        <v>12990</v>
      </c>
      <c r="AD87" s="1">
        <v>3493</v>
      </c>
      <c r="AE87" s="1">
        <v>268</v>
      </c>
      <c r="AF87" s="1">
        <v>21</v>
      </c>
      <c r="AG87" s="1">
        <v>21</v>
      </c>
      <c r="AH87" s="1">
        <v>32.4</v>
      </c>
      <c r="AI87" s="1">
        <v>52.9</v>
      </c>
      <c r="AJ87" s="1">
        <v>14.8</v>
      </c>
      <c r="AK87" s="1">
        <v>81.7</v>
      </c>
      <c r="AL87" s="1">
        <v>31.9</v>
      </c>
      <c r="AM87" s="1">
        <v>8</v>
      </c>
      <c r="AN87" s="1">
        <v>0</v>
      </c>
      <c r="AO87" s="1">
        <v>0</v>
      </c>
      <c r="AP87" s="1" t="s">
        <v>270</v>
      </c>
      <c r="AQ87" s="1" t="s">
        <v>267</v>
      </c>
      <c r="AR87" s="1" t="s">
        <v>268</v>
      </c>
    </row>
    <row r="88" spans="1:44" x14ac:dyDescent="0.2">
      <c r="A88" s="1" t="s">
        <v>148</v>
      </c>
      <c r="B88" s="1" t="s">
        <v>265</v>
      </c>
      <c r="C88" s="1">
        <v>-29.6</v>
      </c>
      <c r="D88" s="1">
        <v>479406.2</v>
      </c>
      <c r="E88" s="1">
        <v>5967670</v>
      </c>
      <c r="F88" s="1">
        <v>0</v>
      </c>
      <c r="G88" s="1">
        <v>-0.6</v>
      </c>
      <c r="H88" s="1">
        <v>0</v>
      </c>
      <c r="I88" s="1">
        <v>2</v>
      </c>
      <c r="J88" s="1">
        <v>0</v>
      </c>
      <c r="K88" s="1">
        <v>-59.6</v>
      </c>
      <c r="L88" s="1">
        <v>30</v>
      </c>
      <c r="M88" s="1">
        <v>1442.941</v>
      </c>
      <c r="N88" s="1">
        <v>85</v>
      </c>
      <c r="O88" s="1">
        <v>8</v>
      </c>
      <c r="P88" s="1">
        <v>10</v>
      </c>
      <c r="Q88" s="1">
        <v>2.94</v>
      </c>
      <c r="R88" s="1">
        <v>64</v>
      </c>
      <c r="S88" s="1">
        <v>110</v>
      </c>
      <c r="T88" s="1">
        <v>147</v>
      </c>
      <c r="U88" s="1">
        <v>1296.2090000000001</v>
      </c>
      <c r="V88" s="1">
        <v>487.42399999999998</v>
      </c>
      <c r="W88" s="1">
        <v>752.85199999999998</v>
      </c>
      <c r="X88" s="1">
        <v>132.18100000000001</v>
      </c>
      <c r="Y88" s="1">
        <v>4.9400000000000004</v>
      </c>
      <c r="Z88" s="1">
        <v>8.0150000000000006</v>
      </c>
      <c r="AA88" s="1">
        <v>21.7</v>
      </c>
      <c r="AB88" s="1">
        <v>290.5</v>
      </c>
      <c r="AC88" s="1">
        <v>12276</v>
      </c>
      <c r="AD88" s="1">
        <v>2851</v>
      </c>
      <c r="AE88" s="1">
        <v>268</v>
      </c>
      <c r="AF88" s="1">
        <v>21</v>
      </c>
      <c r="AG88" s="1">
        <v>21</v>
      </c>
      <c r="AH88" s="1">
        <v>37</v>
      </c>
      <c r="AI88" s="1">
        <v>50.6</v>
      </c>
      <c r="AJ88" s="1">
        <v>12.5</v>
      </c>
      <c r="AK88" s="1">
        <v>76.900000000000006</v>
      </c>
      <c r="AL88" s="1">
        <v>31.9</v>
      </c>
      <c r="AM88" s="1">
        <v>8</v>
      </c>
      <c r="AN88" s="1">
        <v>0</v>
      </c>
      <c r="AO88" s="1">
        <v>0</v>
      </c>
      <c r="AP88" s="1" t="s">
        <v>266</v>
      </c>
      <c r="AQ88" s="1" t="s">
        <v>267</v>
      </c>
      <c r="AR88" s="1" t="s">
        <v>268</v>
      </c>
    </row>
    <row r="89" spans="1:44" x14ac:dyDescent="0.2">
      <c r="A89" s="1" t="s">
        <v>50</v>
      </c>
      <c r="B89" s="1" t="s">
        <v>265</v>
      </c>
      <c r="C89" s="1">
        <v>-35.4</v>
      </c>
      <c r="D89" s="1">
        <v>479140.8</v>
      </c>
      <c r="E89" s="1">
        <v>5971062</v>
      </c>
      <c r="F89" s="1">
        <v>0</v>
      </c>
      <c r="G89" s="1">
        <v>-0.8</v>
      </c>
      <c r="H89" s="1">
        <v>0</v>
      </c>
      <c r="I89" s="1">
        <v>2</v>
      </c>
      <c r="J89" s="1">
        <v>0</v>
      </c>
      <c r="K89" s="1">
        <v>-65.5</v>
      </c>
      <c r="L89" s="1">
        <v>30.1</v>
      </c>
      <c r="M89" s="1">
        <v>1663.2629999999999</v>
      </c>
      <c r="N89" s="1">
        <v>90.9</v>
      </c>
      <c r="O89" s="1">
        <v>8</v>
      </c>
      <c r="P89" s="1">
        <v>10</v>
      </c>
      <c r="Q89" s="1">
        <v>2.93</v>
      </c>
      <c r="R89" s="1">
        <v>68</v>
      </c>
      <c r="S89" s="1">
        <v>110</v>
      </c>
      <c r="T89" s="1">
        <v>147</v>
      </c>
      <c r="U89" s="1">
        <v>1357.8209999999999</v>
      </c>
      <c r="V89" s="1">
        <v>515.774</v>
      </c>
      <c r="W89" s="1">
        <v>752.85199999999998</v>
      </c>
      <c r="X89" s="1">
        <v>132.18100000000001</v>
      </c>
      <c r="Y89" s="1">
        <v>4.9400000000000004</v>
      </c>
      <c r="Z89" s="1">
        <v>8.0150000000000006</v>
      </c>
      <c r="AA89" s="1">
        <v>21.7</v>
      </c>
      <c r="AB89" s="1">
        <v>290.5</v>
      </c>
      <c r="AC89" s="1">
        <v>12641</v>
      </c>
      <c r="AD89" s="1">
        <v>3211</v>
      </c>
      <c r="AE89" s="1">
        <v>268</v>
      </c>
      <c r="AF89" s="1">
        <v>21</v>
      </c>
      <c r="AG89" s="1">
        <v>21</v>
      </c>
      <c r="AH89" s="1">
        <v>33</v>
      </c>
      <c r="AI89" s="1">
        <v>53.8</v>
      </c>
      <c r="AJ89" s="1">
        <v>13.1</v>
      </c>
      <c r="AK89" s="1">
        <v>82.2</v>
      </c>
      <c r="AL89" s="1">
        <v>31.9</v>
      </c>
      <c r="AM89" s="1">
        <v>8</v>
      </c>
      <c r="AN89" s="1">
        <v>0</v>
      </c>
      <c r="AO89" s="1">
        <v>0</v>
      </c>
      <c r="AP89" s="1" t="s">
        <v>266</v>
      </c>
      <c r="AQ89" s="1" t="s">
        <v>267</v>
      </c>
      <c r="AR89" s="1" t="s">
        <v>268</v>
      </c>
    </row>
    <row r="90" spans="1:44" x14ac:dyDescent="0.2">
      <c r="A90" s="1" t="s">
        <v>116</v>
      </c>
      <c r="B90" s="1" t="s">
        <v>265</v>
      </c>
      <c r="C90" s="1">
        <v>-35.6</v>
      </c>
      <c r="D90" s="1">
        <v>456105</v>
      </c>
      <c r="E90" s="1">
        <v>5969154</v>
      </c>
      <c r="F90" s="1">
        <v>0</v>
      </c>
      <c r="G90" s="1">
        <v>-0.6</v>
      </c>
      <c r="H90" s="1">
        <v>0</v>
      </c>
      <c r="I90" s="1">
        <v>2</v>
      </c>
      <c r="J90" s="1">
        <v>0</v>
      </c>
      <c r="K90" s="1">
        <v>-61.5</v>
      </c>
      <c r="L90" s="1">
        <v>25.9</v>
      </c>
      <c r="M90" s="1">
        <v>1561.069</v>
      </c>
      <c r="N90" s="1">
        <v>86.9</v>
      </c>
      <c r="O90" s="1">
        <v>8</v>
      </c>
      <c r="P90" s="1">
        <v>10</v>
      </c>
      <c r="Q90" s="1">
        <v>2.5299999999999998</v>
      </c>
      <c r="R90" s="1">
        <v>68</v>
      </c>
      <c r="S90" s="1">
        <v>110</v>
      </c>
      <c r="T90" s="1">
        <v>147</v>
      </c>
      <c r="U90" s="1">
        <v>1295.643</v>
      </c>
      <c r="V90" s="1">
        <v>521.10199999999998</v>
      </c>
      <c r="W90" s="1">
        <v>752.85199999999998</v>
      </c>
      <c r="X90" s="1">
        <v>132.18100000000001</v>
      </c>
      <c r="Y90" s="1">
        <v>4.9400000000000004</v>
      </c>
      <c r="Z90" s="1">
        <v>8.0150000000000006</v>
      </c>
      <c r="AA90" s="1">
        <v>21.7</v>
      </c>
      <c r="AB90" s="1">
        <v>290.5</v>
      </c>
      <c r="AC90" s="1">
        <v>12392</v>
      </c>
      <c r="AD90" s="1">
        <v>3224</v>
      </c>
      <c r="AE90" s="1">
        <v>268</v>
      </c>
      <c r="AF90" s="1">
        <v>17</v>
      </c>
      <c r="AG90" s="1">
        <v>17</v>
      </c>
      <c r="AH90" s="1">
        <v>35</v>
      </c>
      <c r="AI90" s="1">
        <v>51.7</v>
      </c>
      <c r="AJ90" s="1">
        <v>13.3</v>
      </c>
      <c r="AK90" s="1">
        <v>81.099999999999994</v>
      </c>
      <c r="AL90" s="1">
        <v>31.9</v>
      </c>
      <c r="AM90" s="1">
        <v>8</v>
      </c>
      <c r="AN90" s="1">
        <v>0</v>
      </c>
      <c r="AO90" s="1">
        <v>0</v>
      </c>
      <c r="AP90" s="1" t="s">
        <v>266</v>
      </c>
      <c r="AQ90" s="1" t="s">
        <v>267</v>
      </c>
      <c r="AR90" s="1" t="s">
        <v>268</v>
      </c>
    </row>
    <row r="91" spans="1:44" x14ac:dyDescent="0.2">
      <c r="A91" s="1" t="s">
        <v>185</v>
      </c>
      <c r="B91" s="1" t="s">
        <v>265</v>
      </c>
      <c r="C91" s="1">
        <v>-38.9</v>
      </c>
      <c r="D91" s="1">
        <v>458040</v>
      </c>
      <c r="E91" s="1">
        <v>5969202</v>
      </c>
      <c r="F91" s="1">
        <v>0</v>
      </c>
      <c r="G91" s="1">
        <v>-0.6</v>
      </c>
      <c r="H91" s="1">
        <v>0</v>
      </c>
      <c r="I91" s="1">
        <v>2</v>
      </c>
      <c r="J91" s="1">
        <v>0</v>
      </c>
      <c r="K91" s="1">
        <v>-66.5</v>
      </c>
      <c r="L91" s="1">
        <v>27.6</v>
      </c>
      <c r="M91" s="1">
        <v>1717.8989999999999</v>
      </c>
      <c r="N91" s="1">
        <v>91.9</v>
      </c>
      <c r="O91" s="1">
        <v>8</v>
      </c>
      <c r="P91" s="1">
        <v>10.5</v>
      </c>
      <c r="Q91" s="1">
        <v>2.5714000000000001</v>
      </c>
      <c r="R91" s="1">
        <v>72</v>
      </c>
      <c r="S91" s="1">
        <v>112</v>
      </c>
      <c r="T91" s="1">
        <v>146</v>
      </c>
      <c r="U91" s="1">
        <v>1406.1959999999999</v>
      </c>
      <c r="V91" s="1">
        <v>356.08100000000002</v>
      </c>
      <c r="W91" s="1">
        <v>752.85199999999998</v>
      </c>
      <c r="X91" s="1">
        <v>132.18100000000001</v>
      </c>
      <c r="Y91" s="1">
        <v>4.9400000000000004</v>
      </c>
      <c r="Z91" s="1">
        <v>8.0150000000000006</v>
      </c>
      <c r="AA91" s="1">
        <v>21.7</v>
      </c>
      <c r="AB91" s="1">
        <v>290.5</v>
      </c>
      <c r="AC91" s="1">
        <v>12852</v>
      </c>
      <c r="AD91" s="1">
        <v>3499</v>
      </c>
      <c r="AE91" s="1">
        <v>268</v>
      </c>
      <c r="AF91" s="1">
        <v>19</v>
      </c>
      <c r="AG91" s="1">
        <v>19</v>
      </c>
      <c r="AH91" s="1">
        <v>33.4</v>
      </c>
      <c r="AI91" s="1">
        <v>51.5</v>
      </c>
      <c r="AJ91" s="1">
        <v>15.2</v>
      </c>
      <c r="AK91" s="1">
        <v>82</v>
      </c>
      <c r="AL91" s="1">
        <v>31.9</v>
      </c>
      <c r="AM91" s="1">
        <v>8</v>
      </c>
      <c r="AN91" s="1">
        <v>0</v>
      </c>
      <c r="AO91" s="1">
        <v>0</v>
      </c>
      <c r="AP91" s="1" t="s">
        <v>270</v>
      </c>
      <c r="AQ91" s="1" t="s">
        <v>267</v>
      </c>
      <c r="AR91" s="1" t="s">
        <v>268</v>
      </c>
    </row>
    <row r="92" spans="1:44" x14ac:dyDescent="0.2">
      <c r="A92" s="1" t="s">
        <v>175</v>
      </c>
      <c r="B92" s="1" t="s">
        <v>265</v>
      </c>
      <c r="C92" s="1">
        <v>-39.4</v>
      </c>
      <c r="D92" s="1">
        <v>461186</v>
      </c>
      <c r="E92" s="1">
        <v>5967340.0999999996</v>
      </c>
      <c r="F92" s="1">
        <v>0</v>
      </c>
      <c r="G92" s="1">
        <v>-0.6</v>
      </c>
      <c r="H92" s="1">
        <v>0</v>
      </c>
      <c r="I92" s="1">
        <v>2</v>
      </c>
      <c r="J92" s="1">
        <v>0</v>
      </c>
      <c r="K92" s="1">
        <v>-69.400000000000006</v>
      </c>
      <c r="L92" s="1">
        <v>30</v>
      </c>
      <c r="M92" s="1">
        <v>1775.9870000000001</v>
      </c>
      <c r="N92" s="1">
        <v>94.8</v>
      </c>
      <c r="O92" s="1">
        <v>8</v>
      </c>
      <c r="P92" s="1">
        <v>10.5</v>
      </c>
      <c r="Q92" s="1">
        <v>2.8</v>
      </c>
      <c r="R92" s="1">
        <v>72</v>
      </c>
      <c r="S92" s="1">
        <v>112</v>
      </c>
      <c r="T92" s="1">
        <v>146</v>
      </c>
      <c r="U92" s="1">
        <v>1406.1959999999999</v>
      </c>
      <c r="V92" s="1">
        <v>421.17399999999998</v>
      </c>
      <c r="W92" s="1">
        <v>752.85199999999998</v>
      </c>
      <c r="X92" s="1">
        <v>132.18100000000001</v>
      </c>
      <c r="Y92" s="1">
        <v>4.9400000000000004</v>
      </c>
      <c r="Z92" s="1">
        <v>8.0150000000000006</v>
      </c>
      <c r="AA92" s="1">
        <v>21.7</v>
      </c>
      <c r="AB92" s="1">
        <v>290.5</v>
      </c>
      <c r="AC92" s="1">
        <v>13042</v>
      </c>
      <c r="AD92" s="1">
        <v>3532</v>
      </c>
      <c r="AE92" s="1">
        <v>268</v>
      </c>
      <c r="AF92" s="1">
        <v>21</v>
      </c>
      <c r="AG92" s="1">
        <v>21</v>
      </c>
      <c r="AH92" s="1">
        <v>32.299999999999997</v>
      </c>
      <c r="AI92" s="1">
        <v>53.2</v>
      </c>
      <c r="AJ92" s="1">
        <v>14.5</v>
      </c>
      <c r="AK92" s="1">
        <v>81.900000000000006</v>
      </c>
      <c r="AL92" s="1">
        <v>31.9</v>
      </c>
      <c r="AM92" s="1">
        <v>8</v>
      </c>
      <c r="AN92" s="1">
        <v>0</v>
      </c>
      <c r="AO92" s="1">
        <v>0</v>
      </c>
      <c r="AP92" s="1" t="s">
        <v>270</v>
      </c>
      <c r="AQ92" s="1" t="s">
        <v>267</v>
      </c>
      <c r="AR92" s="1" t="s">
        <v>268</v>
      </c>
    </row>
    <row r="93" spans="1:44" x14ac:dyDescent="0.2">
      <c r="A93" s="1" t="s">
        <v>18</v>
      </c>
      <c r="B93" s="1" t="s">
        <v>265</v>
      </c>
      <c r="C93" s="1">
        <v>-38</v>
      </c>
      <c r="D93" s="1">
        <v>464409.8</v>
      </c>
      <c r="E93" s="1">
        <v>5965428.0999999996</v>
      </c>
      <c r="F93" s="1">
        <v>0</v>
      </c>
      <c r="G93" s="1">
        <v>-0.6</v>
      </c>
      <c r="H93" s="1">
        <v>0</v>
      </c>
      <c r="I93" s="1">
        <v>2</v>
      </c>
      <c r="J93" s="1">
        <v>0</v>
      </c>
      <c r="K93" s="1">
        <v>-69.3</v>
      </c>
      <c r="L93" s="1">
        <v>31.3</v>
      </c>
      <c r="M93" s="1">
        <v>1799.0540000000001</v>
      </c>
      <c r="N93" s="1">
        <v>94.7</v>
      </c>
      <c r="O93" s="1">
        <v>8</v>
      </c>
      <c r="P93" s="1">
        <v>10</v>
      </c>
      <c r="Q93" s="1">
        <v>3.07</v>
      </c>
      <c r="R93" s="1">
        <v>68</v>
      </c>
      <c r="S93" s="1">
        <v>110</v>
      </c>
      <c r="T93" s="1">
        <v>147</v>
      </c>
      <c r="U93" s="1">
        <v>1419.761</v>
      </c>
      <c r="V93" s="1">
        <v>458.66</v>
      </c>
      <c r="W93" s="1">
        <v>752.85199999999998</v>
      </c>
      <c r="X93" s="1">
        <v>132.18100000000001</v>
      </c>
      <c r="Y93" s="1">
        <v>4.9400000000000004</v>
      </c>
      <c r="Z93" s="1">
        <v>8.0150000000000006</v>
      </c>
      <c r="AA93" s="1">
        <v>21.7</v>
      </c>
      <c r="AB93" s="1">
        <v>290.5</v>
      </c>
      <c r="AC93" s="1">
        <v>12876</v>
      </c>
      <c r="AD93" s="1">
        <v>3372</v>
      </c>
      <c r="AE93" s="1">
        <v>268</v>
      </c>
      <c r="AF93" s="1">
        <v>21</v>
      </c>
      <c r="AG93" s="1">
        <v>21</v>
      </c>
      <c r="AH93" s="1">
        <v>30.3</v>
      </c>
      <c r="AI93" s="1">
        <v>58.1</v>
      </c>
      <c r="AJ93" s="1">
        <v>11.6</v>
      </c>
      <c r="AK93" s="1">
        <v>84.7</v>
      </c>
      <c r="AL93" s="1">
        <v>31.9</v>
      </c>
      <c r="AM93" s="1">
        <v>8</v>
      </c>
      <c r="AN93" s="1">
        <v>0</v>
      </c>
      <c r="AO93" s="1">
        <v>0</v>
      </c>
      <c r="AP93" s="1" t="s">
        <v>266</v>
      </c>
      <c r="AQ93" s="1" t="s">
        <v>267</v>
      </c>
      <c r="AR93" s="1" t="s">
        <v>268</v>
      </c>
    </row>
    <row r="94" spans="1:44" x14ac:dyDescent="0.2">
      <c r="A94" s="1" t="s">
        <v>127</v>
      </c>
      <c r="B94" s="1" t="s">
        <v>269</v>
      </c>
      <c r="C94" s="1">
        <v>-32.299999999999997</v>
      </c>
      <c r="D94" s="1">
        <v>468148.5</v>
      </c>
      <c r="E94" s="1">
        <v>5962754.0999999996</v>
      </c>
      <c r="F94" s="1">
        <v>0</v>
      </c>
      <c r="G94" s="1">
        <v>-0.7</v>
      </c>
      <c r="H94" s="1">
        <v>0</v>
      </c>
      <c r="I94" s="1">
        <v>2</v>
      </c>
      <c r="J94" s="1">
        <v>0</v>
      </c>
      <c r="K94" s="1">
        <v>-60.9</v>
      </c>
      <c r="L94" s="1">
        <v>28.6</v>
      </c>
      <c r="M94" s="1">
        <v>1508.021</v>
      </c>
      <c r="N94" s="1">
        <v>86.3</v>
      </c>
      <c r="O94" s="1">
        <v>8</v>
      </c>
      <c r="P94" s="1">
        <v>10</v>
      </c>
      <c r="Q94" s="1">
        <v>2.79</v>
      </c>
      <c r="R94" s="1">
        <v>68</v>
      </c>
      <c r="S94" s="1">
        <v>110</v>
      </c>
      <c r="T94" s="1">
        <v>147</v>
      </c>
      <c r="U94" s="1">
        <v>1295.9069999999999</v>
      </c>
      <c r="V94" s="1">
        <v>522.82399999999996</v>
      </c>
      <c r="W94" s="1">
        <v>752.85199999999998</v>
      </c>
      <c r="X94" s="1">
        <v>132.18100000000001</v>
      </c>
      <c r="Y94" s="1">
        <v>4.9400000000000004</v>
      </c>
      <c r="Z94" s="1">
        <v>8.0150000000000006</v>
      </c>
      <c r="AA94" s="1">
        <v>21.7</v>
      </c>
      <c r="AB94" s="1">
        <v>290.5</v>
      </c>
      <c r="AC94" s="1">
        <v>12356</v>
      </c>
      <c r="AD94" s="1">
        <v>3019</v>
      </c>
      <c r="AE94" s="1">
        <v>268</v>
      </c>
      <c r="AF94" s="1">
        <v>19</v>
      </c>
      <c r="AG94" s="1">
        <v>19</v>
      </c>
      <c r="AH94" s="1">
        <v>35.9</v>
      </c>
      <c r="AI94" s="1">
        <v>50.8</v>
      </c>
      <c r="AJ94" s="1">
        <v>13.3</v>
      </c>
      <c r="AK94" s="1">
        <v>79</v>
      </c>
      <c r="AL94" s="1">
        <v>31.9</v>
      </c>
      <c r="AM94" s="1">
        <v>8</v>
      </c>
      <c r="AN94" s="1">
        <v>0</v>
      </c>
      <c r="AO94" s="1">
        <v>0</v>
      </c>
      <c r="AP94" s="1" t="s">
        <v>266</v>
      </c>
      <c r="AQ94" s="1" t="s">
        <v>267</v>
      </c>
      <c r="AR94" s="1" t="s">
        <v>268</v>
      </c>
    </row>
    <row r="95" spans="1:44" x14ac:dyDescent="0.2">
      <c r="A95" s="1" t="s">
        <v>151</v>
      </c>
      <c r="B95" s="1" t="s">
        <v>265</v>
      </c>
      <c r="C95" s="1">
        <v>-30.7</v>
      </c>
      <c r="D95" s="1">
        <v>471283.7</v>
      </c>
      <c r="E95" s="1">
        <v>5961073.2999999998</v>
      </c>
      <c r="F95" s="1">
        <v>0</v>
      </c>
      <c r="G95" s="1">
        <v>-0.6</v>
      </c>
      <c r="H95" s="1">
        <v>0</v>
      </c>
      <c r="I95" s="1">
        <v>2</v>
      </c>
      <c r="J95" s="1">
        <v>0</v>
      </c>
      <c r="K95" s="1">
        <v>-59.7</v>
      </c>
      <c r="L95" s="1">
        <v>29</v>
      </c>
      <c r="M95" s="1">
        <v>1448.5920000000001</v>
      </c>
      <c r="N95" s="1">
        <v>85.1</v>
      </c>
      <c r="O95" s="1">
        <v>8</v>
      </c>
      <c r="P95" s="1">
        <v>10</v>
      </c>
      <c r="Q95" s="1">
        <v>2.84</v>
      </c>
      <c r="R95" s="1">
        <v>64</v>
      </c>
      <c r="S95" s="1">
        <v>110</v>
      </c>
      <c r="T95" s="1">
        <v>147</v>
      </c>
      <c r="U95" s="1">
        <v>1296.1959999999999</v>
      </c>
      <c r="V95" s="1">
        <v>524.26900000000001</v>
      </c>
      <c r="W95" s="1">
        <v>752.85199999999998</v>
      </c>
      <c r="X95" s="1">
        <v>132.18100000000001</v>
      </c>
      <c r="Y95" s="1">
        <v>4.9400000000000004</v>
      </c>
      <c r="Z95" s="1">
        <v>8.0150000000000006</v>
      </c>
      <c r="AA95" s="1">
        <v>21.7</v>
      </c>
      <c r="AB95" s="1">
        <v>290.5</v>
      </c>
      <c r="AC95" s="1">
        <v>12282</v>
      </c>
      <c r="AD95" s="1">
        <v>2920</v>
      </c>
      <c r="AE95" s="1">
        <v>268</v>
      </c>
      <c r="AF95" s="1">
        <v>19</v>
      </c>
      <c r="AG95" s="1">
        <v>19</v>
      </c>
      <c r="AH95" s="1">
        <v>36.799999999999997</v>
      </c>
      <c r="AI95" s="1">
        <v>50.8</v>
      </c>
      <c r="AJ95" s="1">
        <v>12.4</v>
      </c>
      <c r="AK95" s="1">
        <v>77</v>
      </c>
      <c r="AL95" s="1">
        <v>31.9</v>
      </c>
      <c r="AM95" s="1">
        <v>8</v>
      </c>
      <c r="AN95" s="1">
        <v>0</v>
      </c>
      <c r="AO95" s="1">
        <v>0</v>
      </c>
      <c r="AP95" s="1" t="s">
        <v>266</v>
      </c>
      <c r="AQ95" s="1" t="s">
        <v>267</v>
      </c>
      <c r="AR95" s="1" t="s">
        <v>268</v>
      </c>
    </row>
    <row r="96" spans="1:44" x14ac:dyDescent="0.2">
      <c r="A96" s="1" t="s">
        <v>98</v>
      </c>
      <c r="B96" s="1" t="s">
        <v>265</v>
      </c>
      <c r="C96" s="1">
        <v>-30.8</v>
      </c>
      <c r="D96" s="1">
        <v>474045.4</v>
      </c>
      <c r="E96" s="1">
        <v>5960023.2999999998</v>
      </c>
      <c r="F96" s="1">
        <v>0</v>
      </c>
      <c r="G96" s="1">
        <v>-0.6</v>
      </c>
      <c r="H96" s="1">
        <v>0</v>
      </c>
      <c r="I96" s="1">
        <v>2</v>
      </c>
      <c r="J96" s="1">
        <v>0</v>
      </c>
      <c r="K96" s="1">
        <v>-62.6</v>
      </c>
      <c r="L96" s="1">
        <v>31.8</v>
      </c>
      <c r="M96" s="1">
        <v>1516.0550000000001</v>
      </c>
      <c r="N96" s="1">
        <v>88</v>
      </c>
      <c r="O96" s="1">
        <v>8</v>
      </c>
      <c r="P96" s="1">
        <v>10</v>
      </c>
      <c r="Q96" s="1">
        <v>3.12</v>
      </c>
      <c r="R96" s="1">
        <v>66</v>
      </c>
      <c r="S96" s="1">
        <v>110</v>
      </c>
      <c r="T96" s="1">
        <v>147</v>
      </c>
      <c r="U96" s="1">
        <v>1296.1579999999999</v>
      </c>
      <c r="V96" s="1">
        <v>586.64800000000002</v>
      </c>
      <c r="W96" s="1">
        <v>752.85199999999998</v>
      </c>
      <c r="X96" s="1">
        <v>132.18100000000001</v>
      </c>
      <c r="Y96" s="1">
        <v>4.9400000000000004</v>
      </c>
      <c r="Z96" s="1">
        <v>8.0150000000000006</v>
      </c>
      <c r="AA96" s="1">
        <v>21.7</v>
      </c>
      <c r="AB96" s="1">
        <v>290.5</v>
      </c>
      <c r="AC96" s="1">
        <v>12463</v>
      </c>
      <c r="AD96" s="1">
        <v>2926</v>
      </c>
      <c r="AE96" s="1">
        <v>268</v>
      </c>
      <c r="AF96" s="1">
        <v>23</v>
      </c>
      <c r="AG96" s="1">
        <v>23</v>
      </c>
      <c r="AH96" s="1">
        <v>35.299999999999997</v>
      </c>
      <c r="AI96" s="1">
        <v>52.6</v>
      </c>
      <c r="AJ96" s="1">
        <v>12.1</v>
      </c>
      <c r="AK96" s="1">
        <v>77.7</v>
      </c>
      <c r="AL96" s="1">
        <v>31.9</v>
      </c>
      <c r="AM96" s="1">
        <v>8</v>
      </c>
      <c r="AN96" s="1">
        <v>0</v>
      </c>
      <c r="AO96" s="1">
        <v>0</v>
      </c>
      <c r="AP96" s="1" t="s">
        <v>266</v>
      </c>
      <c r="AQ96" s="1" t="s">
        <v>267</v>
      </c>
      <c r="AR96" s="1" t="s">
        <v>268</v>
      </c>
    </row>
    <row r="97" spans="1:44" x14ac:dyDescent="0.2">
      <c r="A97" s="1" t="s">
        <v>132</v>
      </c>
      <c r="B97" s="1" t="s">
        <v>265</v>
      </c>
      <c r="C97" s="1">
        <v>-30.3</v>
      </c>
      <c r="D97" s="1">
        <v>477385.7</v>
      </c>
      <c r="E97" s="1">
        <v>5958021.7999999998</v>
      </c>
      <c r="F97" s="1">
        <v>0</v>
      </c>
      <c r="G97" s="1">
        <v>-0.7</v>
      </c>
      <c r="H97" s="1">
        <v>0</v>
      </c>
      <c r="I97" s="1">
        <v>2</v>
      </c>
      <c r="J97" s="1">
        <v>0</v>
      </c>
      <c r="K97" s="1">
        <v>-60.2</v>
      </c>
      <c r="L97" s="1">
        <v>29.9</v>
      </c>
      <c r="M97" s="1">
        <v>1464.59</v>
      </c>
      <c r="N97" s="1">
        <v>85.6</v>
      </c>
      <c r="O97" s="1">
        <v>8</v>
      </c>
      <c r="P97" s="1">
        <v>10</v>
      </c>
      <c r="Q97" s="1">
        <v>2.92</v>
      </c>
      <c r="R97" s="1">
        <v>66</v>
      </c>
      <c r="S97" s="1">
        <v>110</v>
      </c>
      <c r="T97" s="1">
        <v>147</v>
      </c>
      <c r="U97" s="1">
        <v>1296.171</v>
      </c>
      <c r="V97" s="1">
        <v>555.66</v>
      </c>
      <c r="W97" s="1">
        <v>752.85199999999998</v>
      </c>
      <c r="X97" s="1">
        <v>132.18100000000001</v>
      </c>
      <c r="Y97" s="1">
        <v>4.9400000000000004</v>
      </c>
      <c r="Z97" s="1">
        <v>8.0150000000000006</v>
      </c>
      <c r="AA97" s="1">
        <v>21.7</v>
      </c>
      <c r="AB97" s="1">
        <v>290.5</v>
      </c>
      <c r="AC97" s="1">
        <v>12313</v>
      </c>
      <c r="AD97" s="1">
        <v>2895</v>
      </c>
      <c r="AE97" s="1">
        <v>268</v>
      </c>
      <c r="AF97" s="1">
        <v>21</v>
      </c>
      <c r="AG97" s="1">
        <v>21</v>
      </c>
      <c r="AH97" s="1">
        <v>36.5</v>
      </c>
      <c r="AI97" s="1">
        <v>50.9</v>
      </c>
      <c r="AJ97" s="1">
        <v>12.5</v>
      </c>
      <c r="AK97" s="1">
        <v>77.400000000000006</v>
      </c>
      <c r="AL97" s="1">
        <v>31.9</v>
      </c>
      <c r="AM97" s="1">
        <v>8</v>
      </c>
      <c r="AN97" s="1">
        <v>0</v>
      </c>
      <c r="AO97" s="1">
        <v>0</v>
      </c>
      <c r="AP97" s="1" t="s">
        <v>266</v>
      </c>
      <c r="AQ97" s="1" t="s">
        <v>267</v>
      </c>
      <c r="AR97" s="1" t="s">
        <v>268</v>
      </c>
    </row>
    <row r="98" spans="1:44" x14ac:dyDescent="0.2">
      <c r="A98" s="1" t="s">
        <v>126</v>
      </c>
      <c r="B98" s="1" t="s">
        <v>269</v>
      </c>
      <c r="C98" s="1">
        <v>-32.5</v>
      </c>
      <c r="D98" s="1">
        <v>479762.7</v>
      </c>
      <c r="E98" s="1">
        <v>5957543.5</v>
      </c>
      <c r="F98" s="1">
        <v>0</v>
      </c>
      <c r="G98" s="1">
        <v>-0.7</v>
      </c>
      <c r="H98" s="1">
        <v>0</v>
      </c>
      <c r="I98" s="1">
        <v>2</v>
      </c>
      <c r="J98" s="1">
        <v>0</v>
      </c>
      <c r="K98" s="1">
        <v>-61</v>
      </c>
      <c r="L98" s="1">
        <v>28.5</v>
      </c>
      <c r="M98" s="1">
        <v>1507.2</v>
      </c>
      <c r="N98" s="1">
        <v>86.4</v>
      </c>
      <c r="O98" s="1">
        <v>8</v>
      </c>
      <c r="P98" s="1">
        <v>10</v>
      </c>
      <c r="Q98" s="1">
        <v>2.78</v>
      </c>
      <c r="R98" s="1">
        <v>68</v>
      </c>
      <c r="S98" s="1">
        <v>110</v>
      </c>
      <c r="T98" s="1">
        <v>147</v>
      </c>
      <c r="U98" s="1">
        <v>1295.92</v>
      </c>
      <c r="V98" s="1">
        <v>580.654</v>
      </c>
      <c r="W98" s="1">
        <v>752.85199999999998</v>
      </c>
      <c r="X98" s="1">
        <v>132.18100000000001</v>
      </c>
      <c r="Y98" s="1">
        <v>4.9400000000000004</v>
      </c>
      <c r="Z98" s="1">
        <v>8.0150000000000006</v>
      </c>
      <c r="AA98" s="1">
        <v>21.7</v>
      </c>
      <c r="AB98" s="1">
        <v>290.5</v>
      </c>
      <c r="AC98" s="1">
        <v>12362</v>
      </c>
      <c r="AD98" s="1">
        <v>3031</v>
      </c>
      <c r="AE98" s="1">
        <v>268</v>
      </c>
      <c r="AF98" s="1">
        <v>19</v>
      </c>
      <c r="AG98" s="1">
        <v>19</v>
      </c>
      <c r="AH98" s="1">
        <v>36</v>
      </c>
      <c r="AI98" s="1">
        <v>50.8</v>
      </c>
      <c r="AJ98" s="1">
        <v>13.2</v>
      </c>
      <c r="AK98" s="1">
        <v>78.900000000000006</v>
      </c>
      <c r="AL98" s="1">
        <v>31.9</v>
      </c>
      <c r="AM98" s="1">
        <v>8</v>
      </c>
      <c r="AN98" s="1">
        <v>0</v>
      </c>
      <c r="AO98" s="1">
        <v>0</v>
      </c>
      <c r="AP98" s="1" t="s">
        <v>266</v>
      </c>
      <c r="AQ98" s="1" t="s">
        <v>267</v>
      </c>
      <c r="AR98" s="1" t="s">
        <v>268</v>
      </c>
    </row>
    <row r="99" spans="1:44" x14ac:dyDescent="0.2">
      <c r="A99" s="1" t="s">
        <v>43</v>
      </c>
      <c r="B99" s="1" t="s">
        <v>265</v>
      </c>
      <c r="C99" s="1">
        <v>-36.1</v>
      </c>
      <c r="D99" s="1">
        <v>480034.7</v>
      </c>
      <c r="E99" s="1">
        <v>5960381.7000000002</v>
      </c>
      <c r="F99" s="1">
        <v>0</v>
      </c>
      <c r="G99" s="1">
        <v>-0.7</v>
      </c>
      <c r="H99" s="1">
        <v>0</v>
      </c>
      <c r="I99" s="1">
        <v>2</v>
      </c>
      <c r="J99" s="1">
        <v>0</v>
      </c>
      <c r="K99" s="1">
        <v>-64.7</v>
      </c>
      <c r="L99" s="1">
        <v>28.6</v>
      </c>
      <c r="M99" s="1">
        <v>1654.4780000000001</v>
      </c>
      <c r="N99" s="1">
        <v>90.1</v>
      </c>
      <c r="O99" s="1">
        <v>8</v>
      </c>
      <c r="P99" s="1">
        <v>10</v>
      </c>
      <c r="Q99" s="1">
        <v>2.79</v>
      </c>
      <c r="R99" s="1">
        <v>68</v>
      </c>
      <c r="S99" s="1">
        <v>110</v>
      </c>
      <c r="T99" s="1">
        <v>147</v>
      </c>
      <c r="U99" s="1">
        <v>1357.7460000000001</v>
      </c>
      <c r="V99" s="1">
        <v>427.81</v>
      </c>
      <c r="W99" s="1">
        <v>752.85199999999998</v>
      </c>
      <c r="X99" s="1">
        <v>132.18100000000001</v>
      </c>
      <c r="Y99" s="1">
        <v>4.9400000000000004</v>
      </c>
      <c r="Z99" s="1">
        <v>8.0150000000000006</v>
      </c>
      <c r="AA99" s="1">
        <v>21.7</v>
      </c>
      <c r="AB99" s="1">
        <v>290.5</v>
      </c>
      <c r="AC99" s="1">
        <v>12591</v>
      </c>
      <c r="AD99" s="1">
        <v>3254</v>
      </c>
      <c r="AE99" s="1">
        <v>268</v>
      </c>
      <c r="AF99" s="1">
        <v>19</v>
      </c>
      <c r="AG99" s="1">
        <v>19</v>
      </c>
      <c r="AH99" s="1">
        <v>33.200000000000003</v>
      </c>
      <c r="AI99" s="1">
        <v>53.6</v>
      </c>
      <c r="AJ99" s="1">
        <v>13.2</v>
      </c>
      <c r="AK99" s="1">
        <v>82.6</v>
      </c>
      <c r="AL99" s="1">
        <v>31.9</v>
      </c>
      <c r="AM99" s="1">
        <v>8</v>
      </c>
      <c r="AN99" s="1">
        <v>0</v>
      </c>
      <c r="AO99" s="1">
        <v>0</v>
      </c>
      <c r="AP99" s="1" t="s">
        <v>266</v>
      </c>
      <c r="AQ99" s="1" t="s">
        <v>267</v>
      </c>
      <c r="AR99" s="1" t="s">
        <v>268</v>
      </c>
    </row>
    <row r="100" spans="1:44" x14ac:dyDescent="0.2">
      <c r="A100" s="1" t="s">
        <v>39</v>
      </c>
      <c r="B100" s="1" t="s">
        <v>269</v>
      </c>
      <c r="C100" s="1">
        <v>-36.299999999999997</v>
      </c>
      <c r="D100" s="1">
        <v>479021</v>
      </c>
      <c r="E100" s="1">
        <v>5965200</v>
      </c>
      <c r="F100" s="1">
        <v>0</v>
      </c>
      <c r="G100" s="1">
        <v>-0.6</v>
      </c>
      <c r="H100" s="1">
        <v>0</v>
      </c>
      <c r="I100" s="1">
        <v>2</v>
      </c>
      <c r="J100" s="1">
        <v>0</v>
      </c>
      <c r="K100" s="1">
        <v>-65.900000000000006</v>
      </c>
      <c r="L100" s="1">
        <v>29.6</v>
      </c>
      <c r="M100" s="1">
        <v>1692.1030000000001</v>
      </c>
      <c r="N100" s="1">
        <v>91.3</v>
      </c>
      <c r="O100" s="1">
        <v>8</v>
      </c>
      <c r="P100" s="1">
        <v>10</v>
      </c>
      <c r="Q100" s="1">
        <v>2.9</v>
      </c>
      <c r="R100" s="1">
        <v>68</v>
      </c>
      <c r="S100" s="1">
        <v>110</v>
      </c>
      <c r="T100" s="1">
        <v>147</v>
      </c>
      <c r="U100" s="1">
        <v>1357.671</v>
      </c>
      <c r="V100" s="1">
        <v>421.99099999999999</v>
      </c>
      <c r="W100" s="1">
        <v>752.85199999999998</v>
      </c>
      <c r="X100" s="1">
        <v>132.18100000000001</v>
      </c>
      <c r="Y100" s="1">
        <v>4.9400000000000004</v>
      </c>
      <c r="Z100" s="1">
        <v>8.0150000000000006</v>
      </c>
      <c r="AA100" s="1">
        <v>21.7</v>
      </c>
      <c r="AB100" s="1">
        <v>290.5</v>
      </c>
      <c r="AC100" s="1">
        <v>12665</v>
      </c>
      <c r="AD100" s="1">
        <v>3267</v>
      </c>
      <c r="AE100" s="1">
        <v>268</v>
      </c>
      <c r="AF100" s="1">
        <v>21</v>
      </c>
      <c r="AG100" s="1">
        <v>21</v>
      </c>
      <c r="AH100" s="1">
        <v>32.4</v>
      </c>
      <c r="AI100" s="1">
        <v>54.9</v>
      </c>
      <c r="AJ100" s="1">
        <v>12.7</v>
      </c>
      <c r="AK100" s="1">
        <v>83.1</v>
      </c>
      <c r="AL100" s="1">
        <v>31.9</v>
      </c>
      <c r="AM100" s="1">
        <v>8</v>
      </c>
      <c r="AN100" s="1">
        <v>0</v>
      </c>
      <c r="AO100" s="1">
        <v>0</v>
      </c>
      <c r="AP100" s="1" t="s">
        <v>266</v>
      </c>
      <c r="AQ100" s="1" t="s">
        <v>267</v>
      </c>
      <c r="AR100" s="1" t="s">
        <v>268</v>
      </c>
    </row>
    <row r="101" spans="1:44" x14ac:dyDescent="0.2">
      <c r="A101" s="1" t="s">
        <v>149</v>
      </c>
      <c r="B101" s="1" t="s">
        <v>265</v>
      </c>
      <c r="C101" s="1">
        <v>-28</v>
      </c>
      <c r="D101" s="1">
        <v>478501.4</v>
      </c>
      <c r="E101" s="1">
        <v>5969120</v>
      </c>
      <c r="F101" s="1">
        <v>0</v>
      </c>
      <c r="G101" s="1">
        <v>-0.6</v>
      </c>
      <c r="H101" s="1">
        <v>0</v>
      </c>
      <c r="I101" s="1">
        <v>2</v>
      </c>
      <c r="J101" s="1">
        <v>0</v>
      </c>
      <c r="K101" s="1">
        <v>-59.9</v>
      </c>
      <c r="L101" s="1">
        <v>31.9</v>
      </c>
      <c r="M101" s="1">
        <v>1453.9970000000001</v>
      </c>
      <c r="N101" s="1">
        <v>85.3</v>
      </c>
      <c r="O101" s="1">
        <v>8</v>
      </c>
      <c r="P101" s="1">
        <v>10</v>
      </c>
      <c r="Q101" s="1">
        <v>3.13</v>
      </c>
      <c r="R101" s="1">
        <v>68</v>
      </c>
      <c r="S101" s="1">
        <v>110</v>
      </c>
      <c r="T101" s="1">
        <v>147</v>
      </c>
      <c r="U101" s="1">
        <v>1296.171</v>
      </c>
      <c r="V101" s="1">
        <v>455.983</v>
      </c>
      <c r="W101" s="1">
        <v>752.85199999999998</v>
      </c>
      <c r="X101" s="1">
        <v>132.18100000000001</v>
      </c>
      <c r="Y101" s="1">
        <v>4.9400000000000004</v>
      </c>
      <c r="Z101" s="1">
        <v>8.0150000000000006</v>
      </c>
      <c r="AA101" s="1">
        <v>21.7</v>
      </c>
      <c r="AB101" s="1">
        <v>290.5</v>
      </c>
      <c r="AC101" s="1">
        <v>12295</v>
      </c>
      <c r="AD101" s="1">
        <v>2751</v>
      </c>
      <c r="AE101" s="1">
        <v>268</v>
      </c>
      <c r="AF101" s="1">
        <v>23</v>
      </c>
      <c r="AG101" s="1">
        <v>23</v>
      </c>
      <c r="AH101" s="1">
        <v>36.700000000000003</v>
      </c>
      <c r="AI101" s="1">
        <v>50.7</v>
      </c>
      <c r="AJ101" s="1">
        <v>12.6</v>
      </c>
      <c r="AK101" s="1">
        <v>77.099999999999994</v>
      </c>
      <c r="AL101" s="1">
        <v>31.9</v>
      </c>
      <c r="AM101" s="1">
        <v>8</v>
      </c>
      <c r="AN101" s="1">
        <v>0</v>
      </c>
      <c r="AO101" s="1">
        <v>0</v>
      </c>
      <c r="AP101" s="1" t="s">
        <v>266</v>
      </c>
      <c r="AQ101" s="1" t="s">
        <v>267</v>
      </c>
      <c r="AR101" s="1" t="s">
        <v>268</v>
      </c>
    </row>
    <row r="102" spans="1:44" x14ac:dyDescent="0.2">
      <c r="A102" s="1" t="s">
        <v>55</v>
      </c>
      <c r="B102" s="1" t="s">
        <v>265</v>
      </c>
      <c r="C102" s="1">
        <v>-37.799999999999997</v>
      </c>
      <c r="D102" s="1">
        <v>478233</v>
      </c>
      <c r="E102" s="1">
        <v>5972520</v>
      </c>
      <c r="F102" s="1">
        <v>0</v>
      </c>
      <c r="G102" s="1">
        <v>-0.7</v>
      </c>
      <c r="H102" s="1">
        <v>0</v>
      </c>
      <c r="I102" s="1">
        <v>2</v>
      </c>
      <c r="J102" s="1">
        <v>0</v>
      </c>
      <c r="K102" s="1">
        <v>-64.3</v>
      </c>
      <c r="L102" s="1">
        <v>26.5</v>
      </c>
      <c r="M102" s="1">
        <v>1671.463</v>
      </c>
      <c r="N102" s="1">
        <v>89.7</v>
      </c>
      <c r="O102" s="1">
        <v>8</v>
      </c>
      <c r="P102" s="1">
        <v>10</v>
      </c>
      <c r="Q102" s="1">
        <v>2.58</v>
      </c>
      <c r="R102" s="1">
        <v>68</v>
      </c>
      <c r="S102" s="1">
        <v>110</v>
      </c>
      <c r="T102" s="1">
        <v>147</v>
      </c>
      <c r="U102" s="1">
        <v>1357.6079999999999</v>
      </c>
      <c r="V102" s="1">
        <v>483.73</v>
      </c>
      <c r="W102" s="1">
        <v>752.85199999999998</v>
      </c>
      <c r="X102" s="1">
        <v>132.18100000000001</v>
      </c>
      <c r="Y102" s="1">
        <v>4.9400000000000004</v>
      </c>
      <c r="Z102" s="1">
        <v>8.0150000000000006</v>
      </c>
      <c r="AA102" s="1">
        <v>21.7</v>
      </c>
      <c r="AB102" s="1">
        <v>290.5</v>
      </c>
      <c r="AC102" s="1">
        <v>12565</v>
      </c>
      <c r="AD102" s="1">
        <v>3360</v>
      </c>
      <c r="AE102" s="1">
        <v>268</v>
      </c>
      <c r="AF102" s="1">
        <v>17</v>
      </c>
      <c r="AG102" s="1">
        <v>17</v>
      </c>
      <c r="AH102" s="1">
        <v>32.9</v>
      </c>
      <c r="AI102" s="1">
        <v>54.1</v>
      </c>
      <c r="AJ102" s="1">
        <v>13.1</v>
      </c>
      <c r="AK102" s="1">
        <v>83.7</v>
      </c>
      <c r="AL102" s="1">
        <v>31.9</v>
      </c>
      <c r="AM102" s="1">
        <v>8</v>
      </c>
      <c r="AN102" s="1">
        <v>0</v>
      </c>
      <c r="AO102" s="1">
        <v>0</v>
      </c>
      <c r="AP102" s="1" t="s">
        <v>266</v>
      </c>
      <c r="AQ102" s="1" t="s">
        <v>267</v>
      </c>
      <c r="AR102" s="1" t="s">
        <v>268</v>
      </c>
    </row>
    <row r="103" spans="1:44" x14ac:dyDescent="0.2">
      <c r="A103" s="1" t="s">
        <v>107</v>
      </c>
      <c r="B103" s="1" t="s">
        <v>265</v>
      </c>
      <c r="C103" s="1">
        <v>-36.4</v>
      </c>
      <c r="D103" s="1">
        <v>455369.7</v>
      </c>
      <c r="E103" s="1">
        <v>5970324.9000000004</v>
      </c>
      <c r="F103" s="1">
        <v>0</v>
      </c>
      <c r="G103" s="1">
        <v>-0.6</v>
      </c>
      <c r="H103" s="1">
        <v>0</v>
      </c>
      <c r="I103" s="1">
        <v>2</v>
      </c>
      <c r="J103" s="1">
        <v>0</v>
      </c>
      <c r="K103" s="1">
        <v>-62</v>
      </c>
      <c r="L103" s="1">
        <v>25.6</v>
      </c>
      <c r="M103" s="1">
        <v>1579.0930000000001</v>
      </c>
      <c r="N103" s="1">
        <v>87.4</v>
      </c>
      <c r="O103" s="1">
        <v>8</v>
      </c>
      <c r="P103" s="1">
        <v>10</v>
      </c>
      <c r="Q103" s="1">
        <v>2.5</v>
      </c>
      <c r="R103" s="1">
        <v>68</v>
      </c>
      <c r="S103" s="1">
        <v>110</v>
      </c>
      <c r="T103" s="1">
        <v>147</v>
      </c>
      <c r="U103" s="1">
        <v>1295.568</v>
      </c>
      <c r="V103" s="1">
        <v>552.04100000000005</v>
      </c>
      <c r="W103" s="1">
        <v>752.85199999999998</v>
      </c>
      <c r="X103" s="1">
        <v>132.18100000000001</v>
      </c>
      <c r="Y103" s="1">
        <v>4.9400000000000004</v>
      </c>
      <c r="Z103" s="1">
        <v>8.0150000000000006</v>
      </c>
      <c r="AA103" s="1">
        <v>21.7</v>
      </c>
      <c r="AB103" s="1">
        <v>290.5</v>
      </c>
      <c r="AC103" s="1">
        <v>12423</v>
      </c>
      <c r="AD103" s="1">
        <v>3273</v>
      </c>
      <c r="AE103" s="1">
        <v>268</v>
      </c>
      <c r="AF103" s="1">
        <v>17</v>
      </c>
      <c r="AG103" s="1">
        <v>17</v>
      </c>
      <c r="AH103" s="1">
        <v>34.6</v>
      </c>
      <c r="AI103" s="1">
        <v>52.1</v>
      </c>
      <c r="AJ103" s="1">
        <v>13.3</v>
      </c>
      <c r="AK103" s="1">
        <v>81.5</v>
      </c>
      <c r="AL103" s="1">
        <v>31.9</v>
      </c>
      <c r="AM103" s="1">
        <v>8</v>
      </c>
      <c r="AN103" s="1">
        <v>0</v>
      </c>
      <c r="AO103" s="1">
        <v>0</v>
      </c>
      <c r="AP103" s="1" t="s">
        <v>266</v>
      </c>
      <c r="AQ103" s="1" t="s">
        <v>267</v>
      </c>
      <c r="AR103" s="1" t="s">
        <v>268</v>
      </c>
    </row>
    <row r="104" spans="1:44" x14ac:dyDescent="0.2">
      <c r="A104" s="1" t="s">
        <v>44</v>
      </c>
      <c r="B104" s="1" t="s">
        <v>265</v>
      </c>
      <c r="C104" s="1">
        <v>-37.4</v>
      </c>
      <c r="D104" s="1">
        <v>457232.9</v>
      </c>
      <c r="E104" s="1">
        <v>5970498.7000000002</v>
      </c>
      <c r="F104" s="1">
        <v>0</v>
      </c>
      <c r="G104" s="1">
        <v>-0.6</v>
      </c>
      <c r="H104" s="1">
        <v>0</v>
      </c>
      <c r="I104" s="1">
        <v>2</v>
      </c>
      <c r="J104" s="1">
        <v>0</v>
      </c>
      <c r="K104" s="1">
        <v>-65.3</v>
      </c>
      <c r="L104" s="1">
        <v>27.9</v>
      </c>
      <c r="M104" s="1">
        <v>1659.8589999999999</v>
      </c>
      <c r="N104" s="1">
        <v>90.7</v>
      </c>
      <c r="O104" s="1">
        <v>8</v>
      </c>
      <c r="P104" s="1">
        <v>10</v>
      </c>
      <c r="Q104" s="1">
        <v>2.73</v>
      </c>
      <c r="R104" s="1">
        <v>68</v>
      </c>
      <c r="S104" s="1">
        <v>110</v>
      </c>
      <c r="T104" s="1">
        <v>147</v>
      </c>
      <c r="U104" s="1">
        <v>1357.7840000000001</v>
      </c>
      <c r="V104" s="1">
        <v>427.822</v>
      </c>
      <c r="W104" s="1">
        <v>752.85199999999998</v>
      </c>
      <c r="X104" s="1">
        <v>132.18100000000001</v>
      </c>
      <c r="Y104" s="1">
        <v>4.9400000000000004</v>
      </c>
      <c r="Z104" s="1">
        <v>8.0150000000000006</v>
      </c>
      <c r="AA104" s="1">
        <v>21.7</v>
      </c>
      <c r="AB104" s="1">
        <v>290.5</v>
      </c>
      <c r="AC104" s="1">
        <v>12628</v>
      </c>
      <c r="AD104" s="1">
        <v>3335</v>
      </c>
      <c r="AE104" s="1">
        <v>268</v>
      </c>
      <c r="AF104" s="1">
        <v>19</v>
      </c>
      <c r="AG104" s="1">
        <v>19</v>
      </c>
      <c r="AH104" s="1">
        <v>33.1</v>
      </c>
      <c r="AI104" s="1">
        <v>53.9</v>
      </c>
      <c r="AJ104" s="1">
        <v>13.1</v>
      </c>
      <c r="AK104" s="1">
        <v>82.2</v>
      </c>
      <c r="AL104" s="1">
        <v>31.9</v>
      </c>
      <c r="AM104" s="1">
        <v>8</v>
      </c>
      <c r="AN104" s="1">
        <v>0</v>
      </c>
      <c r="AO104" s="1">
        <v>0</v>
      </c>
      <c r="AP104" s="1" t="s">
        <v>266</v>
      </c>
      <c r="AQ104" s="1" t="s">
        <v>267</v>
      </c>
      <c r="AR104" s="1" t="s">
        <v>268</v>
      </c>
    </row>
    <row r="105" spans="1:44" x14ac:dyDescent="0.2">
      <c r="A105" s="1" t="s">
        <v>137</v>
      </c>
      <c r="B105" s="1" t="s">
        <v>265</v>
      </c>
      <c r="C105" s="1">
        <v>-36.200000000000003</v>
      </c>
      <c r="D105" s="1">
        <v>460452</v>
      </c>
      <c r="E105" s="1">
        <v>5968518</v>
      </c>
      <c r="F105" s="1">
        <v>0</v>
      </c>
      <c r="G105" s="1">
        <v>-0.7</v>
      </c>
      <c r="H105" s="1">
        <v>0</v>
      </c>
      <c r="I105" s="1">
        <v>2</v>
      </c>
      <c r="J105" s="1">
        <v>0</v>
      </c>
      <c r="K105" s="1">
        <v>-59.728999999999999</v>
      </c>
      <c r="L105" s="1">
        <v>23.529</v>
      </c>
      <c r="M105" s="1">
        <v>1561.0119999999999</v>
      </c>
      <c r="N105" s="1">
        <v>85.129000000000005</v>
      </c>
      <c r="O105" s="1">
        <v>8</v>
      </c>
      <c r="P105" s="1">
        <v>10</v>
      </c>
      <c r="Q105" s="1">
        <v>2.2829000000000002</v>
      </c>
      <c r="R105" s="1">
        <v>68</v>
      </c>
      <c r="S105" s="1">
        <v>110</v>
      </c>
      <c r="T105" s="1">
        <v>147</v>
      </c>
      <c r="U105" s="1">
        <v>1233.125</v>
      </c>
      <c r="V105" s="1">
        <v>521.03899999999999</v>
      </c>
      <c r="W105" s="1">
        <v>752.85199999999998</v>
      </c>
      <c r="X105" s="1">
        <v>132.18100000000001</v>
      </c>
      <c r="Y105" s="1">
        <v>4.9400000000000004</v>
      </c>
      <c r="Z105" s="1">
        <v>8.0150000000000006</v>
      </c>
      <c r="AA105" s="1">
        <v>21.7</v>
      </c>
      <c r="AB105" s="1">
        <v>290.5</v>
      </c>
      <c r="AC105" s="1">
        <v>12281</v>
      </c>
      <c r="AD105" s="1">
        <v>3261</v>
      </c>
      <c r="AE105" s="1">
        <v>268</v>
      </c>
      <c r="AF105" s="1">
        <v>15</v>
      </c>
      <c r="AG105" s="1">
        <v>15</v>
      </c>
      <c r="AH105" s="1">
        <v>35.1</v>
      </c>
      <c r="AI105" s="1">
        <v>51.2</v>
      </c>
      <c r="AJ105" s="1">
        <v>13.7</v>
      </c>
      <c r="AK105" s="1">
        <v>82.8</v>
      </c>
      <c r="AL105" s="1">
        <v>31.9</v>
      </c>
      <c r="AM105" s="1">
        <v>8</v>
      </c>
      <c r="AN105" s="1">
        <v>0</v>
      </c>
      <c r="AO105" s="1">
        <v>0</v>
      </c>
      <c r="AP105" s="1" t="s">
        <v>266</v>
      </c>
      <c r="AQ105" s="1" t="s">
        <v>267</v>
      </c>
      <c r="AR105" s="1" t="s">
        <v>268</v>
      </c>
    </row>
    <row r="106" spans="1:44" x14ac:dyDescent="0.2">
      <c r="A106" s="1" t="s">
        <v>210</v>
      </c>
      <c r="B106" s="1" t="s">
        <v>265</v>
      </c>
      <c r="C106" s="1">
        <v>-41.1</v>
      </c>
      <c r="D106" s="1">
        <v>463631.6</v>
      </c>
      <c r="E106" s="1">
        <v>5966681.5999999996</v>
      </c>
      <c r="F106" s="1">
        <v>0</v>
      </c>
      <c r="G106" s="1">
        <v>-0.6</v>
      </c>
      <c r="H106" s="1">
        <v>0</v>
      </c>
      <c r="I106" s="1">
        <v>2</v>
      </c>
      <c r="J106" s="1">
        <v>0</v>
      </c>
      <c r="K106" s="1">
        <v>-72.900000000000006</v>
      </c>
      <c r="L106" s="1">
        <v>31.8</v>
      </c>
      <c r="M106" s="1">
        <v>1938.019</v>
      </c>
      <c r="N106" s="1">
        <v>98.3</v>
      </c>
      <c r="O106" s="1">
        <v>8</v>
      </c>
      <c r="P106" s="1">
        <v>11</v>
      </c>
      <c r="Q106" s="1">
        <v>2.8363999999999998</v>
      </c>
      <c r="R106" s="1">
        <v>70</v>
      </c>
      <c r="S106" s="1">
        <v>117</v>
      </c>
      <c r="T106" s="1">
        <v>149</v>
      </c>
      <c r="U106" s="1">
        <v>1575.5840000000001</v>
      </c>
      <c r="V106" s="1">
        <v>438.428</v>
      </c>
      <c r="W106" s="1">
        <v>752.85199999999998</v>
      </c>
      <c r="X106" s="1">
        <v>132.18100000000001</v>
      </c>
      <c r="Y106" s="1">
        <v>4.9400000000000004</v>
      </c>
      <c r="Z106" s="1">
        <v>8.0150000000000006</v>
      </c>
      <c r="AA106" s="1">
        <v>21.7</v>
      </c>
      <c r="AB106" s="1">
        <v>290.5</v>
      </c>
      <c r="AC106" s="1">
        <v>13430</v>
      </c>
      <c r="AD106" s="1">
        <v>3710</v>
      </c>
      <c r="AE106" s="1">
        <v>268</v>
      </c>
      <c r="AF106" s="1">
        <v>23</v>
      </c>
      <c r="AG106" s="1">
        <v>23</v>
      </c>
      <c r="AH106" s="1">
        <v>30.5</v>
      </c>
      <c r="AI106" s="1">
        <v>52.9</v>
      </c>
      <c r="AJ106" s="1">
        <v>16.600000000000001</v>
      </c>
      <c r="AK106" s="1">
        <v>83.8</v>
      </c>
      <c r="AL106" s="1">
        <v>31.9</v>
      </c>
      <c r="AM106" s="1">
        <v>8</v>
      </c>
      <c r="AN106" s="1">
        <v>0</v>
      </c>
      <c r="AO106" s="1">
        <v>0</v>
      </c>
      <c r="AP106" s="1" t="s">
        <v>270</v>
      </c>
      <c r="AQ106" s="1" t="s">
        <v>267</v>
      </c>
      <c r="AR106" s="1" t="s">
        <v>268</v>
      </c>
    </row>
    <row r="107" spans="1:44" x14ac:dyDescent="0.2">
      <c r="A107" s="1" t="s">
        <v>96</v>
      </c>
      <c r="B107" s="1" t="s">
        <v>265</v>
      </c>
      <c r="C107" s="1">
        <v>-34.700000000000003</v>
      </c>
      <c r="D107" s="1">
        <v>467332</v>
      </c>
      <c r="E107" s="1">
        <v>5964066.0999999996</v>
      </c>
      <c r="F107" s="1">
        <v>0</v>
      </c>
      <c r="G107" s="1">
        <v>-0.6</v>
      </c>
      <c r="H107" s="1">
        <v>0</v>
      </c>
      <c r="I107" s="1">
        <v>2</v>
      </c>
      <c r="J107" s="1">
        <v>0</v>
      </c>
      <c r="K107" s="1">
        <v>-63.1</v>
      </c>
      <c r="L107" s="1">
        <v>28.4</v>
      </c>
      <c r="M107" s="1">
        <v>1589.6179999999999</v>
      </c>
      <c r="N107" s="1">
        <v>88.5</v>
      </c>
      <c r="O107" s="1">
        <v>8</v>
      </c>
      <c r="P107" s="1">
        <v>10</v>
      </c>
      <c r="Q107" s="1">
        <v>2.78</v>
      </c>
      <c r="R107" s="1">
        <v>68</v>
      </c>
      <c r="S107" s="1">
        <v>110</v>
      </c>
      <c r="T107" s="1">
        <v>147</v>
      </c>
      <c r="U107" s="1">
        <v>1357.9849999999999</v>
      </c>
      <c r="V107" s="1">
        <v>515.34699999999998</v>
      </c>
      <c r="W107" s="1">
        <v>752.85199999999998</v>
      </c>
      <c r="X107" s="1">
        <v>132.18100000000001</v>
      </c>
      <c r="Y107" s="1">
        <v>4.9400000000000004</v>
      </c>
      <c r="Z107" s="1">
        <v>8.0150000000000006</v>
      </c>
      <c r="AA107" s="1">
        <v>21.7</v>
      </c>
      <c r="AB107" s="1">
        <v>290.5</v>
      </c>
      <c r="AC107" s="1">
        <v>12492</v>
      </c>
      <c r="AD107" s="1">
        <v>3167</v>
      </c>
      <c r="AE107" s="1">
        <v>268</v>
      </c>
      <c r="AF107" s="1">
        <v>19</v>
      </c>
      <c r="AG107" s="1">
        <v>19</v>
      </c>
      <c r="AH107" s="1">
        <v>34.5</v>
      </c>
      <c r="AI107" s="1">
        <v>52.2</v>
      </c>
      <c r="AJ107" s="1">
        <v>13.3</v>
      </c>
      <c r="AK107" s="1">
        <v>81</v>
      </c>
      <c r="AL107" s="1">
        <v>31.9</v>
      </c>
      <c r="AM107" s="1">
        <v>8</v>
      </c>
      <c r="AN107" s="1">
        <v>0</v>
      </c>
      <c r="AO107" s="1">
        <v>0</v>
      </c>
      <c r="AP107" s="1" t="s">
        <v>266</v>
      </c>
      <c r="AQ107" s="1" t="s">
        <v>267</v>
      </c>
      <c r="AR107" s="1" t="s">
        <v>268</v>
      </c>
    </row>
    <row r="108" spans="1:44" x14ac:dyDescent="0.2">
      <c r="A108" s="1" t="s">
        <v>142</v>
      </c>
      <c r="B108" s="1" t="s">
        <v>265</v>
      </c>
      <c r="C108" s="1">
        <v>-31.2</v>
      </c>
      <c r="D108" s="1">
        <v>470403.1</v>
      </c>
      <c r="E108" s="1">
        <v>5962485.2999999998</v>
      </c>
      <c r="F108" s="1">
        <v>0</v>
      </c>
      <c r="G108" s="1">
        <v>-0.6</v>
      </c>
      <c r="H108" s="1">
        <v>0</v>
      </c>
      <c r="I108" s="1">
        <v>2</v>
      </c>
      <c r="J108" s="1">
        <v>0</v>
      </c>
      <c r="K108" s="1">
        <v>-60.2</v>
      </c>
      <c r="L108" s="1">
        <v>29</v>
      </c>
      <c r="M108" s="1">
        <v>1468.6020000000001</v>
      </c>
      <c r="N108" s="1">
        <v>85.6</v>
      </c>
      <c r="O108" s="1">
        <v>8</v>
      </c>
      <c r="P108" s="1">
        <v>10</v>
      </c>
      <c r="Q108" s="1">
        <v>2.84</v>
      </c>
      <c r="R108" s="1">
        <v>68</v>
      </c>
      <c r="S108" s="1">
        <v>110</v>
      </c>
      <c r="T108" s="1">
        <v>147</v>
      </c>
      <c r="U108" s="1">
        <v>1296.1079999999999</v>
      </c>
      <c r="V108" s="1">
        <v>524.20600000000002</v>
      </c>
      <c r="W108" s="1">
        <v>752.85199999999998</v>
      </c>
      <c r="X108" s="1">
        <v>132.18100000000001</v>
      </c>
      <c r="Y108" s="1">
        <v>4.9400000000000004</v>
      </c>
      <c r="Z108" s="1">
        <v>8.0150000000000006</v>
      </c>
      <c r="AA108" s="1">
        <v>21.7</v>
      </c>
      <c r="AB108" s="1">
        <v>290.5</v>
      </c>
      <c r="AC108" s="1">
        <v>12313</v>
      </c>
      <c r="AD108" s="1">
        <v>2951</v>
      </c>
      <c r="AE108" s="1">
        <v>268</v>
      </c>
      <c r="AF108" s="1">
        <v>19</v>
      </c>
      <c r="AG108" s="1">
        <v>19</v>
      </c>
      <c r="AH108" s="1">
        <v>36.6</v>
      </c>
      <c r="AI108" s="1">
        <v>50.6</v>
      </c>
      <c r="AJ108" s="1">
        <v>12.8</v>
      </c>
      <c r="AK108" s="1">
        <v>77.599999999999994</v>
      </c>
      <c r="AL108" s="1">
        <v>31.9</v>
      </c>
      <c r="AM108" s="1">
        <v>8</v>
      </c>
      <c r="AN108" s="1">
        <v>0</v>
      </c>
      <c r="AO108" s="1">
        <v>0</v>
      </c>
      <c r="AP108" s="1" t="s">
        <v>266</v>
      </c>
      <c r="AQ108" s="1" t="s">
        <v>267</v>
      </c>
      <c r="AR108" s="1" t="s">
        <v>268</v>
      </c>
    </row>
    <row r="109" spans="1:44" x14ac:dyDescent="0.2">
      <c r="A109" s="1" t="s">
        <v>147</v>
      </c>
      <c r="B109" s="1" t="s">
        <v>265</v>
      </c>
      <c r="C109" s="1">
        <v>-30.2</v>
      </c>
      <c r="D109" s="1">
        <v>473116.5</v>
      </c>
      <c r="E109" s="1">
        <v>5961515</v>
      </c>
      <c r="F109" s="1">
        <v>0</v>
      </c>
      <c r="G109" s="1">
        <v>-0.7</v>
      </c>
      <c r="H109" s="1">
        <v>0</v>
      </c>
      <c r="I109" s="1">
        <v>2</v>
      </c>
      <c r="J109" s="1">
        <v>0</v>
      </c>
      <c r="K109" s="1">
        <v>-59.7</v>
      </c>
      <c r="L109" s="1">
        <v>29.5</v>
      </c>
      <c r="M109" s="1">
        <v>1444.606</v>
      </c>
      <c r="N109" s="1">
        <v>85.1</v>
      </c>
      <c r="O109" s="1">
        <v>8</v>
      </c>
      <c r="P109" s="1">
        <v>10</v>
      </c>
      <c r="Q109" s="1">
        <v>2.88</v>
      </c>
      <c r="R109" s="1">
        <v>64</v>
      </c>
      <c r="S109" s="1">
        <v>110</v>
      </c>
      <c r="T109" s="1">
        <v>147</v>
      </c>
      <c r="U109" s="1">
        <v>1296.2090000000001</v>
      </c>
      <c r="V109" s="1">
        <v>524.69600000000003</v>
      </c>
      <c r="W109" s="1">
        <v>752.85199999999998</v>
      </c>
      <c r="X109" s="1">
        <v>132.18100000000001</v>
      </c>
      <c r="Y109" s="1">
        <v>4.9400000000000004</v>
      </c>
      <c r="Z109" s="1">
        <v>8.0150000000000006</v>
      </c>
      <c r="AA109" s="1">
        <v>21.7</v>
      </c>
      <c r="AB109" s="1">
        <v>290.5</v>
      </c>
      <c r="AC109" s="1">
        <v>12282</v>
      </c>
      <c r="AD109" s="1">
        <v>2889</v>
      </c>
      <c r="AE109" s="1">
        <v>268</v>
      </c>
      <c r="AF109" s="1">
        <v>21</v>
      </c>
      <c r="AG109" s="1">
        <v>21</v>
      </c>
      <c r="AH109" s="1">
        <v>36.9</v>
      </c>
      <c r="AI109" s="1">
        <v>50.6</v>
      </c>
      <c r="AJ109" s="1">
        <v>12.4</v>
      </c>
      <c r="AK109" s="1">
        <v>76.8</v>
      </c>
      <c r="AL109" s="1">
        <v>31.9</v>
      </c>
      <c r="AM109" s="1">
        <v>8</v>
      </c>
      <c r="AN109" s="1">
        <v>0</v>
      </c>
      <c r="AO109" s="1">
        <v>0</v>
      </c>
      <c r="AP109" s="1" t="s">
        <v>266</v>
      </c>
      <c r="AQ109" s="1" t="s">
        <v>267</v>
      </c>
      <c r="AR109" s="1" t="s">
        <v>268</v>
      </c>
    </row>
    <row r="110" spans="1:44" x14ac:dyDescent="0.2">
      <c r="A110" s="1" t="s">
        <v>143</v>
      </c>
      <c r="B110" s="1" t="s">
        <v>265</v>
      </c>
      <c r="C110" s="1">
        <v>-30</v>
      </c>
      <c r="D110" s="1">
        <v>476536.9</v>
      </c>
      <c r="E110" s="1">
        <v>5959385.4000000004</v>
      </c>
      <c r="F110" s="1">
        <v>0</v>
      </c>
      <c r="G110" s="1">
        <v>-0.7</v>
      </c>
      <c r="H110" s="1">
        <v>0</v>
      </c>
      <c r="I110" s="1">
        <v>2</v>
      </c>
      <c r="J110" s="1">
        <v>0</v>
      </c>
      <c r="K110" s="1">
        <v>-59.8</v>
      </c>
      <c r="L110" s="1">
        <v>29.8</v>
      </c>
      <c r="M110" s="1">
        <v>1449.8040000000001</v>
      </c>
      <c r="N110" s="1">
        <v>85.2</v>
      </c>
      <c r="O110" s="1">
        <v>8</v>
      </c>
      <c r="P110" s="1">
        <v>10</v>
      </c>
      <c r="Q110" s="1">
        <v>2.91</v>
      </c>
      <c r="R110" s="1">
        <v>68</v>
      </c>
      <c r="S110" s="1">
        <v>110</v>
      </c>
      <c r="T110" s="1">
        <v>147</v>
      </c>
      <c r="U110" s="1">
        <v>1296.183</v>
      </c>
      <c r="V110" s="1">
        <v>549.80399999999997</v>
      </c>
      <c r="W110" s="1">
        <v>752.85199999999998</v>
      </c>
      <c r="X110" s="1">
        <v>132.18100000000001</v>
      </c>
      <c r="Y110" s="1">
        <v>4.9400000000000004</v>
      </c>
      <c r="Z110" s="1">
        <v>8.0150000000000006</v>
      </c>
      <c r="AA110" s="1">
        <v>21.7</v>
      </c>
      <c r="AB110" s="1">
        <v>290.5</v>
      </c>
      <c r="AC110" s="1">
        <v>12289</v>
      </c>
      <c r="AD110" s="1">
        <v>2876</v>
      </c>
      <c r="AE110" s="1">
        <v>268</v>
      </c>
      <c r="AF110" s="1">
        <v>21</v>
      </c>
      <c r="AG110" s="1">
        <v>21</v>
      </c>
      <c r="AH110" s="1">
        <v>36.799999999999997</v>
      </c>
      <c r="AI110" s="1">
        <v>50.5</v>
      </c>
      <c r="AJ110" s="1">
        <v>12.6</v>
      </c>
      <c r="AK110" s="1">
        <v>77</v>
      </c>
      <c r="AL110" s="1">
        <v>31.9</v>
      </c>
      <c r="AM110" s="1">
        <v>8</v>
      </c>
      <c r="AN110" s="1">
        <v>0</v>
      </c>
      <c r="AO110" s="1">
        <v>0</v>
      </c>
      <c r="AP110" s="1" t="s">
        <v>266</v>
      </c>
      <c r="AQ110" s="1" t="s">
        <v>267</v>
      </c>
      <c r="AR110" s="1" t="s">
        <v>268</v>
      </c>
    </row>
    <row r="111" spans="1:44" x14ac:dyDescent="0.2">
      <c r="A111" s="1" t="s">
        <v>146</v>
      </c>
      <c r="B111" s="1" t="s">
        <v>269</v>
      </c>
      <c r="C111" s="1">
        <v>-31.3</v>
      </c>
      <c r="D111" s="1">
        <v>478945.5</v>
      </c>
      <c r="E111" s="1">
        <v>5958856.7999999998</v>
      </c>
      <c r="F111" s="1">
        <v>0</v>
      </c>
      <c r="G111" s="1">
        <v>-0.7</v>
      </c>
      <c r="H111" s="1">
        <v>0</v>
      </c>
      <c r="I111" s="1">
        <v>2</v>
      </c>
      <c r="J111" s="1">
        <v>0</v>
      </c>
      <c r="K111" s="1">
        <v>-59.8</v>
      </c>
      <c r="L111" s="1">
        <v>28.5</v>
      </c>
      <c r="M111" s="1">
        <v>1458.9590000000001</v>
      </c>
      <c r="N111" s="1">
        <v>85.2</v>
      </c>
      <c r="O111" s="1">
        <v>8</v>
      </c>
      <c r="P111" s="1">
        <v>10</v>
      </c>
      <c r="Q111" s="1">
        <v>2.78</v>
      </c>
      <c r="R111" s="1">
        <v>68</v>
      </c>
      <c r="S111" s="1">
        <v>110</v>
      </c>
      <c r="T111" s="1">
        <v>147</v>
      </c>
      <c r="U111" s="1">
        <v>1296.1210000000001</v>
      </c>
      <c r="V111" s="1">
        <v>611.75599999999997</v>
      </c>
      <c r="W111" s="1">
        <v>752.85199999999998</v>
      </c>
      <c r="X111" s="1">
        <v>132.18100000000001</v>
      </c>
      <c r="Y111" s="1">
        <v>4.9400000000000004</v>
      </c>
      <c r="Z111" s="1">
        <v>8.0150000000000006</v>
      </c>
      <c r="AA111" s="1">
        <v>21.7</v>
      </c>
      <c r="AB111" s="1">
        <v>290.5</v>
      </c>
      <c r="AC111" s="1">
        <v>12288</v>
      </c>
      <c r="AD111" s="1">
        <v>2957</v>
      </c>
      <c r="AE111" s="1">
        <v>268</v>
      </c>
      <c r="AF111" s="1">
        <v>19</v>
      </c>
      <c r="AG111" s="1">
        <v>19</v>
      </c>
      <c r="AH111" s="1">
        <v>36.799999999999997</v>
      </c>
      <c r="AI111" s="1">
        <v>50.4</v>
      </c>
      <c r="AJ111" s="1">
        <v>12.8</v>
      </c>
      <c r="AK111" s="1">
        <v>77.5</v>
      </c>
      <c r="AL111" s="1">
        <v>31.9</v>
      </c>
      <c r="AM111" s="1">
        <v>8</v>
      </c>
      <c r="AN111" s="1">
        <v>0</v>
      </c>
      <c r="AO111" s="1">
        <v>0</v>
      </c>
      <c r="AP111" s="1" t="s">
        <v>266</v>
      </c>
      <c r="AQ111" s="1" t="s">
        <v>267</v>
      </c>
      <c r="AR111" s="1" t="s">
        <v>268</v>
      </c>
    </row>
    <row r="112" spans="1:44" x14ac:dyDescent="0.2">
      <c r="A112" s="1" t="s">
        <v>166</v>
      </c>
      <c r="B112" s="1" t="s">
        <v>265</v>
      </c>
      <c r="C112" s="1">
        <v>-41.9</v>
      </c>
      <c r="D112" s="1">
        <v>479046</v>
      </c>
      <c r="E112" s="1">
        <v>5961970</v>
      </c>
      <c r="F112" s="1">
        <v>0</v>
      </c>
      <c r="G112" s="1">
        <v>-0.6</v>
      </c>
      <c r="H112" s="1">
        <v>0</v>
      </c>
      <c r="I112" s="1">
        <v>2</v>
      </c>
      <c r="J112" s="1">
        <v>0</v>
      </c>
      <c r="K112" s="1">
        <v>-75.7</v>
      </c>
      <c r="L112" s="1">
        <v>33.799999999999997</v>
      </c>
      <c r="M112" s="1">
        <v>1968.748</v>
      </c>
      <c r="N112" s="1">
        <v>101.1</v>
      </c>
      <c r="O112" s="1">
        <v>8</v>
      </c>
      <c r="P112" s="1">
        <v>10.5</v>
      </c>
      <c r="Q112" s="1">
        <v>3.1619000000000002</v>
      </c>
      <c r="R112" s="1">
        <v>72</v>
      </c>
      <c r="S112" s="1">
        <v>112</v>
      </c>
      <c r="T112" s="1">
        <v>146</v>
      </c>
      <c r="U112" s="1">
        <v>1536.672</v>
      </c>
      <c r="V112" s="1">
        <v>394.46499999999997</v>
      </c>
      <c r="W112" s="1">
        <v>752.85199999999998</v>
      </c>
      <c r="X112" s="1">
        <v>132.18100000000001</v>
      </c>
      <c r="Y112" s="1">
        <v>4.9400000000000004</v>
      </c>
      <c r="Z112" s="1">
        <v>8.0150000000000006</v>
      </c>
      <c r="AA112" s="1">
        <v>21.7</v>
      </c>
      <c r="AB112" s="1">
        <v>290.5</v>
      </c>
      <c r="AC112" s="1">
        <v>13453</v>
      </c>
      <c r="AD112" s="1">
        <v>3694</v>
      </c>
      <c r="AE112" s="1">
        <v>268</v>
      </c>
      <c r="AF112" s="1">
        <v>24.6</v>
      </c>
      <c r="AG112" s="1">
        <v>24.6</v>
      </c>
      <c r="AH112" s="1">
        <v>30.9</v>
      </c>
      <c r="AI112" s="1">
        <v>55</v>
      </c>
      <c r="AJ112" s="1">
        <v>14.1</v>
      </c>
      <c r="AK112" s="1">
        <v>84.8</v>
      </c>
      <c r="AL112" s="1">
        <v>31.9</v>
      </c>
      <c r="AM112" s="1">
        <v>8</v>
      </c>
      <c r="AN112" s="1">
        <v>0</v>
      </c>
      <c r="AO112" s="1">
        <v>0</v>
      </c>
      <c r="AP112" s="1" t="s">
        <v>270</v>
      </c>
      <c r="AQ112" s="1" t="s">
        <v>267</v>
      </c>
      <c r="AR112" s="1" t="s">
        <v>268</v>
      </c>
    </row>
    <row r="113" spans="1:44" x14ac:dyDescent="0.2">
      <c r="A113" s="1" t="s">
        <v>115</v>
      </c>
      <c r="B113" s="1" t="s">
        <v>269</v>
      </c>
      <c r="C113" s="1">
        <v>-32.5</v>
      </c>
      <c r="D113" s="1">
        <v>478022.8</v>
      </c>
      <c r="E113" s="1">
        <v>5966804</v>
      </c>
      <c r="F113" s="1">
        <v>0</v>
      </c>
      <c r="G113" s="1">
        <v>-0.7</v>
      </c>
      <c r="H113" s="1">
        <v>0</v>
      </c>
      <c r="I113" s="1">
        <v>2</v>
      </c>
      <c r="J113" s="1">
        <v>0</v>
      </c>
      <c r="K113" s="1">
        <v>-61.9</v>
      </c>
      <c r="L113" s="1">
        <v>29.4</v>
      </c>
      <c r="M113" s="1">
        <v>1533.354</v>
      </c>
      <c r="N113" s="1">
        <v>87.3</v>
      </c>
      <c r="O113" s="1">
        <v>8</v>
      </c>
      <c r="P113" s="1">
        <v>10</v>
      </c>
      <c r="Q113" s="1">
        <v>2.87</v>
      </c>
      <c r="R113" s="1">
        <v>68</v>
      </c>
      <c r="S113" s="1">
        <v>110</v>
      </c>
      <c r="T113" s="1">
        <v>147</v>
      </c>
      <c r="U113" s="1">
        <v>1295.857</v>
      </c>
      <c r="V113" s="1">
        <v>522.81100000000004</v>
      </c>
      <c r="W113" s="1">
        <v>752.85199999999998</v>
      </c>
      <c r="X113" s="1">
        <v>132.18100000000001</v>
      </c>
      <c r="Y113" s="1">
        <v>4.9400000000000004</v>
      </c>
      <c r="Z113" s="1">
        <v>8.0150000000000006</v>
      </c>
      <c r="AA113" s="1">
        <v>21.7</v>
      </c>
      <c r="AB113" s="1">
        <v>290.5</v>
      </c>
      <c r="AC113" s="1">
        <v>12418</v>
      </c>
      <c r="AD113" s="1">
        <v>3031</v>
      </c>
      <c r="AE113" s="1">
        <v>268</v>
      </c>
      <c r="AF113" s="1">
        <v>21</v>
      </c>
      <c r="AG113" s="1">
        <v>21</v>
      </c>
      <c r="AH113" s="1">
        <v>35.4</v>
      </c>
      <c r="AI113" s="1">
        <v>51.3</v>
      </c>
      <c r="AJ113" s="1">
        <v>13.3</v>
      </c>
      <c r="AK113" s="1">
        <v>79.3</v>
      </c>
      <c r="AL113" s="1">
        <v>31.9</v>
      </c>
      <c r="AM113" s="1">
        <v>8</v>
      </c>
      <c r="AN113" s="1">
        <v>0</v>
      </c>
      <c r="AO113" s="1">
        <v>0</v>
      </c>
      <c r="AP113" s="1" t="s">
        <v>266</v>
      </c>
      <c r="AQ113" s="1" t="s">
        <v>267</v>
      </c>
      <c r="AR113" s="1" t="s">
        <v>268</v>
      </c>
    </row>
    <row r="114" spans="1:44" x14ac:dyDescent="0.2">
      <c r="A114" s="1" t="s">
        <v>89</v>
      </c>
      <c r="B114" s="1" t="s">
        <v>265</v>
      </c>
      <c r="C114" s="1">
        <v>-31</v>
      </c>
      <c r="D114" s="1">
        <v>477596.6</v>
      </c>
      <c r="E114" s="1">
        <v>5970570</v>
      </c>
      <c r="F114" s="1">
        <v>0</v>
      </c>
      <c r="G114" s="1">
        <v>-0.6</v>
      </c>
      <c r="H114" s="1">
        <v>0</v>
      </c>
      <c r="I114" s="1">
        <v>2</v>
      </c>
      <c r="J114" s="1">
        <v>0</v>
      </c>
      <c r="K114" s="1">
        <v>-63.7</v>
      </c>
      <c r="L114" s="1">
        <v>32.700000000000003</v>
      </c>
      <c r="M114" s="1">
        <v>1516.56</v>
      </c>
      <c r="N114" s="1">
        <v>89.1</v>
      </c>
      <c r="O114" s="1">
        <v>8</v>
      </c>
      <c r="P114" s="1">
        <v>10</v>
      </c>
      <c r="Q114" s="1">
        <v>3.21</v>
      </c>
      <c r="R114" s="1">
        <v>68</v>
      </c>
      <c r="S114" s="1">
        <v>110</v>
      </c>
      <c r="T114" s="1">
        <v>147</v>
      </c>
      <c r="U114" s="1">
        <v>1358.575</v>
      </c>
      <c r="V114" s="1">
        <v>611.78099999999995</v>
      </c>
      <c r="W114" s="1">
        <v>752.85199999999998</v>
      </c>
      <c r="X114" s="1">
        <v>132.18100000000001</v>
      </c>
      <c r="Y114" s="1">
        <v>4.9400000000000004</v>
      </c>
      <c r="Z114" s="1">
        <v>8.0150000000000006</v>
      </c>
      <c r="AA114" s="1">
        <v>21.7</v>
      </c>
      <c r="AB114" s="1">
        <v>290.5</v>
      </c>
      <c r="AC114" s="1">
        <v>12532</v>
      </c>
      <c r="AD114" s="1">
        <v>2939</v>
      </c>
      <c r="AE114" s="1">
        <v>268</v>
      </c>
      <c r="AF114" s="1">
        <v>23</v>
      </c>
      <c r="AG114" s="1">
        <v>23</v>
      </c>
      <c r="AH114" s="1">
        <v>35.200000000000003</v>
      </c>
      <c r="AI114" s="1">
        <v>52.7</v>
      </c>
      <c r="AJ114" s="1">
        <v>12.1</v>
      </c>
      <c r="AK114" s="1">
        <v>76.7</v>
      </c>
      <c r="AL114" s="1">
        <v>31.9</v>
      </c>
      <c r="AM114" s="1">
        <v>8</v>
      </c>
      <c r="AN114" s="1">
        <v>0</v>
      </c>
      <c r="AO114" s="1">
        <v>0</v>
      </c>
      <c r="AP114" s="1" t="s">
        <v>266</v>
      </c>
      <c r="AQ114" s="1" t="s">
        <v>267</v>
      </c>
      <c r="AR114" s="1" t="s">
        <v>268</v>
      </c>
    </row>
    <row r="115" spans="1:44" x14ac:dyDescent="0.2">
      <c r="A115" s="1" t="s">
        <v>76</v>
      </c>
      <c r="B115" s="1" t="s">
        <v>265</v>
      </c>
      <c r="C115" s="1">
        <v>-36.700000000000003</v>
      </c>
      <c r="D115" s="1">
        <v>454650.5</v>
      </c>
      <c r="E115" s="1">
        <v>5971468.7999999998</v>
      </c>
      <c r="F115" s="1">
        <v>0</v>
      </c>
      <c r="G115" s="1">
        <v>-0.7</v>
      </c>
      <c r="H115" s="1">
        <v>0</v>
      </c>
      <c r="I115" s="1">
        <v>2</v>
      </c>
      <c r="J115" s="1">
        <v>0</v>
      </c>
      <c r="K115" s="1">
        <v>-63.4</v>
      </c>
      <c r="L115" s="1">
        <v>26.7</v>
      </c>
      <c r="M115" s="1">
        <v>1630.3330000000001</v>
      </c>
      <c r="N115" s="1">
        <v>88.8</v>
      </c>
      <c r="O115" s="1">
        <v>8</v>
      </c>
      <c r="P115" s="1">
        <v>10</v>
      </c>
      <c r="Q115" s="1">
        <v>2.6</v>
      </c>
      <c r="R115" s="1">
        <v>68</v>
      </c>
      <c r="S115" s="1">
        <v>110</v>
      </c>
      <c r="T115" s="1">
        <v>147</v>
      </c>
      <c r="U115" s="1">
        <v>1295.442</v>
      </c>
      <c r="V115" s="1">
        <v>490.16399999999999</v>
      </c>
      <c r="W115" s="1">
        <v>752.85199999999998</v>
      </c>
      <c r="X115" s="1">
        <v>132.18100000000001</v>
      </c>
      <c r="Y115" s="1">
        <v>4.9400000000000004</v>
      </c>
      <c r="Z115" s="1">
        <v>8.0150000000000006</v>
      </c>
      <c r="AA115" s="1">
        <v>21.7</v>
      </c>
      <c r="AB115" s="1">
        <v>290.5</v>
      </c>
      <c r="AC115" s="1">
        <v>12510</v>
      </c>
      <c r="AD115" s="1">
        <v>3292</v>
      </c>
      <c r="AE115" s="1">
        <v>268</v>
      </c>
      <c r="AF115" s="1">
        <v>17</v>
      </c>
      <c r="AG115" s="1">
        <v>17</v>
      </c>
      <c r="AH115" s="1">
        <v>33.700000000000003</v>
      </c>
      <c r="AI115" s="1">
        <v>53</v>
      </c>
      <c r="AJ115" s="1">
        <v>13.3</v>
      </c>
      <c r="AK115" s="1">
        <v>82.7</v>
      </c>
      <c r="AL115" s="1">
        <v>31.9</v>
      </c>
      <c r="AM115" s="1">
        <v>8</v>
      </c>
      <c r="AN115" s="1">
        <v>0</v>
      </c>
      <c r="AO115" s="1">
        <v>0</v>
      </c>
      <c r="AP115" s="1" t="s">
        <v>266</v>
      </c>
      <c r="AQ115" s="1" t="s">
        <v>267</v>
      </c>
      <c r="AR115" s="1" t="s">
        <v>268</v>
      </c>
    </row>
    <row r="116" spans="1:44" x14ac:dyDescent="0.2">
      <c r="A116" s="1" t="s">
        <v>46</v>
      </c>
      <c r="B116" s="1" t="s">
        <v>265</v>
      </c>
      <c r="C116" s="1">
        <v>-36.799999999999997</v>
      </c>
      <c r="D116" s="1">
        <v>456375</v>
      </c>
      <c r="E116" s="1">
        <v>5971877.2000000002</v>
      </c>
      <c r="F116" s="1">
        <v>0</v>
      </c>
      <c r="G116" s="1">
        <v>-0.6</v>
      </c>
      <c r="H116" s="1">
        <v>0</v>
      </c>
      <c r="I116" s="1">
        <v>2</v>
      </c>
      <c r="J116" s="1">
        <v>0</v>
      </c>
      <c r="K116" s="1">
        <v>-65.3</v>
      </c>
      <c r="L116" s="1">
        <v>28.5</v>
      </c>
      <c r="M116" s="1">
        <v>1648.7059999999999</v>
      </c>
      <c r="N116" s="1">
        <v>90.7</v>
      </c>
      <c r="O116" s="1">
        <v>8</v>
      </c>
      <c r="P116" s="1">
        <v>10</v>
      </c>
      <c r="Q116" s="1">
        <v>2.79</v>
      </c>
      <c r="R116" s="1">
        <v>68</v>
      </c>
      <c r="S116" s="1">
        <v>110</v>
      </c>
      <c r="T116" s="1">
        <v>147</v>
      </c>
      <c r="U116" s="1">
        <v>1357.8589999999999</v>
      </c>
      <c r="V116" s="1">
        <v>521.58000000000004</v>
      </c>
      <c r="W116" s="1">
        <v>752.85199999999998</v>
      </c>
      <c r="X116" s="1">
        <v>132.18100000000001</v>
      </c>
      <c r="Y116" s="1">
        <v>4.9400000000000004</v>
      </c>
      <c r="Z116" s="1">
        <v>8.0150000000000006</v>
      </c>
      <c r="AA116" s="1">
        <v>21.7</v>
      </c>
      <c r="AB116" s="1">
        <v>290.5</v>
      </c>
      <c r="AC116" s="1">
        <v>12629</v>
      </c>
      <c r="AD116" s="1">
        <v>3298</v>
      </c>
      <c r="AE116" s="1">
        <v>268</v>
      </c>
      <c r="AF116" s="1">
        <v>19</v>
      </c>
      <c r="AG116" s="1">
        <v>19</v>
      </c>
      <c r="AH116" s="1">
        <v>33.200000000000003</v>
      </c>
      <c r="AI116" s="1">
        <v>53.8</v>
      </c>
      <c r="AJ116" s="1">
        <v>12.9</v>
      </c>
      <c r="AK116" s="1">
        <v>81.7</v>
      </c>
      <c r="AL116" s="1">
        <v>31.9</v>
      </c>
      <c r="AM116" s="1">
        <v>8</v>
      </c>
      <c r="AN116" s="1">
        <v>0</v>
      </c>
      <c r="AO116" s="1">
        <v>0</v>
      </c>
      <c r="AP116" s="1" t="s">
        <v>266</v>
      </c>
      <c r="AQ116" s="1" t="s">
        <v>267</v>
      </c>
      <c r="AR116" s="1" t="s">
        <v>268</v>
      </c>
    </row>
    <row r="117" spans="1:44" x14ac:dyDescent="0.2">
      <c r="A117" s="1" t="s">
        <v>63</v>
      </c>
      <c r="B117" s="1" t="s">
        <v>265</v>
      </c>
      <c r="C117" s="1">
        <v>-36.9</v>
      </c>
      <c r="D117" s="1">
        <v>459722</v>
      </c>
      <c r="E117" s="1">
        <v>5969686.7000000002</v>
      </c>
      <c r="F117" s="1">
        <v>0</v>
      </c>
      <c r="G117" s="1">
        <v>-0.7</v>
      </c>
      <c r="H117" s="1">
        <v>0</v>
      </c>
      <c r="I117" s="1">
        <v>2</v>
      </c>
      <c r="J117" s="1">
        <v>0</v>
      </c>
      <c r="K117" s="1">
        <v>-64.3</v>
      </c>
      <c r="L117" s="1">
        <v>27.4</v>
      </c>
      <c r="M117" s="1">
        <v>1647.576</v>
      </c>
      <c r="N117" s="1">
        <v>89.7</v>
      </c>
      <c r="O117" s="1">
        <v>8</v>
      </c>
      <c r="P117" s="1">
        <v>10</v>
      </c>
      <c r="Q117" s="1">
        <v>2.67</v>
      </c>
      <c r="R117" s="1">
        <v>68</v>
      </c>
      <c r="S117" s="1">
        <v>110</v>
      </c>
      <c r="T117" s="1">
        <v>147</v>
      </c>
      <c r="U117" s="1">
        <v>1357.759</v>
      </c>
      <c r="V117" s="1">
        <v>427.81</v>
      </c>
      <c r="W117" s="1">
        <v>752.85199999999998</v>
      </c>
      <c r="X117" s="1">
        <v>132.18100000000001</v>
      </c>
      <c r="Y117" s="1">
        <v>4.9400000000000004</v>
      </c>
      <c r="Z117" s="1">
        <v>8.0150000000000006</v>
      </c>
      <c r="AA117" s="1">
        <v>21.7</v>
      </c>
      <c r="AB117" s="1">
        <v>290.5</v>
      </c>
      <c r="AC117" s="1">
        <v>12566</v>
      </c>
      <c r="AD117" s="1">
        <v>3304</v>
      </c>
      <c r="AE117" s="1">
        <v>268</v>
      </c>
      <c r="AF117" s="1">
        <v>19</v>
      </c>
      <c r="AG117" s="1">
        <v>19</v>
      </c>
      <c r="AH117" s="1">
        <v>33.200000000000003</v>
      </c>
      <c r="AI117" s="1">
        <v>53.8</v>
      </c>
      <c r="AJ117" s="1">
        <v>12.9</v>
      </c>
      <c r="AK117" s="1">
        <v>82.6</v>
      </c>
      <c r="AL117" s="1">
        <v>31.9</v>
      </c>
      <c r="AM117" s="1">
        <v>8</v>
      </c>
      <c r="AN117" s="1">
        <v>0</v>
      </c>
      <c r="AO117" s="1">
        <v>0</v>
      </c>
      <c r="AP117" s="1" t="s">
        <v>266</v>
      </c>
      <c r="AQ117" s="1" t="s">
        <v>267</v>
      </c>
      <c r="AR117" s="1" t="s">
        <v>268</v>
      </c>
    </row>
    <row r="118" spans="1:44" x14ac:dyDescent="0.2">
      <c r="A118" s="1" t="s">
        <v>59</v>
      </c>
      <c r="B118" s="1" t="s">
        <v>265</v>
      </c>
      <c r="C118" s="1">
        <v>-37.9</v>
      </c>
      <c r="D118" s="1">
        <v>462427.36</v>
      </c>
      <c r="E118" s="1">
        <v>5968596.3700000001</v>
      </c>
      <c r="F118" s="1">
        <v>0</v>
      </c>
      <c r="G118" s="1">
        <v>-0.7</v>
      </c>
      <c r="H118" s="1">
        <v>0</v>
      </c>
      <c r="I118" s="1">
        <v>2</v>
      </c>
      <c r="J118" s="1">
        <v>0</v>
      </c>
      <c r="K118" s="1">
        <v>-66.8</v>
      </c>
      <c r="L118" s="1">
        <v>28.9</v>
      </c>
      <c r="M118" s="1">
        <v>1713.3889999999999</v>
      </c>
      <c r="N118" s="1">
        <v>92.2</v>
      </c>
      <c r="O118" s="1">
        <v>8</v>
      </c>
      <c r="P118" s="1">
        <v>10</v>
      </c>
      <c r="Q118" s="1">
        <v>2.82</v>
      </c>
      <c r="R118" s="1">
        <v>68</v>
      </c>
      <c r="S118" s="1">
        <v>110</v>
      </c>
      <c r="T118" s="1">
        <v>147</v>
      </c>
      <c r="U118" s="1">
        <v>1420.0119999999999</v>
      </c>
      <c r="V118" s="1">
        <v>421.96600000000001</v>
      </c>
      <c r="W118" s="1">
        <v>752.85199999999998</v>
      </c>
      <c r="X118" s="1">
        <v>132.18100000000001</v>
      </c>
      <c r="Y118" s="1">
        <v>4.9400000000000004</v>
      </c>
      <c r="Z118" s="1">
        <v>8.0150000000000006</v>
      </c>
      <c r="AA118" s="1">
        <v>21.7</v>
      </c>
      <c r="AB118" s="1">
        <v>290.5</v>
      </c>
      <c r="AC118" s="1">
        <v>12721</v>
      </c>
      <c r="AD118" s="1">
        <v>3366</v>
      </c>
      <c r="AE118" s="1">
        <v>268</v>
      </c>
      <c r="AF118" s="1">
        <v>19</v>
      </c>
      <c r="AG118" s="1">
        <v>19</v>
      </c>
      <c r="AH118" s="1">
        <v>32.1</v>
      </c>
      <c r="AI118" s="1">
        <v>55.3</v>
      </c>
      <c r="AJ118" s="1">
        <v>12.6</v>
      </c>
      <c r="AK118" s="1">
        <v>83.3</v>
      </c>
      <c r="AL118" s="1">
        <v>31.9</v>
      </c>
      <c r="AM118" s="1">
        <v>8</v>
      </c>
      <c r="AN118" s="1">
        <v>0</v>
      </c>
      <c r="AO118" s="1">
        <v>0</v>
      </c>
      <c r="AP118" s="1" t="s">
        <v>266</v>
      </c>
      <c r="AQ118" s="1" t="s">
        <v>267</v>
      </c>
      <c r="AR118" s="1" t="s">
        <v>268</v>
      </c>
    </row>
    <row r="119" spans="1:44" x14ac:dyDescent="0.2">
      <c r="A119" s="1" t="s">
        <v>164</v>
      </c>
      <c r="B119" s="1" t="s">
        <v>265</v>
      </c>
      <c r="C119" s="1">
        <v>-37.299999999999997</v>
      </c>
      <c r="D119" s="1">
        <v>466515.5</v>
      </c>
      <c r="E119" s="1">
        <v>5965378.0999999996</v>
      </c>
      <c r="F119" s="1">
        <v>0</v>
      </c>
      <c r="G119" s="1">
        <v>-0.6</v>
      </c>
      <c r="H119" s="1">
        <v>0</v>
      </c>
      <c r="I119" s="1">
        <v>2</v>
      </c>
      <c r="J119" s="1">
        <v>0</v>
      </c>
      <c r="K119" s="1">
        <v>-66.599999999999994</v>
      </c>
      <c r="L119" s="1">
        <v>29.3</v>
      </c>
      <c r="M119" s="1">
        <v>1738.27</v>
      </c>
      <c r="N119" s="1">
        <v>92</v>
      </c>
      <c r="O119" s="1">
        <v>8</v>
      </c>
      <c r="P119" s="1">
        <v>10</v>
      </c>
      <c r="Q119" s="1">
        <v>2.87</v>
      </c>
      <c r="R119" s="1">
        <v>68</v>
      </c>
      <c r="S119" s="1">
        <v>110</v>
      </c>
      <c r="T119" s="1">
        <v>147</v>
      </c>
      <c r="U119" s="1">
        <v>1357.4570000000001</v>
      </c>
      <c r="V119" s="1">
        <v>458.53399999999999</v>
      </c>
      <c r="W119" s="1">
        <v>752.85199999999998</v>
      </c>
      <c r="X119" s="1">
        <v>132.18100000000001</v>
      </c>
      <c r="Y119" s="1">
        <v>4.9400000000000004</v>
      </c>
      <c r="Z119" s="1">
        <v>8.0150000000000006</v>
      </c>
      <c r="AA119" s="1">
        <v>21.7</v>
      </c>
      <c r="AB119" s="1">
        <v>290.5</v>
      </c>
      <c r="AC119" s="1">
        <v>12708</v>
      </c>
      <c r="AD119" s="1">
        <v>3328</v>
      </c>
      <c r="AE119" s="1">
        <v>268</v>
      </c>
      <c r="AF119" s="1">
        <v>19</v>
      </c>
      <c r="AG119" s="1">
        <v>19</v>
      </c>
      <c r="AH119" s="1">
        <v>31.5</v>
      </c>
      <c r="AI119" s="1">
        <v>56.1</v>
      </c>
      <c r="AJ119" s="1">
        <v>12.4</v>
      </c>
      <c r="AK119" s="1">
        <v>84.6</v>
      </c>
      <c r="AL119" s="1">
        <v>31.9</v>
      </c>
      <c r="AM119" s="1">
        <v>8</v>
      </c>
      <c r="AN119" s="1">
        <v>0</v>
      </c>
      <c r="AO119" s="1">
        <v>0</v>
      </c>
      <c r="AP119" s="1" t="s">
        <v>266</v>
      </c>
      <c r="AQ119" s="1" t="s">
        <v>267</v>
      </c>
      <c r="AR119" s="1" t="s">
        <v>268</v>
      </c>
    </row>
    <row r="120" spans="1:44" x14ac:dyDescent="0.2">
      <c r="A120" s="1" t="s">
        <v>125</v>
      </c>
      <c r="B120" s="1" t="s">
        <v>265</v>
      </c>
      <c r="C120" s="1">
        <v>-33.9</v>
      </c>
      <c r="D120" s="1">
        <v>469527.2</v>
      </c>
      <c r="E120" s="1">
        <v>5963890.2999999998</v>
      </c>
      <c r="F120" s="1">
        <v>0</v>
      </c>
      <c r="G120" s="1">
        <v>-0.7</v>
      </c>
      <c r="H120" s="1">
        <v>0</v>
      </c>
      <c r="I120" s="1">
        <v>2</v>
      </c>
      <c r="J120" s="1">
        <v>0</v>
      </c>
      <c r="K120" s="1">
        <v>-61</v>
      </c>
      <c r="L120" s="1">
        <v>27.1</v>
      </c>
      <c r="M120" s="1">
        <v>1537.432</v>
      </c>
      <c r="N120" s="1">
        <v>86.4</v>
      </c>
      <c r="O120" s="1">
        <v>8</v>
      </c>
      <c r="P120" s="1">
        <v>10</v>
      </c>
      <c r="Q120" s="1">
        <v>2.64</v>
      </c>
      <c r="R120" s="1">
        <v>68</v>
      </c>
      <c r="S120" s="1">
        <v>110</v>
      </c>
      <c r="T120" s="1">
        <v>147</v>
      </c>
      <c r="U120" s="1">
        <v>1295.7059999999999</v>
      </c>
      <c r="V120" s="1">
        <v>553.096</v>
      </c>
      <c r="W120" s="1">
        <v>752.85199999999998</v>
      </c>
      <c r="X120" s="1">
        <v>132.18100000000001</v>
      </c>
      <c r="Y120" s="1">
        <v>4.9400000000000004</v>
      </c>
      <c r="Z120" s="1">
        <v>8.0150000000000006</v>
      </c>
      <c r="AA120" s="1">
        <v>21.7</v>
      </c>
      <c r="AB120" s="1">
        <v>290.5</v>
      </c>
      <c r="AC120" s="1">
        <v>12362</v>
      </c>
      <c r="AD120" s="1">
        <v>3118</v>
      </c>
      <c r="AE120" s="1">
        <v>268</v>
      </c>
      <c r="AF120" s="1">
        <v>17</v>
      </c>
      <c r="AG120" s="1">
        <v>17</v>
      </c>
      <c r="AH120" s="1">
        <v>35.5</v>
      </c>
      <c r="AI120" s="1">
        <v>50.8</v>
      </c>
      <c r="AJ120" s="1">
        <v>13.7</v>
      </c>
      <c r="AK120" s="1">
        <v>80.5</v>
      </c>
      <c r="AL120" s="1">
        <v>31.9</v>
      </c>
      <c r="AM120" s="1">
        <v>8</v>
      </c>
      <c r="AN120" s="1">
        <v>0</v>
      </c>
      <c r="AO120" s="1">
        <v>0</v>
      </c>
      <c r="AP120" s="1" t="s">
        <v>266</v>
      </c>
      <c r="AQ120" s="1" t="s">
        <v>267</v>
      </c>
      <c r="AR120" s="1" t="s">
        <v>268</v>
      </c>
    </row>
    <row r="121" spans="1:44" x14ac:dyDescent="0.2">
      <c r="A121" s="1" t="s">
        <v>128</v>
      </c>
      <c r="B121" s="1" t="s">
        <v>269</v>
      </c>
      <c r="C121" s="1">
        <v>-31.7</v>
      </c>
      <c r="D121" s="1">
        <v>472187.6</v>
      </c>
      <c r="E121" s="1">
        <v>5963006.7000000002</v>
      </c>
      <c r="F121" s="1">
        <v>0</v>
      </c>
      <c r="G121" s="1">
        <v>-0.7</v>
      </c>
      <c r="H121" s="1">
        <v>0</v>
      </c>
      <c r="I121" s="1">
        <v>2</v>
      </c>
      <c r="J121" s="1">
        <v>0</v>
      </c>
      <c r="K121" s="1">
        <v>-60.7</v>
      </c>
      <c r="L121" s="1">
        <v>29</v>
      </c>
      <c r="M121" s="1">
        <v>1486.835</v>
      </c>
      <c r="N121" s="1">
        <v>86.1</v>
      </c>
      <c r="O121" s="1">
        <v>8</v>
      </c>
      <c r="P121" s="1">
        <v>10</v>
      </c>
      <c r="Q121" s="1">
        <v>2.83</v>
      </c>
      <c r="R121" s="1">
        <v>68</v>
      </c>
      <c r="S121" s="1">
        <v>110</v>
      </c>
      <c r="T121" s="1">
        <v>147</v>
      </c>
      <c r="U121" s="1">
        <v>1296.0329999999999</v>
      </c>
      <c r="V121" s="1">
        <v>549.28899999999999</v>
      </c>
      <c r="W121" s="1">
        <v>752.85199999999998</v>
      </c>
      <c r="X121" s="1">
        <v>132.18100000000001</v>
      </c>
      <c r="Y121" s="1">
        <v>4.9400000000000004</v>
      </c>
      <c r="Z121" s="1">
        <v>8.0150000000000006</v>
      </c>
      <c r="AA121" s="1">
        <v>21.7</v>
      </c>
      <c r="AB121" s="1">
        <v>290.5</v>
      </c>
      <c r="AC121" s="1">
        <v>12344</v>
      </c>
      <c r="AD121" s="1">
        <v>2982</v>
      </c>
      <c r="AE121" s="1">
        <v>268</v>
      </c>
      <c r="AF121" s="1">
        <v>19</v>
      </c>
      <c r="AG121" s="1">
        <v>19</v>
      </c>
      <c r="AH121" s="1">
        <v>36.299999999999997</v>
      </c>
      <c r="AI121" s="1">
        <v>50.6</v>
      </c>
      <c r="AJ121" s="1">
        <v>13.1</v>
      </c>
      <c r="AK121" s="1">
        <v>78.099999999999994</v>
      </c>
      <c r="AL121" s="1">
        <v>31.9</v>
      </c>
      <c r="AM121" s="1">
        <v>8</v>
      </c>
      <c r="AN121" s="1">
        <v>0</v>
      </c>
      <c r="AO121" s="1">
        <v>0</v>
      </c>
      <c r="AP121" s="1" t="s">
        <v>266</v>
      </c>
      <c r="AQ121" s="1" t="s">
        <v>267</v>
      </c>
      <c r="AR121" s="1" t="s">
        <v>268</v>
      </c>
    </row>
    <row r="122" spans="1:44" x14ac:dyDescent="0.2">
      <c r="A122" s="1" t="s">
        <v>152</v>
      </c>
      <c r="B122" s="1" t="s">
        <v>265</v>
      </c>
      <c r="C122" s="1">
        <v>-30.5</v>
      </c>
      <c r="D122" s="1">
        <v>475684.7</v>
      </c>
      <c r="E122" s="1">
        <v>5960754</v>
      </c>
      <c r="F122" s="1">
        <v>0</v>
      </c>
      <c r="G122" s="1">
        <v>-0.7</v>
      </c>
      <c r="H122" s="1">
        <v>0</v>
      </c>
      <c r="I122" s="1">
        <v>2</v>
      </c>
      <c r="J122" s="1">
        <v>0</v>
      </c>
      <c r="K122" s="1">
        <v>-59.6</v>
      </c>
      <c r="L122" s="1">
        <v>29.1</v>
      </c>
      <c r="M122" s="1">
        <v>1447.1690000000001</v>
      </c>
      <c r="N122" s="1">
        <v>85</v>
      </c>
      <c r="O122" s="1">
        <v>8</v>
      </c>
      <c r="P122" s="1">
        <v>10</v>
      </c>
      <c r="Q122" s="1">
        <v>2.84</v>
      </c>
      <c r="R122" s="1">
        <v>64</v>
      </c>
      <c r="S122" s="1">
        <v>110</v>
      </c>
      <c r="T122" s="1">
        <v>147</v>
      </c>
      <c r="U122" s="1">
        <v>1296.1959999999999</v>
      </c>
      <c r="V122" s="1">
        <v>493.28</v>
      </c>
      <c r="W122" s="1">
        <v>752.85199999999998</v>
      </c>
      <c r="X122" s="1">
        <v>132.18100000000001</v>
      </c>
      <c r="Y122" s="1">
        <v>4.9400000000000004</v>
      </c>
      <c r="Z122" s="1">
        <v>8.0150000000000006</v>
      </c>
      <c r="AA122" s="1">
        <v>21.7</v>
      </c>
      <c r="AB122" s="1">
        <v>290.5</v>
      </c>
      <c r="AC122" s="1">
        <v>12276</v>
      </c>
      <c r="AD122" s="1">
        <v>2907</v>
      </c>
      <c r="AE122" s="1">
        <v>268</v>
      </c>
      <c r="AF122" s="1">
        <v>19</v>
      </c>
      <c r="AG122" s="1">
        <v>19</v>
      </c>
      <c r="AH122" s="1">
        <v>36.9</v>
      </c>
      <c r="AI122" s="1">
        <v>50.7</v>
      </c>
      <c r="AJ122" s="1">
        <v>12.4</v>
      </c>
      <c r="AK122" s="1">
        <v>77.099999999999994</v>
      </c>
      <c r="AL122" s="1">
        <v>31.9</v>
      </c>
      <c r="AM122" s="1">
        <v>8</v>
      </c>
      <c r="AN122" s="1">
        <v>0</v>
      </c>
      <c r="AO122" s="1">
        <v>0</v>
      </c>
      <c r="AP122" s="1" t="s">
        <v>266</v>
      </c>
      <c r="AQ122" s="1" t="s">
        <v>267</v>
      </c>
      <c r="AR122" s="1" t="s">
        <v>268</v>
      </c>
    </row>
    <row r="123" spans="1:44" x14ac:dyDescent="0.2">
      <c r="A123" s="1" t="s">
        <v>131</v>
      </c>
      <c r="B123" s="1" t="s">
        <v>269</v>
      </c>
      <c r="C123" s="1">
        <v>-31.1</v>
      </c>
      <c r="D123" s="1">
        <v>478130.7</v>
      </c>
      <c r="E123" s="1">
        <v>5960166.2999999998</v>
      </c>
      <c r="F123" s="1">
        <v>0</v>
      </c>
      <c r="G123" s="1">
        <v>-0.7</v>
      </c>
      <c r="H123" s="1">
        <v>0</v>
      </c>
      <c r="I123" s="1">
        <v>2</v>
      </c>
      <c r="J123" s="1">
        <v>0</v>
      </c>
      <c r="K123" s="1">
        <v>-60.6</v>
      </c>
      <c r="L123" s="1">
        <v>29.5</v>
      </c>
      <c r="M123" s="1">
        <v>1473.0129999999999</v>
      </c>
      <c r="N123" s="1">
        <v>86</v>
      </c>
      <c r="O123" s="1">
        <v>8</v>
      </c>
      <c r="P123" s="1">
        <v>10</v>
      </c>
      <c r="Q123" s="1">
        <v>2.88</v>
      </c>
      <c r="R123" s="1">
        <v>68</v>
      </c>
      <c r="S123" s="1">
        <v>110</v>
      </c>
      <c r="T123" s="1">
        <v>147</v>
      </c>
      <c r="U123" s="1">
        <v>1296.1210000000001</v>
      </c>
      <c r="V123" s="1">
        <v>549.351</v>
      </c>
      <c r="W123" s="1">
        <v>752.85199999999998</v>
      </c>
      <c r="X123" s="1">
        <v>132.18100000000001</v>
      </c>
      <c r="Y123" s="1">
        <v>4.9400000000000004</v>
      </c>
      <c r="Z123" s="1">
        <v>8.0150000000000006</v>
      </c>
      <c r="AA123" s="1">
        <v>21.7</v>
      </c>
      <c r="AB123" s="1">
        <v>290.5</v>
      </c>
      <c r="AC123" s="1">
        <v>12338</v>
      </c>
      <c r="AD123" s="1">
        <v>2945</v>
      </c>
      <c r="AE123" s="1">
        <v>268</v>
      </c>
      <c r="AF123" s="1">
        <v>21</v>
      </c>
      <c r="AG123" s="1">
        <v>21</v>
      </c>
      <c r="AH123" s="1">
        <v>36.4</v>
      </c>
      <c r="AI123" s="1">
        <v>50.9</v>
      </c>
      <c r="AJ123" s="1">
        <v>12.7</v>
      </c>
      <c r="AK123" s="1">
        <v>77.5</v>
      </c>
      <c r="AL123" s="1">
        <v>31.9</v>
      </c>
      <c r="AM123" s="1">
        <v>8</v>
      </c>
      <c r="AN123" s="1">
        <v>0</v>
      </c>
      <c r="AO123" s="1">
        <v>0</v>
      </c>
      <c r="AP123" s="1" t="s">
        <v>266</v>
      </c>
      <c r="AQ123" s="1" t="s">
        <v>267</v>
      </c>
      <c r="AR123" s="1" t="s">
        <v>268</v>
      </c>
    </row>
    <row r="124" spans="1:44" x14ac:dyDescent="0.2">
      <c r="A124" s="1" t="s">
        <v>71</v>
      </c>
      <c r="B124" s="1" t="s">
        <v>269</v>
      </c>
      <c r="C124" s="1">
        <v>-35.1</v>
      </c>
      <c r="D124" s="1">
        <v>476362</v>
      </c>
      <c r="E124" s="1">
        <v>5966280</v>
      </c>
      <c r="F124" s="1">
        <v>0</v>
      </c>
      <c r="G124" s="1">
        <v>-0.6</v>
      </c>
      <c r="H124" s="1">
        <v>0</v>
      </c>
      <c r="I124" s="1">
        <v>2</v>
      </c>
      <c r="J124" s="1">
        <v>0</v>
      </c>
      <c r="K124" s="1">
        <v>-64.599999999999994</v>
      </c>
      <c r="L124" s="1">
        <v>29.5</v>
      </c>
      <c r="M124" s="1">
        <v>1629.4739999999999</v>
      </c>
      <c r="N124" s="1">
        <v>90</v>
      </c>
      <c r="O124" s="1">
        <v>8</v>
      </c>
      <c r="P124" s="1">
        <v>10</v>
      </c>
      <c r="Q124" s="1">
        <v>2.89</v>
      </c>
      <c r="R124" s="1">
        <v>68</v>
      </c>
      <c r="S124" s="1">
        <v>110</v>
      </c>
      <c r="T124" s="1">
        <v>147</v>
      </c>
      <c r="U124" s="1">
        <v>1357.9090000000001</v>
      </c>
      <c r="V124" s="1">
        <v>484.38299999999998</v>
      </c>
      <c r="W124" s="1">
        <v>752.85199999999998</v>
      </c>
      <c r="X124" s="1">
        <v>132.18100000000001</v>
      </c>
      <c r="Y124" s="1">
        <v>4.9400000000000004</v>
      </c>
      <c r="Z124" s="1">
        <v>8.0150000000000006</v>
      </c>
      <c r="AA124" s="1">
        <v>21.7</v>
      </c>
      <c r="AB124" s="1">
        <v>290.5</v>
      </c>
      <c r="AC124" s="1">
        <v>12585</v>
      </c>
      <c r="AD124" s="1">
        <v>3192</v>
      </c>
      <c r="AE124" s="1">
        <v>268</v>
      </c>
      <c r="AF124" s="1">
        <v>21</v>
      </c>
      <c r="AG124" s="1">
        <v>21</v>
      </c>
      <c r="AH124" s="1">
        <v>33.6</v>
      </c>
      <c r="AI124" s="1">
        <v>53.2</v>
      </c>
      <c r="AJ124" s="1">
        <v>13.2</v>
      </c>
      <c r="AK124" s="1">
        <v>81.5</v>
      </c>
      <c r="AL124" s="1">
        <v>31.9</v>
      </c>
      <c r="AM124" s="1">
        <v>8</v>
      </c>
      <c r="AN124" s="1">
        <v>0</v>
      </c>
      <c r="AO124" s="1">
        <v>0</v>
      </c>
      <c r="AP124" s="1" t="s">
        <v>266</v>
      </c>
      <c r="AQ124" s="1" t="s">
        <v>267</v>
      </c>
      <c r="AR124" s="1" t="s">
        <v>268</v>
      </c>
    </row>
    <row r="125" spans="1:44" x14ac:dyDescent="0.2">
      <c r="A125" s="1" t="s">
        <v>121</v>
      </c>
      <c r="B125" s="1" t="s">
        <v>265</v>
      </c>
      <c r="C125" s="1">
        <v>-32.1</v>
      </c>
      <c r="D125" s="1">
        <v>477024.6</v>
      </c>
      <c r="E125" s="1">
        <v>5968408</v>
      </c>
      <c r="F125" s="1">
        <v>0</v>
      </c>
      <c r="G125" s="1">
        <v>-0.7</v>
      </c>
      <c r="H125" s="1">
        <v>0</v>
      </c>
      <c r="I125" s="1">
        <v>2</v>
      </c>
      <c r="J125" s="1">
        <v>0</v>
      </c>
      <c r="K125" s="1">
        <v>-61.5</v>
      </c>
      <c r="L125" s="1">
        <v>29.4</v>
      </c>
      <c r="M125" s="1">
        <v>1514.53</v>
      </c>
      <c r="N125" s="1">
        <v>86.9</v>
      </c>
      <c r="O125" s="1">
        <v>8</v>
      </c>
      <c r="P125" s="1">
        <v>10</v>
      </c>
      <c r="Q125" s="1">
        <v>2.87</v>
      </c>
      <c r="R125" s="1">
        <v>68</v>
      </c>
      <c r="S125" s="1">
        <v>110</v>
      </c>
      <c r="T125" s="1">
        <v>147</v>
      </c>
      <c r="U125" s="1">
        <v>1295.9449999999999</v>
      </c>
      <c r="V125" s="1">
        <v>524.57100000000003</v>
      </c>
      <c r="W125" s="1">
        <v>752.85199999999998</v>
      </c>
      <c r="X125" s="1">
        <v>132.18100000000001</v>
      </c>
      <c r="Y125" s="1">
        <v>4.9400000000000004</v>
      </c>
      <c r="Z125" s="1">
        <v>8.0150000000000006</v>
      </c>
      <c r="AA125" s="1">
        <v>21.7</v>
      </c>
      <c r="AB125" s="1">
        <v>290.5</v>
      </c>
      <c r="AC125" s="1">
        <v>12394</v>
      </c>
      <c r="AD125" s="1">
        <v>3006</v>
      </c>
      <c r="AE125" s="1">
        <v>268</v>
      </c>
      <c r="AF125" s="1">
        <v>21</v>
      </c>
      <c r="AG125" s="1">
        <v>21</v>
      </c>
      <c r="AH125" s="1">
        <v>35.799999999999997</v>
      </c>
      <c r="AI125" s="1">
        <v>51.3</v>
      </c>
      <c r="AJ125" s="1">
        <v>13</v>
      </c>
      <c r="AK125" s="1">
        <v>78.8</v>
      </c>
      <c r="AL125" s="1">
        <v>31.9</v>
      </c>
      <c r="AM125" s="1">
        <v>8</v>
      </c>
      <c r="AN125" s="1">
        <v>0</v>
      </c>
      <c r="AO125" s="1">
        <v>0</v>
      </c>
      <c r="AP125" s="1" t="s">
        <v>266</v>
      </c>
      <c r="AQ125" s="1" t="s">
        <v>267</v>
      </c>
      <c r="AR125" s="1" t="s">
        <v>268</v>
      </c>
    </row>
    <row r="126" spans="1:44" x14ac:dyDescent="0.2">
      <c r="A126" s="1" t="s">
        <v>33</v>
      </c>
      <c r="B126" s="1" t="s">
        <v>271</v>
      </c>
      <c r="C126" s="1">
        <v>-38.200000000000003</v>
      </c>
      <c r="D126" s="1">
        <v>476683.7</v>
      </c>
      <c r="E126" s="1">
        <v>5972033.2999999998</v>
      </c>
      <c r="F126" s="1">
        <v>0</v>
      </c>
      <c r="G126" s="1">
        <v>-0.6</v>
      </c>
      <c r="H126" s="1">
        <v>0</v>
      </c>
      <c r="I126" s="1">
        <v>2</v>
      </c>
      <c r="J126" s="1">
        <v>0</v>
      </c>
      <c r="K126" s="1">
        <v>-66.2</v>
      </c>
      <c r="L126" s="1">
        <v>28</v>
      </c>
      <c r="M126" s="1">
        <v>1711.3689999999999</v>
      </c>
      <c r="N126" s="1">
        <v>91.6</v>
      </c>
      <c r="O126" s="1">
        <v>8</v>
      </c>
      <c r="P126" s="1">
        <v>10</v>
      </c>
      <c r="Q126" s="1">
        <v>2.74</v>
      </c>
      <c r="R126" s="1">
        <v>68</v>
      </c>
      <c r="S126" s="1">
        <v>110</v>
      </c>
      <c r="T126" s="1">
        <v>147</v>
      </c>
      <c r="U126" s="1">
        <v>1357.57</v>
      </c>
      <c r="V126" s="1">
        <v>396.85899999999998</v>
      </c>
      <c r="W126" s="1">
        <v>752.85199999999998</v>
      </c>
      <c r="X126" s="1">
        <v>132.18100000000001</v>
      </c>
      <c r="Y126" s="1">
        <v>4.9400000000000004</v>
      </c>
      <c r="Z126" s="1">
        <v>8.0150000000000006</v>
      </c>
      <c r="AA126" s="1">
        <v>21.7</v>
      </c>
      <c r="AB126" s="1">
        <v>290.5</v>
      </c>
      <c r="AC126" s="1">
        <v>12684</v>
      </c>
      <c r="AD126" s="1">
        <v>3384</v>
      </c>
      <c r="AE126" s="1">
        <v>268</v>
      </c>
      <c r="AF126" s="1">
        <v>19</v>
      </c>
      <c r="AG126" s="1">
        <v>19</v>
      </c>
      <c r="AH126" s="1">
        <v>32.1</v>
      </c>
      <c r="AI126" s="1">
        <v>55.2</v>
      </c>
      <c r="AJ126" s="1">
        <v>12.7</v>
      </c>
      <c r="AK126" s="1">
        <v>83.7</v>
      </c>
      <c r="AL126" s="1">
        <v>31.9</v>
      </c>
      <c r="AM126" s="1">
        <v>8</v>
      </c>
      <c r="AN126" s="1">
        <v>0</v>
      </c>
      <c r="AO126" s="1">
        <v>0</v>
      </c>
      <c r="AP126" s="1" t="s">
        <v>266</v>
      </c>
      <c r="AQ126" s="1" t="s">
        <v>267</v>
      </c>
      <c r="AR126" s="1" t="s">
        <v>268</v>
      </c>
    </row>
    <row r="127" spans="1:44" x14ac:dyDescent="0.2">
      <c r="A127" s="1" t="s">
        <v>102</v>
      </c>
      <c r="B127" s="1" t="s">
        <v>265</v>
      </c>
      <c r="C127" s="1">
        <v>-36.700000000000003</v>
      </c>
      <c r="D127" s="1">
        <v>453928.5</v>
      </c>
      <c r="E127" s="1">
        <v>5972617.7999999998</v>
      </c>
      <c r="F127" s="1">
        <v>0</v>
      </c>
      <c r="G127" s="1">
        <v>-0.7</v>
      </c>
      <c r="H127" s="1">
        <v>0</v>
      </c>
      <c r="I127" s="1">
        <v>2</v>
      </c>
      <c r="J127" s="1">
        <v>0</v>
      </c>
      <c r="K127" s="1">
        <v>-62</v>
      </c>
      <c r="L127" s="1">
        <v>25.3</v>
      </c>
      <c r="M127" s="1">
        <v>1594.3620000000001</v>
      </c>
      <c r="N127" s="1">
        <v>87.4</v>
      </c>
      <c r="O127" s="1">
        <v>8</v>
      </c>
      <c r="P127" s="1">
        <v>10</v>
      </c>
      <c r="Q127" s="1">
        <v>2.46</v>
      </c>
      <c r="R127" s="1">
        <v>68</v>
      </c>
      <c r="S127" s="1">
        <v>110</v>
      </c>
      <c r="T127" s="1">
        <v>147</v>
      </c>
      <c r="U127" s="1">
        <v>1295.4670000000001</v>
      </c>
      <c r="V127" s="1">
        <v>521.10199999999998</v>
      </c>
      <c r="W127" s="1">
        <v>752.85199999999998</v>
      </c>
      <c r="X127" s="1">
        <v>132.18100000000001</v>
      </c>
      <c r="Y127" s="1">
        <v>4.9400000000000004</v>
      </c>
      <c r="Z127" s="1">
        <v>8.0150000000000006</v>
      </c>
      <c r="AA127" s="1">
        <v>21.7</v>
      </c>
      <c r="AB127" s="1">
        <v>290.5</v>
      </c>
      <c r="AC127" s="1">
        <v>12423</v>
      </c>
      <c r="AD127" s="1">
        <v>3292</v>
      </c>
      <c r="AE127" s="1">
        <v>268</v>
      </c>
      <c r="AF127" s="1">
        <v>15</v>
      </c>
      <c r="AG127" s="1">
        <v>15</v>
      </c>
      <c r="AH127" s="1">
        <v>34.4</v>
      </c>
      <c r="AI127" s="1">
        <v>52.2</v>
      </c>
      <c r="AJ127" s="1">
        <v>13.5</v>
      </c>
      <c r="AK127" s="1">
        <v>82.3</v>
      </c>
      <c r="AL127" s="1">
        <v>31.9</v>
      </c>
      <c r="AM127" s="1">
        <v>8</v>
      </c>
      <c r="AN127" s="1">
        <v>0</v>
      </c>
      <c r="AO127" s="1">
        <v>0</v>
      </c>
      <c r="AP127" s="1" t="s">
        <v>266</v>
      </c>
      <c r="AQ127" s="1" t="s">
        <v>267</v>
      </c>
      <c r="AR127" s="1" t="s">
        <v>268</v>
      </c>
    </row>
    <row r="128" spans="1:44" x14ac:dyDescent="0.2">
      <c r="A128" s="1" t="s">
        <v>114</v>
      </c>
      <c r="B128" s="1" t="s">
        <v>265</v>
      </c>
      <c r="C128" s="1">
        <v>-36.799999999999997</v>
      </c>
      <c r="D128" s="1">
        <v>455517.1</v>
      </c>
      <c r="E128" s="1">
        <v>5973255.7000000002</v>
      </c>
      <c r="F128" s="1">
        <v>0</v>
      </c>
      <c r="G128" s="1">
        <v>-0.6</v>
      </c>
      <c r="H128" s="1">
        <v>0</v>
      </c>
      <c r="I128" s="1">
        <v>2</v>
      </c>
      <c r="J128" s="1">
        <v>0</v>
      </c>
      <c r="K128" s="1">
        <v>-61.1</v>
      </c>
      <c r="L128" s="1">
        <v>24.3</v>
      </c>
      <c r="M128" s="1">
        <v>1572.6320000000001</v>
      </c>
      <c r="N128" s="1">
        <v>86.5</v>
      </c>
      <c r="O128" s="1">
        <v>8</v>
      </c>
      <c r="P128" s="1">
        <v>10</v>
      </c>
      <c r="Q128" s="1">
        <v>2.37</v>
      </c>
      <c r="R128" s="1">
        <v>68</v>
      </c>
      <c r="S128" s="1">
        <v>110</v>
      </c>
      <c r="T128" s="1">
        <v>147</v>
      </c>
      <c r="U128" s="1">
        <v>1295.492</v>
      </c>
      <c r="V128" s="1">
        <v>490.12599999999998</v>
      </c>
      <c r="W128" s="1">
        <v>752.85199999999998</v>
      </c>
      <c r="X128" s="1">
        <v>132.18100000000001</v>
      </c>
      <c r="Y128" s="1">
        <v>4.9400000000000004</v>
      </c>
      <c r="Z128" s="1">
        <v>8.0150000000000006</v>
      </c>
      <c r="AA128" s="1">
        <v>21.7</v>
      </c>
      <c r="AB128" s="1">
        <v>290.5</v>
      </c>
      <c r="AC128" s="1">
        <v>12367</v>
      </c>
      <c r="AD128" s="1">
        <v>3298</v>
      </c>
      <c r="AE128" s="1">
        <v>268</v>
      </c>
      <c r="AF128" s="1">
        <v>15</v>
      </c>
      <c r="AG128" s="1">
        <v>15</v>
      </c>
      <c r="AH128" s="1">
        <v>34.799999999999997</v>
      </c>
      <c r="AI128" s="1">
        <v>51.6</v>
      </c>
      <c r="AJ128" s="1">
        <v>13.6</v>
      </c>
      <c r="AK128" s="1">
        <v>82.1</v>
      </c>
      <c r="AL128" s="1">
        <v>31.9</v>
      </c>
      <c r="AM128" s="1">
        <v>8</v>
      </c>
      <c r="AN128" s="1">
        <v>0</v>
      </c>
      <c r="AO128" s="1">
        <v>0</v>
      </c>
      <c r="AP128" s="1" t="s">
        <v>266</v>
      </c>
      <c r="AQ128" s="1" t="s">
        <v>267</v>
      </c>
      <c r="AR128" s="1" t="s">
        <v>268</v>
      </c>
    </row>
    <row r="129" spans="1:44" x14ac:dyDescent="0.2">
      <c r="A129" s="1" t="s">
        <v>200</v>
      </c>
      <c r="B129" s="1" t="s">
        <v>265</v>
      </c>
      <c r="C129" s="1">
        <v>-44.5</v>
      </c>
      <c r="D129" s="1">
        <v>458990</v>
      </c>
      <c r="E129" s="1">
        <v>5970860</v>
      </c>
      <c r="F129" s="1">
        <v>0</v>
      </c>
      <c r="G129" s="1">
        <v>-0.6</v>
      </c>
      <c r="H129" s="1">
        <v>0</v>
      </c>
      <c r="I129" s="1">
        <v>2</v>
      </c>
      <c r="J129" s="1">
        <v>0</v>
      </c>
      <c r="K129" s="1">
        <v>-77.7</v>
      </c>
      <c r="L129" s="1">
        <v>33.200000000000003</v>
      </c>
      <c r="M129" s="1">
        <v>2086.02</v>
      </c>
      <c r="N129" s="1">
        <v>103.1</v>
      </c>
      <c r="O129" s="1">
        <v>8</v>
      </c>
      <c r="P129" s="1">
        <v>11</v>
      </c>
      <c r="Q129" s="1">
        <v>2.9636</v>
      </c>
      <c r="R129" s="1">
        <v>72</v>
      </c>
      <c r="S129" s="1">
        <v>117</v>
      </c>
      <c r="T129" s="1">
        <v>149</v>
      </c>
      <c r="U129" s="1">
        <v>1643.895</v>
      </c>
      <c r="V129" s="1">
        <v>369.72800000000001</v>
      </c>
      <c r="W129" s="1">
        <v>752.85199999999998</v>
      </c>
      <c r="X129" s="1">
        <v>132.18100000000001</v>
      </c>
      <c r="Y129" s="1">
        <v>4.9400000000000004</v>
      </c>
      <c r="Z129" s="1">
        <v>8.0150000000000006</v>
      </c>
      <c r="AA129" s="1">
        <v>21.7</v>
      </c>
      <c r="AB129" s="1">
        <v>290.5</v>
      </c>
      <c r="AC129" s="1">
        <v>13758</v>
      </c>
      <c r="AD129" s="1">
        <v>3943</v>
      </c>
      <c r="AE129" s="1">
        <v>268</v>
      </c>
      <c r="AF129" s="1">
        <v>23</v>
      </c>
      <c r="AG129" s="1">
        <v>23</v>
      </c>
      <c r="AH129" s="1">
        <v>28.9</v>
      </c>
      <c r="AI129" s="1">
        <v>55.3</v>
      </c>
      <c r="AJ129" s="1">
        <v>15.7</v>
      </c>
      <c r="AK129" s="1">
        <v>85.4</v>
      </c>
      <c r="AL129" s="1">
        <v>31.9</v>
      </c>
      <c r="AM129" s="1">
        <v>8</v>
      </c>
      <c r="AN129" s="1">
        <v>0</v>
      </c>
      <c r="AO129" s="1">
        <v>0</v>
      </c>
      <c r="AP129" s="1" t="s">
        <v>270</v>
      </c>
      <c r="AQ129" s="1" t="s">
        <v>267</v>
      </c>
      <c r="AR129" s="1" t="s">
        <v>268</v>
      </c>
    </row>
    <row r="130" spans="1:44" x14ac:dyDescent="0.2">
      <c r="A130" s="1" t="s">
        <v>27</v>
      </c>
      <c r="B130" s="1" t="s">
        <v>265</v>
      </c>
      <c r="C130" s="1">
        <v>-38.299999999999997</v>
      </c>
      <c r="D130" s="1">
        <v>461822.5</v>
      </c>
      <c r="E130" s="1">
        <v>5969590</v>
      </c>
      <c r="F130" s="1">
        <v>0</v>
      </c>
      <c r="G130" s="1">
        <v>-0.8</v>
      </c>
      <c r="H130" s="1">
        <v>0</v>
      </c>
      <c r="I130" s="1">
        <v>2</v>
      </c>
      <c r="J130" s="1">
        <v>0</v>
      </c>
      <c r="K130" s="1">
        <v>-66.400000000000006</v>
      </c>
      <c r="L130" s="1">
        <v>28.1</v>
      </c>
      <c r="M130" s="1">
        <v>1730.9949999999999</v>
      </c>
      <c r="N130" s="1">
        <v>91.8</v>
      </c>
      <c r="O130" s="1">
        <v>8</v>
      </c>
      <c r="P130" s="1">
        <v>10</v>
      </c>
      <c r="Q130" s="1">
        <v>2.73</v>
      </c>
      <c r="R130" s="1">
        <v>68</v>
      </c>
      <c r="S130" s="1">
        <v>110</v>
      </c>
      <c r="T130" s="1">
        <v>147</v>
      </c>
      <c r="U130" s="1">
        <v>1357.482</v>
      </c>
      <c r="V130" s="1">
        <v>458.54700000000003</v>
      </c>
      <c r="W130" s="1">
        <v>752.85199999999998</v>
      </c>
      <c r="X130" s="1">
        <v>132.18100000000001</v>
      </c>
      <c r="Y130" s="1">
        <v>4.9400000000000004</v>
      </c>
      <c r="Z130" s="1">
        <v>8.0150000000000006</v>
      </c>
      <c r="AA130" s="1">
        <v>21.7</v>
      </c>
      <c r="AB130" s="1">
        <v>290.5</v>
      </c>
      <c r="AC130" s="1">
        <v>12696</v>
      </c>
      <c r="AD130" s="1">
        <v>3391</v>
      </c>
      <c r="AE130" s="1">
        <v>268</v>
      </c>
      <c r="AF130" s="1">
        <v>19</v>
      </c>
      <c r="AG130" s="1">
        <v>19</v>
      </c>
      <c r="AH130" s="1">
        <v>31.6</v>
      </c>
      <c r="AI130" s="1">
        <v>56.1</v>
      </c>
      <c r="AJ130" s="1">
        <v>12.2</v>
      </c>
      <c r="AK130" s="1">
        <v>84.4</v>
      </c>
      <c r="AL130" s="1">
        <v>31.9</v>
      </c>
      <c r="AM130" s="1">
        <v>8</v>
      </c>
      <c r="AN130" s="1">
        <v>0</v>
      </c>
      <c r="AO130" s="1">
        <v>0</v>
      </c>
      <c r="AP130" s="1" t="s">
        <v>266</v>
      </c>
      <c r="AQ130" s="1" t="s">
        <v>267</v>
      </c>
      <c r="AR130" s="1" t="s">
        <v>268</v>
      </c>
    </row>
    <row r="131" spans="1:44" x14ac:dyDescent="0.2">
      <c r="A131" s="1" t="s">
        <v>208</v>
      </c>
      <c r="B131" s="1" t="s">
        <v>265</v>
      </c>
      <c r="C131" s="1">
        <v>-42.9</v>
      </c>
      <c r="D131" s="1">
        <v>465692.8</v>
      </c>
      <c r="E131" s="1">
        <v>5966699.0999999996</v>
      </c>
      <c r="F131" s="1">
        <v>0</v>
      </c>
      <c r="G131" s="1">
        <v>-0.6</v>
      </c>
      <c r="H131" s="1">
        <v>0</v>
      </c>
      <c r="I131" s="1">
        <v>2</v>
      </c>
      <c r="J131" s="1">
        <v>0</v>
      </c>
      <c r="K131" s="1">
        <v>-73.7</v>
      </c>
      <c r="L131" s="1">
        <v>30.8</v>
      </c>
      <c r="M131" s="1">
        <v>1939.713</v>
      </c>
      <c r="N131" s="1">
        <v>99.1</v>
      </c>
      <c r="O131" s="1">
        <v>8</v>
      </c>
      <c r="P131" s="1">
        <v>11</v>
      </c>
      <c r="Q131" s="1">
        <v>2.7454999999999998</v>
      </c>
      <c r="R131" s="1">
        <v>70</v>
      </c>
      <c r="S131" s="1">
        <v>117</v>
      </c>
      <c r="T131" s="1">
        <v>149</v>
      </c>
      <c r="U131" s="1">
        <v>1575.71</v>
      </c>
      <c r="V131" s="1">
        <v>404.37299999999999</v>
      </c>
      <c r="W131" s="1">
        <v>752.85199999999998</v>
      </c>
      <c r="X131" s="1">
        <v>132.18100000000001</v>
      </c>
      <c r="Y131" s="1">
        <v>4.9400000000000004</v>
      </c>
      <c r="Z131" s="1">
        <v>8.0150000000000006</v>
      </c>
      <c r="AA131" s="1">
        <v>21.7</v>
      </c>
      <c r="AB131" s="1">
        <v>290.5</v>
      </c>
      <c r="AC131" s="1">
        <v>13485</v>
      </c>
      <c r="AD131" s="1">
        <v>3834</v>
      </c>
      <c r="AE131" s="1">
        <v>268</v>
      </c>
      <c r="AF131" s="1">
        <v>21</v>
      </c>
      <c r="AG131" s="1">
        <v>21</v>
      </c>
      <c r="AH131" s="1">
        <v>29.9</v>
      </c>
      <c r="AI131" s="1">
        <v>53.8</v>
      </c>
      <c r="AJ131" s="1">
        <v>16.3</v>
      </c>
      <c r="AK131" s="1">
        <v>82.9</v>
      </c>
      <c r="AL131" s="1">
        <v>31.9</v>
      </c>
      <c r="AM131" s="1">
        <v>8</v>
      </c>
      <c r="AN131" s="1">
        <v>0</v>
      </c>
      <c r="AO131" s="1">
        <v>0</v>
      </c>
      <c r="AP131" s="1" t="s">
        <v>270</v>
      </c>
      <c r="AQ131" s="1" t="s">
        <v>267</v>
      </c>
      <c r="AR131" s="1" t="s">
        <v>268</v>
      </c>
    </row>
    <row r="132" spans="1:44" x14ac:dyDescent="0.2">
      <c r="A132" s="1" t="s">
        <v>52</v>
      </c>
      <c r="B132" s="1" t="s">
        <v>265</v>
      </c>
      <c r="C132" s="1">
        <v>-36.799999999999997</v>
      </c>
      <c r="D132" s="1">
        <v>468654.9</v>
      </c>
      <c r="E132" s="1">
        <v>5965289.4000000004</v>
      </c>
      <c r="F132" s="1">
        <v>0</v>
      </c>
      <c r="G132" s="1">
        <v>-0.7</v>
      </c>
      <c r="H132" s="1">
        <v>0</v>
      </c>
      <c r="I132" s="1">
        <v>2</v>
      </c>
      <c r="J132" s="1">
        <v>0</v>
      </c>
      <c r="K132" s="1">
        <v>-64.900000000000006</v>
      </c>
      <c r="L132" s="1">
        <v>28.1</v>
      </c>
      <c r="M132" s="1">
        <v>1673.1289999999999</v>
      </c>
      <c r="N132" s="1">
        <v>90.3</v>
      </c>
      <c r="O132" s="1">
        <v>8</v>
      </c>
      <c r="P132" s="1">
        <v>10</v>
      </c>
      <c r="Q132" s="1">
        <v>2.74</v>
      </c>
      <c r="R132" s="1">
        <v>68</v>
      </c>
      <c r="S132" s="1">
        <v>110</v>
      </c>
      <c r="T132" s="1">
        <v>147</v>
      </c>
      <c r="U132" s="1">
        <v>1357.6579999999999</v>
      </c>
      <c r="V132" s="1">
        <v>421.99099999999999</v>
      </c>
      <c r="W132" s="1">
        <v>752.85199999999998</v>
      </c>
      <c r="X132" s="1">
        <v>132.18100000000001</v>
      </c>
      <c r="Y132" s="1">
        <v>4.9400000000000004</v>
      </c>
      <c r="Z132" s="1">
        <v>8.0150000000000006</v>
      </c>
      <c r="AA132" s="1">
        <v>21.7</v>
      </c>
      <c r="AB132" s="1">
        <v>290.5</v>
      </c>
      <c r="AC132" s="1">
        <v>12603</v>
      </c>
      <c r="AD132" s="1">
        <v>3298</v>
      </c>
      <c r="AE132" s="1">
        <v>268</v>
      </c>
      <c r="AF132" s="1">
        <v>19</v>
      </c>
      <c r="AG132" s="1">
        <v>19</v>
      </c>
      <c r="AH132" s="1">
        <v>32.700000000000003</v>
      </c>
      <c r="AI132" s="1">
        <v>54.3</v>
      </c>
      <c r="AJ132" s="1">
        <v>13</v>
      </c>
      <c r="AK132" s="1">
        <v>83.2</v>
      </c>
      <c r="AL132" s="1">
        <v>31.9</v>
      </c>
      <c r="AM132" s="1">
        <v>8</v>
      </c>
      <c r="AN132" s="1">
        <v>0</v>
      </c>
      <c r="AO132" s="1">
        <v>0</v>
      </c>
      <c r="AP132" s="1" t="s">
        <v>266</v>
      </c>
      <c r="AQ132" s="1" t="s">
        <v>267</v>
      </c>
      <c r="AR132" s="1" t="s">
        <v>268</v>
      </c>
    </row>
    <row r="133" spans="1:44" x14ac:dyDescent="0.2">
      <c r="A133" s="1" t="s">
        <v>62</v>
      </c>
      <c r="B133" s="1" t="s">
        <v>265</v>
      </c>
      <c r="C133" s="1">
        <v>-36.1</v>
      </c>
      <c r="D133" s="1">
        <v>471258.7</v>
      </c>
      <c r="E133" s="1">
        <v>5964498.4000000004</v>
      </c>
      <c r="F133" s="1">
        <v>0</v>
      </c>
      <c r="G133" s="1">
        <v>-0.6</v>
      </c>
      <c r="H133" s="1">
        <v>0</v>
      </c>
      <c r="I133" s="1">
        <v>2</v>
      </c>
      <c r="J133" s="1">
        <v>0</v>
      </c>
      <c r="K133" s="1">
        <v>-64.599999999999994</v>
      </c>
      <c r="L133" s="1">
        <v>28.5</v>
      </c>
      <c r="M133" s="1">
        <v>1658.1089999999999</v>
      </c>
      <c r="N133" s="1">
        <v>90</v>
      </c>
      <c r="O133" s="1">
        <v>8</v>
      </c>
      <c r="P133" s="1">
        <v>10</v>
      </c>
      <c r="Q133" s="1">
        <v>2.79</v>
      </c>
      <c r="R133" s="1">
        <v>68</v>
      </c>
      <c r="S133" s="1">
        <v>110</v>
      </c>
      <c r="T133" s="1">
        <v>147</v>
      </c>
      <c r="U133" s="1">
        <v>1357.721</v>
      </c>
      <c r="V133" s="1">
        <v>452.892</v>
      </c>
      <c r="W133" s="1">
        <v>752.85199999999998</v>
      </c>
      <c r="X133" s="1">
        <v>132.18100000000001</v>
      </c>
      <c r="Y133" s="1">
        <v>4.9400000000000004</v>
      </c>
      <c r="Z133" s="1">
        <v>8.0150000000000006</v>
      </c>
      <c r="AA133" s="1">
        <v>21.7</v>
      </c>
      <c r="AB133" s="1">
        <v>290.5</v>
      </c>
      <c r="AC133" s="1">
        <v>12585</v>
      </c>
      <c r="AD133" s="1">
        <v>3254</v>
      </c>
      <c r="AE133" s="1">
        <v>268</v>
      </c>
      <c r="AF133" s="1">
        <v>19</v>
      </c>
      <c r="AG133" s="1">
        <v>19</v>
      </c>
      <c r="AH133" s="1">
        <v>33</v>
      </c>
      <c r="AI133" s="1">
        <v>54.1</v>
      </c>
      <c r="AJ133" s="1">
        <v>12.9</v>
      </c>
      <c r="AK133" s="1">
        <v>82.8</v>
      </c>
      <c r="AL133" s="1">
        <v>31.9</v>
      </c>
      <c r="AM133" s="1">
        <v>8</v>
      </c>
      <c r="AN133" s="1">
        <v>0</v>
      </c>
      <c r="AO133" s="1">
        <v>0</v>
      </c>
      <c r="AP133" s="1" t="s">
        <v>266</v>
      </c>
      <c r="AQ133" s="1" t="s">
        <v>267</v>
      </c>
      <c r="AR133" s="1" t="s">
        <v>268</v>
      </c>
    </row>
    <row r="134" spans="1:44" x14ac:dyDescent="0.2">
      <c r="A134" s="1" t="s">
        <v>153</v>
      </c>
      <c r="B134" s="1" t="s">
        <v>269</v>
      </c>
      <c r="C134" s="1">
        <v>-31</v>
      </c>
      <c r="D134" s="1">
        <v>474820.7</v>
      </c>
      <c r="E134" s="1">
        <v>5962144.0999999996</v>
      </c>
      <c r="F134" s="1">
        <v>0</v>
      </c>
      <c r="G134" s="1">
        <v>-0.7</v>
      </c>
      <c r="H134" s="1">
        <v>0</v>
      </c>
      <c r="I134" s="1">
        <v>2</v>
      </c>
      <c r="J134" s="1">
        <v>0</v>
      </c>
      <c r="K134" s="1">
        <v>-59.5</v>
      </c>
      <c r="L134" s="1">
        <v>28.5</v>
      </c>
      <c r="M134" s="1">
        <v>1453.963</v>
      </c>
      <c r="N134" s="1">
        <v>84.9</v>
      </c>
      <c r="O134" s="1">
        <v>8</v>
      </c>
      <c r="P134" s="1">
        <v>10</v>
      </c>
      <c r="Q134" s="1">
        <v>2.78</v>
      </c>
      <c r="R134" s="1">
        <v>68</v>
      </c>
      <c r="S134" s="1">
        <v>110</v>
      </c>
      <c r="T134" s="1">
        <v>147</v>
      </c>
      <c r="U134" s="1">
        <v>1296.1210000000001</v>
      </c>
      <c r="V134" s="1">
        <v>549.351</v>
      </c>
      <c r="W134" s="1">
        <v>752.85199999999998</v>
      </c>
      <c r="X134" s="1">
        <v>132.18100000000001</v>
      </c>
      <c r="Y134" s="1">
        <v>4.9400000000000004</v>
      </c>
      <c r="Z134" s="1">
        <v>8.0150000000000006</v>
      </c>
      <c r="AA134" s="1">
        <v>21.7</v>
      </c>
      <c r="AB134" s="1">
        <v>290.5</v>
      </c>
      <c r="AC134" s="1">
        <v>12270</v>
      </c>
      <c r="AD134" s="1">
        <v>2938</v>
      </c>
      <c r="AE134" s="1">
        <v>268</v>
      </c>
      <c r="AF134" s="1">
        <v>19</v>
      </c>
      <c r="AG134" s="1">
        <v>19</v>
      </c>
      <c r="AH134" s="1">
        <v>36.9</v>
      </c>
      <c r="AI134" s="1">
        <v>50.2</v>
      </c>
      <c r="AJ134" s="1">
        <v>12.8</v>
      </c>
      <c r="AK134" s="1">
        <v>77.599999999999994</v>
      </c>
      <c r="AL134" s="1">
        <v>31.9</v>
      </c>
      <c r="AM134" s="1">
        <v>8</v>
      </c>
      <c r="AN134" s="1">
        <v>0</v>
      </c>
      <c r="AO134" s="1">
        <v>0</v>
      </c>
      <c r="AP134" s="1" t="s">
        <v>266</v>
      </c>
      <c r="AQ134" s="1" t="s">
        <v>267</v>
      </c>
      <c r="AR134" s="1" t="s">
        <v>268</v>
      </c>
    </row>
    <row r="135" spans="1:44" x14ac:dyDescent="0.2">
      <c r="A135" s="1" t="s">
        <v>68</v>
      </c>
      <c r="B135" s="1" t="s">
        <v>269</v>
      </c>
      <c r="C135" s="1">
        <v>-34.799999999999997</v>
      </c>
      <c r="D135" s="1">
        <v>476744.5</v>
      </c>
      <c r="E135" s="1">
        <v>5962385</v>
      </c>
      <c r="F135" s="1">
        <v>0</v>
      </c>
      <c r="G135" s="1">
        <v>-0.6</v>
      </c>
      <c r="H135" s="1">
        <v>0</v>
      </c>
      <c r="I135" s="1">
        <v>2</v>
      </c>
      <c r="J135" s="1">
        <v>0</v>
      </c>
      <c r="K135" s="1">
        <v>-64</v>
      </c>
      <c r="L135" s="1">
        <v>29.2</v>
      </c>
      <c r="M135" s="1">
        <v>1608.41</v>
      </c>
      <c r="N135" s="1">
        <v>89.4</v>
      </c>
      <c r="O135" s="1">
        <v>8</v>
      </c>
      <c r="P135" s="1">
        <v>10</v>
      </c>
      <c r="Q135" s="1">
        <v>2.86</v>
      </c>
      <c r="R135" s="1">
        <v>68</v>
      </c>
      <c r="S135" s="1">
        <v>110</v>
      </c>
      <c r="T135" s="1">
        <v>147</v>
      </c>
      <c r="U135" s="1">
        <v>1357.972</v>
      </c>
      <c r="V135" s="1">
        <v>515.34699999999998</v>
      </c>
      <c r="W135" s="1">
        <v>752.85199999999998</v>
      </c>
      <c r="X135" s="1">
        <v>132.18100000000001</v>
      </c>
      <c r="Y135" s="1">
        <v>4.9400000000000004</v>
      </c>
      <c r="Z135" s="1">
        <v>8.0150000000000006</v>
      </c>
      <c r="AA135" s="1">
        <v>21.7</v>
      </c>
      <c r="AB135" s="1">
        <v>290.5</v>
      </c>
      <c r="AC135" s="1">
        <v>12548</v>
      </c>
      <c r="AD135" s="1">
        <v>3174</v>
      </c>
      <c r="AE135" s="1">
        <v>268</v>
      </c>
      <c r="AF135" s="1">
        <v>19</v>
      </c>
      <c r="AG135" s="1">
        <v>19</v>
      </c>
      <c r="AH135" s="1">
        <v>34.1</v>
      </c>
      <c r="AI135" s="1">
        <v>52.7</v>
      </c>
      <c r="AJ135" s="1">
        <v>13.3</v>
      </c>
      <c r="AK135" s="1">
        <v>81</v>
      </c>
      <c r="AL135" s="1">
        <v>31.9</v>
      </c>
      <c r="AM135" s="1">
        <v>8</v>
      </c>
      <c r="AN135" s="1">
        <v>0</v>
      </c>
      <c r="AO135" s="1">
        <v>0</v>
      </c>
      <c r="AP135" s="1" t="s">
        <v>266</v>
      </c>
      <c r="AQ135" s="1" t="s">
        <v>267</v>
      </c>
      <c r="AR135" s="1" t="s">
        <v>268</v>
      </c>
    </row>
    <row r="136" spans="1:44" x14ac:dyDescent="0.2">
      <c r="A136" s="1" t="s">
        <v>67</v>
      </c>
      <c r="B136" s="1" t="s">
        <v>272</v>
      </c>
      <c r="C136" s="1">
        <v>-35.799999999999997</v>
      </c>
      <c r="D136" s="1">
        <v>475454.1</v>
      </c>
      <c r="E136" s="1">
        <v>5967738</v>
      </c>
      <c r="F136" s="1">
        <v>0</v>
      </c>
      <c r="G136" s="1">
        <v>-0.7</v>
      </c>
      <c r="H136" s="1">
        <v>0</v>
      </c>
      <c r="I136" s="1">
        <v>2</v>
      </c>
      <c r="J136" s="1">
        <v>0</v>
      </c>
      <c r="K136" s="1">
        <v>-64.2</v>
      </c>
      <c r="L136" s="1">
        <v>28.4</v>
      </c>
      <c r="M136" s="1">
        <v>1632.4860000000001</v>
      </c>
      <c r="N136" s="1">
        <v>89.6</v>
      </c>
      <c r="O136" s="1">
        <v>8</v>
      </c>
      <c r="P136" s="1">
        <v>10</v>
      </c>
      <c r="Q136" s="1">
        <v>2.77</v>
      </c>
      <c r="R136" s="1">
        <v>68</v>
      </c>
      <c r="S136" s="1">
        <v>110</v>
      </c>
      <c r="T136" s="1">
        <v>147</v>
      </c>
      <c r="U136" s="1">
        <v>1357.8340000000001</v>
      </c>
      <c r="V136" s="1">
        <v>452.94200000000001</v>
      </c>
      <c r="W136" s="1">
        <v>752.85199999999998</v>
      </c>
      <c r="X136" s="1">
        <v>132.18100000000001</v>
      </c>
      <c r="Y136" s="1">
        <v>4.9400000000000004</v>
      </c>
      <c r="Z136" s="1">
        <v>8.0150000000000006</v>
      </c>
      <c r="AA136" s="1">
        <v>21.7</v>
      </c>
      <c r="AB136" s="1">
        <v>290.5</v>
      </c>
      <c r="AC136" s="1">
        <v>12560</v>
      </c>
      <c r="AD136" s="1">
        <v>3236</v>
      </c>
      <c r="AE136" s="1">
        <v>268</v>
      </c>
      <c r="AF136" s="1">
        <v>19</v>
      </c>
      <c r="AG136" s="1">
        <v>19</v>
      </c>
      <c r="AH136" s="1">
        <v>33.6</v>
      </c>
      <c r="AI136" s="1">
        <v>53.3</v>
      </c>
      <c r="AJ136" s="1">
        <v>13.2</v>
      </c>
      <c r="AK136" s="1">
        <v>82</v>
      </c>
      <c r="AL136" s="1">
        <v>31.9</v>
      </c>
      <c r="AM136" s="1">
        <v>8</v>
      </c>
      <c r="AN136" s="1">
        <v>0</v>
      </c>
      <c r="AO136" s="1">
        <v>0</v>
      </c>
      <c r="AP136" s="1" t="s">
        <v>266</v>
      </c>
      <c r="AQ136" s="1" t="s">
        <v>267</v>
      </c>
      <c r="AR136" s="1" t="s">
        <v>268</v>
      </c>
    </row>
    <row r="137" spans="1:44" x14ac:dyDescent="0.2">
      <c r="A137" s="1" t="s">
        <v>135</v>
      </c>
      <c r="B137" s="1" t="s">
        <v>265</v>
      </c>
      <c r="C137" s="1">
        <v>-28.6</v>
      </c>
      <c r="D137" s="1">
        <v>476026.4</v>
      </c>
      <c r="E137" s="1">
        <v>5970012</v>
      </c>
      <c r="F137" s="1">
        <v>0</v>
      </c>
      <c r="G137" s="1">
        <v>-0.6</v>
      </c>
      <c r="H137" s="1">
        <v>0</v>
      </c>
      <c r="I137" s="1">
        <v>2</v>
      </c>
      <c r="J137" s="1">
        <v>0</v>
      </c>
      <c r="K137" s="1">
        <v>-60.6</v>
      </c>
      <c r="L137" s="1">
        <v>32</v>
      </c>
      <c r="M137" s="1">
        <v>1461.6379999999999</v>
      </c>
      <c r="N137" s="1">
        <v>86</v>
      </c>
      <c r="O137" s="1">
        <v>8</v>
      </c>
      <c r="P137" s="1">
        <v>10</v>
      </c>
      <c r="Q137" s="1">
        <v>3.14</v>
      </c>
      <c r="R137" s="1">
        <v>64</v>
      </c>
      <c r="S137" s="1">
        <v>110</v>
      </c>
      <c r="T137" s="1">
        <v>147</v>
      </c>
      <c r="U137" s="1">
        <v>1296.1959999999999</v>
      </c>
      <c r="V137" s="1">
        <v>430.87599999999998</v>
      </c>
      <c r="W137" s="1">
        <v>752.85199999999998</v>
      </c>
      <c r="X137" s="1">
        <v>132.18100000000001</v>
      </c>
      <c r="Y137" s="1">
        <v>4.9400000000000004</v>
      </c>
      <c r="Z137" s="1">
        <v>8.0150000000000006</v>
      </c>
      <c r="AA137" s="1">
        <v>21.7</v>
      </c>
      <c r="AB137" s="1">
        <v>290.5</v>
      </c>
      <c r="AC137" s="1">
        <v>12339</v>
      </c>
      <c r="AD137" s="1">
        <v>2789</v>
      </c>
      <c r="AE137" s="1">
        <v>268</v>
      </c>
      <c r="AF137" s="1">
        <v>23</v>
      </c>
      <c r="AG137" s="1">
        <v>23</v>
      </c>
      <c r="AH137" s="1">
        <v>36.5</v>
      </c>
      <c r="AI137" s="1">
        <v>51.2</v>
      </c>
      <c r="AJ137" s="1">
        <v>12.3</v>
      </c>
      <c r="AK137" s="1">
        <v>76.8</v>
      </c>
      <c r="AL137" s="1">
        <v>31.9</v>
      </c>
      <c r="AM137" s="1">
        <v>8</v>
      </c>
      <c r="AN137" s="1">
        <v>0</v>
      </c>
      <c r="AO137" s="1">
        <v>0</v>
      </c>
      <c r="AP137" s="1" t="s">
        <v>266</v>
      </c>
      <c r="AQ137" s="1" t="s">
        <v>267</v>
      </c>
      <c r="AR137" s="1" t="s">
        <v>268</v>
      </c>
    </row>
    <row r="138" spans="1:44" x14ac:dyDescent="0.2">
      <c r="A138" s="1" t="s">
        <v>190</v>
      </c>
      <c r="B138" s="1" t="s">
        <v>271</v>
      </c>
      <c r="C138" s="1">
        <v>-49.9</v>
      </c>
      <c r="D138" s="1">
        <v>475796</v>
      </c>
      <c r="E138" s="1">
        <v>5973477</v>
      </c>
      <c r="F138" s="1">
        <v>0</v>
      </c>
      <c r="G138" s="1">
        <v>-0.6</v>
      </c>
      <c r="H138" s="1">
        <v>0</v>
      </c>
      <c r="I138" s="1">
        <v>2</v>
      </c>
      <c r="J138" s="1">
        <v>0</v>
      </c>
      <c r="K138" s="1">
        <v>-79</v>
      </c>
      <c r="L138" s="1">
        <v>29.1</v>
      </c>
      <c r="M138" s="1">
        <v>2354.1260000000002</v>
      </c>
      <c r="N138" s="1">
        <v>104.4</v>
      </c>
      <c r="O138" s="1">
        <v>8</v>
      </c>
      <c r="P138" s="1">
        <v>11</v>
      </c>
      <c r="Q138" s="1">
        <v>2.5909</v>
      </c>
      <c r="R138" s="1">
        <v>70</v>
      </c>
      <c r="S138" s="1">
        <v>117</v>
      </c>
      <c r="T138" s="1">
        <v>149</v>
      </c>
      <c r="U138" s="1">
        <v>1711.1120000000001</v>
      </c>
      <c r="V138" s="1">
        <v>361.44</v>
      </c>
      <c r="W138" s="1">
        <v>752.85199999999998</v>
      </c>
      <c r="X138" s="1">
        <v>132.18100000000001</v>
      </c>
      <c r="Y138" s="1">
        <v>4.9400000000000004</v>
      </c>
      <c r="Z138" s="1">
        <v>8.0150000000000006</v>
      </c>
      <c r="AA138" s="1">
        <v>21.7</v>
      </c>
      <c r="AB138" s="1">
        <v>290.5</v>
      </c>
      <c r="AC138" s="1">
        <v>13842</v>
      </c>
      <c r="AD138" s="1">
        <v>4311</v>
      </c>
      <c r="AE138" s="1">
        <v>268</v>
      </c>
      <c r="AF138" s="1">
        <v>19</v>
      </c>
      <c r="AG138" s="1">
        <v>19</v>
      </c>
      <c r="AH138" s="1">
        <v>24.7</v>
      </c>
      <c r="AI138" s="1">
        <v>61.8</v>
      </c>
      <c r="AJ138" s="1">
        <v>13.5</v>
      </c>
      <c r="AK138" s="1">
        <v>93.6</v>
      </c>
      <c r="AL138" s="1">
        <v>31.9</v>
      </c>
      <c r="AM138" s="1">
        <v>8</v>
      </c>
      <c r="AN138" s="1">
        <v>0</v>
      </c>
      <c r="AO138" s="1">
        <v>0</v>
      </c>
      <c r="AP138" s="1" t="s">
        <v>270</v>
      </c>
      <c r="AQ138" s="1" t="s">
        <v>267</v>
      </c>
      <c r="AR138" s="1" t="s">
        <v>268</v>
      </c>
    </row>
    <row r="139" spans="1:44" x14ac:dyDescent="0.2">
      <c r="A139" s="1" t="s">
        <v>99</v>
      </c>
      <c r="B139" s="1" t="s">
        <v>265</v>
      </c>
      <c r="C139" s="1">
        <v>-37.1</v>
      </c>
      <c r="D139" s="1">
        <v>453203</v>
      </c>
      <c r="E139" s="1">
        <v>5973772.4000000004</v>
      </c>
      <c r="F139" s="1">
        <v>0</v>
      </c>
      <c r="G139" s="1">
        <v>-0.7</v>
      </c>
      <c r="H139" s="1">
        <v>0</v>
      </c>
      <c r="I139" s="1">
        <v>2</v>
      </c>
      <c r="J139" s="1">
        <v>0</v>
      </c>
      <c r="K139" s="1">
        <v>-62</v>
      </c>
      <c r="L139" s="1">
        <v>24.9</v>
      </c>
      <c r="M139" s="1">
        <v>1600.0519999999999</v>
      </c>
      <c r="N139" s="1">
        <v>87.4</v>
      </c>
      <c r="O139" s="1">
        <v>8</v>
      </c>
      <c r="P139" s="1">
        <v>10</v>
      </c>
      <c r="Q139" s="1">
        <v>2.42</v>
      </c>
      <c r="R139" s="1">
        <v>68</v>
      </c>
      <c r="S139" s="1">
        <v>110</v>
      </c>
      <c r="T139" s="1">
        <v>147</v>
      </c>
      <c r="U139" s="1">
        <v>1295.4290000000001</v>
      </c>
      <c r="V139" s="1">
        <v>458.73500000000001</v>
      </c>
      <c r="W139" s="1">
        <v>752.85199999999998</v>
      </c>
      <c r="X139" s="1">
        <v>132.18100000000001</v>
      </c>
      <c r="Y139" s="1">
        <v>4.9400000000000004</v>
      </c>
      <c r="Z139" s="1">
        <v>8.0150000000000006</v>
      </c>
      <c r="AA139" s="1">
        <v>21.7</v>
      </c>
      <c r="AB139" s="1">
        <v>290.5</v>
      </c>
      <c r="AC139" s="1">
        <v>12423</v>
      </c>
      <c r="AD139" s="1">
        <v>3317</v>
      </c>
      <c r="AE139" s="1">
        <v>268</v>
      </c>
      <c r="AF139" s="1">
        <v>15</v>
      </c>
      <c r="AG139" s="1">
        <v>15</v>
      </c>
      <c r="AH139" s="1">
        <v>34.200000000000003</v>
      </c>
      <c r="AI139" s="1">
        <v>52.4</v>
      </c>
      <c r="AJ139" s="1">
        <v>13.3</v>
      </c>
      <c r="AK139" s="1">
        <v>82.5</v>
      </c>
      <c r="AL139" s="1">
        <v>31.9</v>
      </c>
      <c r="AM139" s="1">
        <v>8</v>
      </c>
      <c r="AN139" s="1">
        <v>0</v>
      </c>
      <c r="AO139" s="1">
        <v>0</v>
      </c>
      <c r="AP139" s="1" t="s">
        <v>266</v>
      </c>
      <c r="AQ139" s="1" t="s">
        <v>267</v>
      </c>
      <c r="AR139" s="1" t="s">
        <v>268</v>
      </c>
    </row>
    <row r="140" spans="1:44" x14ac:dyDescent="0.2">
      <c r="A140" s="1" t="s">
        <v>34</v>
      </c>
      <c r="B140" s="1" t="s">
        <v>265</v>
      </c>
      <c r="C140" s="1">
        <v>-36.700000000000003</v>
      </c>
      <c r="D140" s="1">
        <v>454659.2</v>
      </c>
      <c r="E140" s="1">
        <v>5974634.2000000002</v>
      </c>
      <c r="F140" s="1">
        <v>0</v>
      </c>
      <c r="G140" s="1">
        <v>-0.6</v>
      </c>
      <c r="H140" s="1">
        <v>0</v>
      </c>
      <c r="I140" s="1">
        <v>2</v>
      </c>
      <c r="J140" s="1">
        <v>0</v>
      </c>
      <c r="K140" s="1">
        <v>-66.400000000000006</v>
      </c>
      <c r="L140" s="1">
        <v>29.7</v>
      </c>
      <c r="M140" s="1">
        <v>1684.078</v>
      </c>
      <c r="N140" s="1">
        <v>91.8</v>
      </c>
      <c r="O140" s="1">
        <v>8</v>
      </c>
      <c r="P140" s="1">
        <v>10</v>
      </c>
      <c r="Q140" s="1">
        <v>2.91</v>
      </c>
      <c r="R140" s="1">
        <v>68</v>
      </c>
      <c r="S140" s="1">
        <v>110</v>
      </c>
      <c r="T140" s="1">
        <v>147</v>
      </c>
      <c r="U140" s="1">
        <v>1357.7840000000001</v>
      </c>
      <c r="V140" s="1">
        <v>427.83499999999998</v>
      </c>
      <c r="W140" s="1">
        <v>752.85199999999998</v>
      </c>
      <c r="X140" s="1">
        <v>132.18100000000001</v>
      </c>
      <c r="Y140" s="1">
        <v>4.9400000000000004</v>
      </c>
      <c r="Z140" s="1">
        <v>8.0150000000000006</v>
      </c>
      <c r="AA140" s="1">
        <v>21.7</v>
      </c>
      <c r="AB140" s="1">
        <v>290.5</v>
      </c>
      <c r="AC140" s="1">
        <v>12697</v>
      </c>
      <c r="AD140" s="1">
        <v>3292</v>
      </c>
      <c r="AE140" s="1">
        <v>268</v>
      </c>
      <c r="AF140" s="1">
        <v>21</v>
      </c>
      <c r="AG140" s="1">
        <v>21</v>
      </c>
      <c r="AH140" s="1">
        <v>32.5</v>
      </c>
      <c r="AI140" s="1">
        <v>54.8</v>
      </c>
      <c r="AJ140" s="1">
        <v>12.7</v>
      </c>
      <c r="AK140" s="1">
        <v>82.3</v>
      </c>
      <c r="AL140" s="1">
        <v>31.9</v>
      </c>
      <c r="AM140" s="1">
        <v>8</v>
      </c>
      <c r="AN140" s="1">
        <v>0</v>
      </c>
      <c r="AO140" s="1">
        <v>0</v>
      </c>
      <c r="AP140" s="1" t="s">
        <v>266</v>
      </c>
      <c r="AQ140" s="1" t="s">
        <v>267</v>
      </c>
      <c r="AR140" s="1" t="s">
        <v>268</v>
      </c>
    </row>
    <row r="141" spans="1:44" x14ac:dyDescent="0.2">
      <c r="A141" s="1" t="s">
        <v>179</v>
      </c>
      <c r="B141" s="1" t="s">
        <v>265</v>
      </c>
      <c r="C141" s="1">
        <v>-38.1</v>
      </c>
      <c r="D141" s="1">
        <v>457879</v>
      </c>
      <c r="E141" s="1">
        <v>5972650</v>
      </c>
      <c r="F141" s="1">
        <v>0</v>
      </c>
      <c r="G141" s="1">
        <v>-0.6</v>
      </c>
      <c r="H141" s="1">
        <v>0</v>
      </c>
      <c r="I141" s="1">
        <v>2</v>
      </c>
      <c r="J141" s="1">
        <v>0</v>
      </c>
      <c r="K141" s="1">
        <v>-68.5</v>
      </c>
      <c r="L141" s="1">
        <v>30.4</v>
      </c>
      <c r="M141" s="1">
        <v>1751.258</v>
      </c>
      <c r="N141" s="1">
        <v>93.9</v>
      </c>
      <c r="O141" s="1">
        <v>8</v>
      </c>
      <c r="P141" s="1">
        <v>10.5</v>
      </c>
      <c r="Q141" s="1">
        <v>2.8380999999999998</v>
      </c>
      <c r="R141" s="1">
        <v>72</v>
      </c>
      <c r="S141" s="1">
        <v>112</v>
      </c>
      <c r="T141" s="1">
        <v>146</v>
      </c>
      <c r="U141" s="1">
        <v>1406.259</v>
      </c>
      <c r="V141" s="1">
        <v>486.70800000000003</v>
      </c>
      <c r="W141" s="1">
        <v>752.85199999999998</v>
      </c>
      <c r="X141" s="1">
        <v>132.18100000000001</v>
      </c>
      <c r="Y141" s="1">
        <v>4.9400000000000004</v>
      </c>
      <c r="Z141" s="1">
        <v>8.0150000000000006</v>
      </c>
      <c r="AA141" s="1">
        <v>21.7</v>
      </c>
      <c r="AB141" s="1">
        <v>290.5</v>
      </c>
      <c r="AC141" s="1">
        <v>12983</v>
      </c>
      <c r="AD141" s="1">
        <v>3447</v>
      </c>
      <c r="AE141" s="1">
        <v>268</v>
      </c>
      <c r="AF141" s="1">
        <v>21</v>
      </c>
      <c r="AG141" s="1">
        <v>21</v>
      </c>
      <c r="AH141" s="1">
        <v>32.4</v>
      </c>
      <c r="AI141" s="1">
        <v>52.9</v>
      </c>
      <c r="AJ141" s="1">
        <v>14.7</v>
      </c>
      <c r="AK141" s="1">
        <v>81.599999999999994</v>
      </c>
      <c r="AL141" s="1">
        <v>31.9</v>
      </c>
      <c r="AM141" s="1">
        <v>8</v>
      </c>
      <c r="AN141" s="1">
        <v>0</v>
      </c>
      <c r="AO141" s="1">
        <v>0</v>
      </c>
      <c r="AP141" s="1" t="s">
        <v>270</v>
      </c>
      <c r="AQ141" s="1" t="s">
        <v>267</v>
      </c>
      <c r="AR141" s="1" t="s">
        <v>268</v>
      </c>
    </row>
    <row r="142" spans="1:44" x14ac:dyDescent="0.2">
      <c r="A142" s="1" t="s">
        <v>41</v>
      </c>
      <c r="B142" s="1" t="s">
        <v>265</v>
      </c>
      <c r="C142" s="1">
        <v>-37.6</v>
      </c>
      <c r="D142" s="1">
        <v>461024.6</v>
      </c>
      <c r="E142" s="1">
        <v>5970908</v>
      </c>
      <c r="F142" s="1">
        <v>0</v>
      </c>
      <c r="G142" s="1">
        <v>-0.6</v>
      </c>
      <c r="H142" s="1">
        <v>0</v>
      </c>
      <c r="I142" s="1">
        <v>2</v>
      </c>
      <c r="J142" s="1">
        <v>0</v>
      </c>
      <c r="K142" s="1">
        <v>-68.099999999999994</v>
      </c>
      <c r="L142" s="1">
        <v>30.5</v>
      </c>
      <c r="M142" s="1">
        <v>1729.912</v>
      </c>
      <c r="N142" s="1">
        <v>93.5</v>
      </c>
      <c r="O142" s="1">
        <v>8</v>
      </c>
      <c r="P142" s="1">
        <v>10</v>
      </c>
      <c r="Q142" s="1">
        <v>2.99</v>
      </c>
      <c r="R142" s="1">
        <v>68</v>
      </c>
      <c r="S142" s="1">
        <v>110</v>
      </c>
      <c r="T142" s="1">
        <v>147</v>
      </c>
      <c r="U142" s="1">
        <v>1420.069</v>
      </c>
      <c r="V142" s="1">
        <v>483.84300000000002</v>
      </c>
      <c r="W142" s="1">
        <v>752.85199999999998</v>
      </c>
      <c r="X142" s="1">
        <v>132.18100000000001</v>
      </c>
      <c r="Y142" s="1">
        <v>4.9400000000000004</v>
      </c>
      <c r="Z142" s="1">
        <v>8.0150000000000006</v>
      </c>
      <c r="AA142" s="1">
        <v>21.7</v>
      </c>
      <c r="AB142" s="1">
        <v>290.5</v>
      </c>
      <c r="AC142" s="1">
        <v>12803</v>
      </c>
      <c r="AD142" s="1">
        <v>3347</v>
      </c>
      <c r="AE142" s="1">
        <v>268</v>
      </c>
      <c r="AF142" s="1">
        <v>21</v>
      </c>
      <c r="AG142" s="1">
        <v>21</v>
      </c>
      <c r="AH142" s="1">
        <v>31.7</v>
      </c>
      <c r="AI142" s="1">
        <v>56</v>
      </c>
      <c r="AJ142" s="1">
        <v>12.3</v>
      </c>
      <c r="AK142" s="1">
        <v>82.8</v>
      </c>
      <c r="AL142" s="1">
        <v>31.9</v>
      </c>
      <c r="AM142" s="1">
        <v>8</v>
      </c>
      <c r="AN142" s="1">
        <v>0</v>
      </c>
      <c r="AO142" s="1">
        <v>0</v>
      </c>
      <c r="AP142" s="1" t="s">
        <v>266</v>
      </c>
      <c r="AQ142" s="1" t="s">
        <v>267</v>
      </c>
      <c r="AR142" s="1" t="s">
        <v>268</v>
      </c>
    </row>
    <row r="143" spans="1:44" x14ac:dyDescent="0.2">
      <c r="A143" s="1" t="s">
        <v>201</v>
      </c>
      <c r="B143" s="1" t="s">
        <v>265</v>
      </c>
      <c r="C143" s="1">
        <v>-43.5</v>
      </c>
      <c r="D143" s="1">
        <v>464140.2</v>
      </c>
      <c r="E143" s="1">
        <v>5969190</v>
      </c>
      <c r="F143" s="1">
        <v>0</v>
      </c>
      <c r="G143" s="1">
        <v>-0.7</v>
      </c>
      <c r="H143" s="1">
        <v>0</v>
      </c>
      <c r="I143" s="1">
        <v>2</v>
      </c>
      <c r="J143" s="1">
        <v>0</v>
      </c>
      <c r="K143" s="1">
        <v>-76.5</v>
      </c>
      <c r="L143" s="1">
        <v>33</v>
      </c>
      <c r="M143" s="1">
        <v>2078.5120000000002</v>
      </c>
      <c r="N143" s="1">
        <v>101.9</v>
      </c>
      <c r="O143" s="1">
        <v>8</v>
      </c>
      <c r="P143" s="1">
        <v>11</v>
      </c>
      <c r="Q143" s="1">
        <v>2.9363999999999999</v>
      </c>
      <c r="R143" s="1">
        <v>70</v>
      </c>
      <c r="S143" s="1">
        <v>117</v>
      </c>
      <c r="T143" s="1">
        <v>149</v>
      </c>
      <c r="U143" s="1">
        <v>1575.1569999999999</v>
      </c>
      <c r="V143" s="1">
        <v>369.238</v>
      </c>
      <c r="W143" s="1">
        <v>752.85199999999998</v>
      </c>
      <c r="X143" s="1">
        <v>132.18100000000001</v>
      </c>
      <c r="Y143" s="1">
        <v>4.9400000000000004</v>
      </c>
      <c r="Z143" s="1">
        <v>8.0150000000000006</v>
      </c>
      <c r="AA143" s="1">
        <v>21.7</v>
      </c>
      <c r="AB143" s="1">
        <v>290.5</v>
      </c>
      <c r="AC143" s="1">
        <v>13675</v>
      </c>
      <c r="AD143" s="1">
        <v>3874</v>
      </c>
      <c r="AE143" s="1">
        <v>268</v>
      </c>
      <c r="AF143" s="1">
        <v>23</v>
      </c>
      <c r="AG143" s="1">
        <v>23</v>
      </c>
      <c r="AH143" s="1">
        <v>29.1</v>
      </c>
      <c r="AI143" s="1">
        <v>55</v>
      </c>
      <c r="AJ143" s="1">
        <v>15.9</v>
      </c>
      <c r="AK143" s="1">
        <v>86.2</v>
      </c>
      <c r="AL143" s="1">
        <v>31.9</v>
      </c>
      <c r="AM143" s="1">
        <v>8</v>
      </c>
      <c r="AN143" s="1">
        <v>0</v>
      </c>
      <c r="AO143" s="1">
        <v>0</v>
      </c>
      <c r="AP143" s="1" t="s">
        <v>270</v>
      </c>
      <c r="AQ143" s="1" t="s">
        <v>267</v>
      </c>
      <c r="AR143" s="1" t="s">
        <v>268</v>
      </c>
    </row>
    <row r="144" spans="1:44" x14ac:dyDescent="0.2">
      <c r="A144" s="1" t="s">
        <v>204</v>
      </c>
      <c r="B144" s="1" t="s">
        <v>265</v>
      </c>
      <c r="C144" s="1">
        <v>-44.8</v>
      </c>
      <c r="D144" s="1">
        <v>467775.4</v>
      </c>
      <c r="E144" s="1">
        <v>5966700.2999999998</v>
      </c>
      <c r="F144" s="1">
        <v>0</v>
      </c>
      <c r="G144" s="1">
        <v>-0.6</v>
      </c>
      <c r="H144" s="1">
        <v>0</v>
      </c>
      <c r="I144" s="1">
        <v>2</v>
      </c>
      <c r="J144" s="1">
        <v>0</v>
      </c>
      <c r="K144" s="1">
        <v>-75.5</v>
      </c>
      <c r="L144" s="1">
        <v>30.7</v>
      </c>
      <c r="M144" s="1">
        <v>2016.578</v>
      </c>
      <c r="N144" s="1">
        <v>100.9</v>
      </c>
      <c r="O144" s="1">
        <v>8</v>
      </c>
      <c r="P144" s="1">
        <v>11</v>
      </c>
      <c r="Q144" s="1">
        <v>2.7364000000000002</v>
      </c>
      <c r="R144" s="1">
        <v>70</v>
      </c>
      <c r="S144" s="1">
        <v>117</v>
      </c>
      <c r="T144" s="1">
        <v>149</v>
      </c>
      <c r="U144" s="1">
        <v>1575.433</v>
      </c>
      <c r="V144" s="1">
        <v>507.053</v>
      </c>
      <c r="W144" s="1">
        <v>752.85199999999998</v>
      </c>
      <c r="X144" s="1">
        <v>132.18100000000001</v>
      </c>
      <c r="Y144" s="1">
        <v>4.9400000000000004</v>
      </c>
      <c r="Z144" s="1">
        <v>8.0150000000000006</v>
      </c>
      <c r="AA144" s="1">
        <v>21.7</v>
      </c>
      <c r="AB144" s="1">
        <v>290.5</v>
      </c>
      <c r="AC144" s="1">
        <v>13608</v>
      </c>
      <c r="AD144" s="1">
        <v>3964</v>
      </c>
      <c r="AE144" s="1">
        <v>268</v>
      </c>
      <c r="AF144" s="1">
        <v>21</v>
      </c>
      <c r="AG144" s="1">
        <v>21</v>
      </c>
      <c r="AH144" s="1">
        <v>29.8</v>
      </c>
      <c r="AI144" s="1">
        <v>54</v>
      </c>
      <c r="AJ144" s="1">
        <v>16.2</v>
      </c>
      <c r="AK144" s="1">
        <v>84.7</v>
      </c>
      <c r="AL144" s="1">
        <v>31.9</v>
      </c>
      <c r="AM144" s="1">
        <v>8</v>
      </c>
      <c r="AN144" s="1">
        <v>0</v>
      </c>
      <c r="AO144" s="1">
        <v>0</v>
      </c>
      <c r="AP144" s="1" t="s">
        <v>270</v>
      </c>
      <c r="AQ144" s="1" t="s">
        <v>267</v>
      </c>
      <c r="AR144" s="1" t="s">
        <v>268</v>
      </c>
    </row>
    <row r="145" spans="1:44" x14ac:dyDescent="0.2">
      <c r="A145" s="1" t="s">
        <v>19</v>
      </c>
      <c r="B145" s="1" t="s">
        <v>269</v>
      </c>
      <c r="C145" s="1">
        <v>-37.9</v>
      </c>
      <c r="D145" s="1">
        <v>470333.6</v>
      </c>
      <c r="E145" s="1">
        <v>5965984.5</v>
      </c>
      <c r="F145" s="1">
        <v>0</v>
      </c>
      <c r="G145" s="1">
        <v>-0.7</v>
      </c>
      <c r="H145" s="1">
        <v>0</v>
      </c>
      <c r="I145" s="1">
        <v>2</v>
      </c>
      <c r="J145" s="1">
        <v>0</v>
      </c>
      <c r="K145" s="1">
        <v>-67.8</v>
      </c>
      <c r="L145" s="1">
        <v>29.9</v>
      </c>
      <c r="M145" s="1">
        <v>1767.933</v>
      </c>
      <c r="N145" s="1">
        <v>93.2</v>
      </c>
      <c r="O145" s="1">
        <v>8</v>
      </c>
      <c r="P145" s="1">
        <v>10</v>
      </c>
      <c r="Q145" s="1">
        <v>2.92</v>
      </c>
      <c r="R145" s="1">
        <v>68</v>
      </c>
      <c r="S145" s="1">
        <v>110</v>
      </c>
      <c r="T145" s="1">
        <v>147</v>
      </c>
      <c r="U145" s="1">
        <v>1419.7860000000001</v>
      </c>
      <c r="V145" s="1">
        <v>489.37200000000001</v>
      </c>
      <c r="W145" s="1">
        <v>752.85199999999998</v>
      </c>
      <c r="X145" s="1">
        <v>132.18100000000001</v>
      </c>
      <c r="Y145" s="1">
        <v>4.9400000000000004</v>
      </c>
      <c r="Z145" s="1">
        <v>8.0150000000000006</v>
      </c>
      <c r="AA145" s="1">
        <v>21.7</v>
      </c>
      <c r="AB145" s="1">
        <v>290.5</v>
      </c>
      <c r="AC145" s="1">
        <v>12783</v>
      </c>
      <c r="AD145" s="1">
        <v>3365</v>
      </c>
      <c r="AE145" s="1">
        <v>268</v>
      </c>
      <c r="AF145" s="1">
        <v>21</v>
      </c>
      <c r="AG145" s="1">
        <v>21</v>
      </c>
      <c r="AH145" s="1">
        <v>31</v>
      </c>
      <c r="AI145" s="1">
        <v>56.9</v>
      </c>
      <c r="AJ145" s="1">
        <v>12.1</v>
      </c>
      <c r="AK145" s="1">
        <v>84.8</v>
      </c>
      <c r="AL145" s="1">
        <v>31.9</v>
      </c>
      <c r="AM145" s="1">
        <v>8</v>
      </c>
      <c r="AN145" s="1">
        <v>0</v>
      </c>
      <c r="AO145" s="1">
        <v>0</v>
      </c>
      <c r="AP145" s="1" t="s">
        <v>266</v>
      </c>
      <c r="AQ145" s="1" t="s">
        <v>267</v>
      </c>
      <c r="AR145" s="1" t="s">
        <v>268</v>
      </c>
    </row>
    <row r="146" spans="1:44" x14ac:dyDescent="0.2">
      <c r="A146" s="1" t="s">
        <v>15</v>
      </c>
      <c r="B146" s="1" t="s">
        <v>265</v>
      </c>
      <c r="C146" s="1">
        <v>-33.5</v>
      </c>
      <c r="D146" s="1">
        <v>474004.5</v>
      </c>
      <c r="E146" s="1">
        <v>5963438.7000000002</v>
      </c>
      <c r="F146" s="1">
        <v>0</v>
      </c>
      <c r="G146" s="1">
        <v>-0.7</v>
      </c>
      <c r="H146" s="1">
        <v>0</v>
      </c>
      <c r="I146" s="1">
        <v>2</v>
      </c>
      <c r="J146" s="1">
        <v>0</v>
      </c>
      <c r="K146" s="1">
        <v>-62.2</v>
      </c>
      <c r="L146" s="1">
        <v>28.7</v>
      </c>
      <c r="M146" s="1">
        <v>1572.8789999999999</v>
      </c>
      <c r="N146" s="1">
        <v>87.6</v>
      </c>
      <c r="O146" s="1">
        <v>8</v>
      </c>
      <c r="P146" s="1">
        <v>10</v>
      </c>
      <c r="Q146" s="1">
        <v>2.8</v>
      </c>
      <c r="R146" s="1">
        <v>64</v>
      </c>
      <c r="S146" s="1">
        <v>110</v>
      </c>
      <c r="T146" s="1">
        <v>147</v>
      </c>
      <c r="U146" s="1">
        <v>1358.0350000000001</v>
      </c>
      <c r="V146" s="1">
        <v>461.714</v>
      </c>
      <c r="W146" s="1">
        <v>752.85199999999998</v>
      </c>
      <c r="X146" s="1">
        <v>132.18100000000001</v>
      </c>
      <c r="Y146" s="1">
        <v>4.9400000000000004</v>
      </c>
      <c r="Z146" s="1">
        <v>8.0150000000000006</v>
      </c>
      <c r="AA146" s="1">
        <v>21.7</v>
      </c>
      <c r="AB146" s="1">
        <v>290.5</v>
      </c>
      <c r="AC146" s="1">
        <v>12436</v>
      </c>
      <c r="AD146" s="1">
        <v>3094</v>
      </c>
      <c r="AE146" s="1">
        <v>268</v>
      </c>
      <c r="AF146" s="1">
        <v>19</v>
      </c>
      <c r="AG146" s="1">
        <v>19</v>
      </c>
      <c r="AH146" s="1">
        <v>33.9</v>
      </c>
      <c r="AI146" s="1">
        <v>54.6</v>
      </c>
      <c r="AJ146" s="1">
        <v>11.4</v>
      </c>
      <c r="AK146" s="1">
        <v>80.7</v>
      </c>
      <c r="AL146" s="1">
        <v>31.9</v>
      </c>
      <c r="AM146" s="1">
        <v>8</v>
      </c>
      <c r="AN146" s="1">
        <v>0</v>
      </c>
      <c r="AO146" s="1">
        <v>0</v>
      </c>
      <c r="AP146" s="1" t="s">
        <v>266</v>
      </c>
      <c r="AQ146" s="1" t="s">
        <v>267</v>
      </c>
      <c r="AR146" s="1" t="s">
        <v>268</v>
      </c>
    </row>
    <row r="147" spans="1:44" x14ac:dyDescent="0.2">
      <c r="A147" s="1" t="s">
        <v>193</v>
      </c>
      <c r="B147" s="1" t="s">
        <v>265</v>
      </c>
      <c r="C147" s="1">
        <v>-49.6</v>
      </c>
      <c r="D147" s="1">
        <v>472295</v>
      </c>
      <c r="E147" s="1">
        <v>5969540</v>
      </c>
      <c r="F147" s="1">
        <v>0</v>
      </c>
      <c r="G147" s="1">
        <v>-0.6</v>
      </c>
      <c r="H147" s="1">
        <v>0</v>
      </c>
      <c r="I147" s="1">
        <v>2</v>
      </c>
      <c r="J147" s="1">
        <v>0</v>
      </c>
      <c r="K147" s="1">
        <v>-79.8</v>
      </c>
      <c r="L147" s="1">
        <v>30.2</v>
      </c>
      <c r="M147" s="1">
        <v>2270.7539999999999</v>
      </c>
      <c r="N147" s="1">
        <v>105.2</v>
      </c>
      <c r="O147" s="1">
        <v>8</v>
      </c>
      <c r="P147" s="1">
        <v>11</v>
      </c>
      <c r="Q147" s="1">
        <v>2.6909000000000001</v>
      </c>
      <c r="R147" s="1">
        <v>70</v>
      </c>
      <c r="S147" s="1">
        <v>117</v>
      </c>
      <c r="T147" s="1">
        <v>149</v>
      </c>
      <c r="U147" s="1">
        <v>1643.153</v>
      </c>
      <c r="V147" s="1">
        <v>403.11700000000002</v>
      </c>
      <c r="W147" s="1">
        <v>752.85199999999998</v>
      </c>
      <c r="X147" s="1">
        <v>132.18100000000001</v>
      </c>
      <c r="Y147" s="1">
        <v>4.9400000000000004</v>
      </c>
      <c r="Z147" s="1">
        <v>8.0150000000000006</v>
      </c>
      <c r="AA147" s="1">
        <v>21.7</v>
      </c>
      <c r="AB147" s="1">
        <v>290.5</v>
      </c>
      <c r="AC147" s="1">
        <v>13899</v>
      </c>
      <c r="AD147" s="1">
        <v>4291</v>
      </c>
      <c r="AE147" s="1">
        <v>268</v>
      </c>
      <c r="AF147" s="1">
        <v>21</v>
      </c>
      <c r="AG147" s="1">
        <v>21</v>
      </c>
      <c r="AH147" s="1">
        <v>26</v>
      </c>
      <c r="AI147" s="1">
        <v>59.7</v>
      </c>
      <c r="AJ147" s="1">
        <v>14.3</v>
      </c>
      <c r="AK147" s="1">
        <v>90.1</v>
      </c>
      <c r="AL147" s="1">
        <v>31.9</v>
      </c>
      <c r="AM147" s="1">
        <v>8</v>
      </c>
      <c r="AN147" s="1">
        <v>0</v>
      </c>
      <c r="AO147" s="1">
        <v>0</v>
      </c>
      <c r="AP147" s="1" t="s">
        <v>270</v>
      </c>
      <c r="AQ147" s="1" t="s">
        <v>267</v>
      </c>
      <c r="AR147" s="1" t="s">
        <v>268</v>
      </c>
    </row>
    <row r="148" spans="1:44" x14ac:dyDescent="0.2">
      <c r="A148" s="1" t="s">
        <v>26</v>
      </c>
      <c r="B148" s="1" t="s">
        <v>269</v>
      </c>
      <c r="C148" s="1">
        <v>-37.6</v>
      </c>
      <c r="D148" s="1">
        <v>474485.7</v>
      </c>
      <c r="E148" s="1">
        <v>5969293.2000000002</v>
      </c>
      <c r="F148" s="1">
        <v>0</v>
      </c>
      <c r="G148" s="1">
        <v>-0.8</v>
      </c>
      <c r="H148" s="1">
        <v>0</v>
      </c>
      <c r="I148" s="1">
        <v>2</v>
      </c>
      <c r="J148" s="1">
        <v>0</v>
      </c>
      <c r="K148" s="1">
        <v>-67.7</v>
      </c>
      <c r="L148" s="1">
        <v>30.1</v>
      </c>
      <c r="M148" s="1">
        <v>1754.0920000000001</v>
      </c>
      <c r="N148" s="1">
        <v>93.1</v>
      </c>
      <c r="O148" s="1">
        <v>8</v>
      </c>
      <c r="P148" s="1">
        <v>10</v>
      </c>
      <c r="Q148" s="1">
        <v>2.93</v>
      </c>
      <c r="R148" s="1">
        <v>68</v>
      </c>
      <c r="S148" s="1">
        <v>110</v>
      </c>
      <c r="T148" s="1">
        <v>147</v>
      </c>
      <c r="U148" s="1">
        <v>1419.8620000000001</v>
      </c>
      <c r="V148" s="1">
        <v>483.68</v>
      </c>
      <c r="W148" s="1">
        <v>752.85199999999998</v>
      </c>
      <c r="X148" s="1">
        <v>132.18100000000001</v>
      </c>
      <c r="Y148" s="1">
        <v>4.9400000000000004</v>
      </c>
      <c r="Z148" s="1">
        <v>8.0150000000000006</v>
      </c>
      <c r="AA148" s="1">
        <v>21.7</v>
      </c>
      <c r="AB148" s="1">
        <v>290.5</v>
      </c>
      <c r="AC148" s="1">
        <v>12777</v>
      </c>
      <c r="AD148" s="1">
        <v>3347</v>
      </c>
      <c r="AE148" s="1">
        <v>268</v>
      </c>
      <c r="AF148" s="1">
        <v>21</v>
      </c>
      <c r="AG148" s="1">
        <v>21</v>
      </c>
      <c r="AH148" s="1">
        <v>31.2</v>
      </c>
      <c r="AI148" s="1">
        <v>56.6</v>
      </c>
      <c r="AJ148" s="1">
        <v>12.2</v>
      </c>
      <c r="AK148" s="1">
        <v>84.2</v>
      </c>
      <c r="AL148" s="1">
        <v>31.9</v>
      </c>
      <c r="AM148" s="1">
        <v>8</v>
      </c>
      <c r="AN148" s="1">
        <v>0</v>
      </c>
      <c r="AO148" s="1">
        <v>0</v>
      </c>
      <c r="AP148" s="1" t="s">
        <v>266</v>
      </c>
      <c r="AQ148" s="1" t="s">
        <v>267</v>
      </c>
      <c r="AR148" s="1" t="s">
        <v>268</v>
      </c>
    </row>
    <row r="149" spans="1:44" x14ac:dyDescent="0.2">
      <c r="A149" s="1" t="s">
        <v>158</v>
      </c>
      <c r="B149" s="1" t="s">
        <v>272</v>
      </c>
      <c r="C149" s="1">
        <v>-27.7</v>
      </c>
      <c r="D149" s="1">
        <v>475028.2</v>
      </c>
      <c r="E149" s="1">
        <v>5971616</v>
      </c>
      <c r="F149" s="1">
        <v>0</v>
      </c>
      <c r="G149" s="1">
        <v>-0.6</v>
      </c>
      <c r="H149" s="1">
        <v>0</v>
      </c>
      <c r="I149" s="1">
        <v>2</v>
      </c>
      <c r="J149" s="1">
        <v>0</v>
      </c>
      <c r="K149" s="1">
        <v>-58</v>
      </c>
      <c r="L149" s="1">
        <v>30.3</v>
      </c>
      <c r="M149" s="1">
        <v>1425.029</v>
      </c>
      <c r="N149" s="1">
        <v>83.4</v>
      </c>
      <c r="O149" s="1">
        <v>8</v>
      </c>
      <c r="P149" s="1">
        <v>10</v>
      </c>
      <c r="Q149" s="1">
        <v>2.97</v>
      </c>
      <c r="R149" s="1">
        <v>64</v>
      </c>
      <c r="S149" s="1">
        <v>110</v>
      </c>
      <c r="T149" s="1">
        <v>147</v>
      </c>
      <c r="U149" s="1">
        <v>1233.7909999999999</v>
      </c>
      <c r="V149" s="1">
        <v>456.00799999999998</v>
      </c>
      <c r="W149" s="1">
        <v>752.85199999999998</v>
      </c>
      <c r="X149" s="1">
        <v>132.18100000000001</v>
      </c>
      <c r="Y149" s="1">
        <v>4.9400000000000004</v>
      </c>
      <c r="Z149" s="1">
        <v>8.0150000000000006</v>
      </c>
      <c r="AA149" s="1">
        <v>21.7</v>
      </c>
      <c r="AB149" s="1">
        <v>290.5</v>
      </c>
      <c r="AC149" s="1">
        <v>12176</v>
      </c>
      <c r="AD149" s="1">
        <v>2733</v>
      </c>
      <c r="AE149" s="1">
        <v>268</v>
      </c>
      <c r="AF149" s="1">
        <v>21</v>
      </c>
      <c r="AG149" s="1">
        <v>21</v>
      </c>
      <c r="AH149" s="1">
        <v>37.4</v>
      </c>
      <c r="AI149" s="1">
        <v>49.9</v>
      </c>
      <c r="AJ149" s="1">
        <v>12.6</v>
      </c>
      <c r="AK149" s="1">
        <v>77.5</v>
      </c>
      <c r="AL149" s="1">
        <v>31.9</v>
      </c>
      <c r="AM149" s="1">
        <v>8</v>
      </c>
      <c r="AN149" s="1">
        <v>0</v>
      </c>
      <c r="AO149" s="1">
        <v>0</v>
      </c>
      <c r="AP149" s="1" t="s">
        <v>266</v>
      </c>
      <c r="AQ149" s="1" t="s">
        <v>267</v>
      </c>
      <c r="AR149" s="1" t="s">
        <v>268</v>
      </c>
    </row>
    <row r="150" spans="1:44" x14ac:dyDescent="0.2">
      <c r="A150" s="1" t="s">
        <v>37</v>
      </c>
      <c r="B150" s="1" t="s">
        <v>265</v>
      </c>
      <c r="C150" s="1">
        <v>-38.700000000000003</v>
      </c>
      <c r="D150" s="1">
        <v>452477.5</v>
      </c>
      <c r="E150" s="1">
        <v>5974927</v>
      </c>
      <c r="F150" s="1">
        <v>0</v>
      </c>
      <c r="G150" s="1">
        <v>-0.6</v>
      </c>
      <c r="H150" s="1">
        <v>0</v>
      </c>
      <c r="I150" s="1">
        <v>2</v>
      </c>
      <c r="J150" s="1">
        <v>0</v>
      </c>
      <c r="K150" s="1">
        <v>-65</v>
      </c>
      <c r="L150" s="1">
        <v>26.3</v>
      </c>
      <c r="M150" s="1">
        <v>1715.348</v>
      </c>
      <c r="N150" s="1">
        <v>90.4</v>
      </c>
      <c r="O150" s="1">
        <v>8</v>
      </c>
      <c r="P150" s="1">
        <v>10</v>
      </c>
      <c r="Q150" s="1">
        <v>2.57</v>
      </c>
      <c r="R150" s="1">
        <v>68</v>
      </c>
      <c r="S150" s="1">
        <v>110</v>
      </c>
      <c r="T150" s="1">
        <v>147</v>
      </c>
      <c r="U150" s="1">
        <v>1419.7860000000001</v>
      </c>
      <c r="V150" s="1">
        <v>458.55900000000003</v>
      </c>
      <c r="W150" s="1">
        <v>752.85199999999998</v>
      </c>
      <c r="X150" s="1">
        <v>132.18100000000001</v>
      </c>
      <c r="Y150" s="1">
        <v>4.9400000000000004</v>
      </c>
      <c r="Z150" s="1">
        <v>8.0150000000000006</v>
      </c>
      <c r="AA150" s="1">
        <v>21.7</v>
      </c>
      <c r="AB150" s="1">
        <v>290.5</v>
      </c>
      <c r="AC150" s="1">
        <v>12608</v>
      </c>
      <c r="AD150" s="1">
        <v>3416</v>
      </c>
      <c r="AE150" s="1">
        <v>268</v>
      </c>
      <c r="AF150" s="1">
        <v>17</v>
      </c>
      <c r="AG150" s="1">
        <v>17</v>
      </c>
      <c r="AH150" s="1">
        <v>31.7</v>
      </c>
      <c r="AI150" s="1">
        <v>56.1</v>
      </c>
      <c r="AJ150" s="1">
        <v>12.2</v>
      </c>
      <c r="AK150" s="1">
        <v>84.9</v>
      </c>
      <c r="AL150" s="1">
        <v>31.9</v>
      </c>
      <c r="AM150" s="1">
        <v>8</v>
      </c>
      <c r="AN150" s="1">
        <v>0</v>
      </c>
      <c r="AO150" s="1">
        <v>0</v>
      </c>
      <c r="AP150" s="1" t="s">
        <v>266</v>
      </c>
      <c r="AQ150" s="1" t="s">
        <v>267</v>
      </c>
      <c r="AR150" s="1" t="s">
        <v>268</v>
      </c>
    </row>
    <row r="151" spans="1:44" x14ac:dyDescent="0.2">
      <c r="A151" s="1" t="s">
        <v>81</v>
      </c>
      <c r="B151" s="1" t="s">
        <v>269</v>
      </c>
      <c r="C151" s="1">
        <v>-37.299999999999997</v>
      </c>
      <c r="D151" s="1">
        <v>453759.5</v>
      </c>
      <c r="E151" s="1">
        <v>5976097.0999999996</v>
      </c>
      <c r="F151" s="1">
        <v>0</v>
      </c>
      <c r="G151" s="1">
        <v>-0.7</v>
      </c>
      <c r="H151" s="1">
        <v>0</v>
      </c>
      <c r="I151" s="1">
        <v>2</v>
      </c>
      <c r="J151" s="1">
        <v>0</v>
      </c>
      <c r="K151" s="1">
        <v>-63.2</v>
      </c>
      <c r="L151" s="1">
        <v>25.9</v>
      </c>
      <c r="M151" s="1">
        <v>1670.76</v>
      </c>
      <c r="N151" s="1">
        <v>88.6</v>
      </c>
      <c r="O151" s="1">
        <v>8</v>
      </c>
      <c r="P151" s="1">
        <v>10</v>
      </c>
      <c r="Q151" s="1">
        <v>2.52</v>
      </c>
      <c r="R151" s="1">
        <v>68</v>
      </c>
      <c r="S151" s="1">
        <v>110</v>
      </c>
      <c r="T151" s="1">
        <v>147</v>
      </c>
      <c r="U151" s="1">
        <v>1295.1780000000001</v>
      </c>
      <c r="V151" s="1">
        <v>514.59299999999996</v>
      </c>
      <c r="W151" s="1">
        <v>752.85199999999998</v>
      </c>
      <c r="X151" s="1">
        <v>132.18100000000001</v>
      </c>
      <c r="Y151" s="1">
        <v>4.9400000000000004</v>
      </c>
      <c r="Z151" s="1">
        <v>8.0150000000000006</v>
      </c>
      <c r="AA151" s="1">
        <v>21.7</v>
      </c>
      <c r="AB151" s="1">
        <v>290.5</v>
      </c>
      <c r="AC151" s="1">
        <v>12496</v>
      </c>
      <c r="AD151" s="1">
        <v>3329</v>
      </c>
      <c r="AE151" s="1">
        <v>268</v>
      </c>
      <c r="AF151" s="1">
        <v>17</v>
      </c>
      <c r="AG151" s="1">
        <v>17</v>
      </c>
      <c r="AH151" s="1">
        <v>32.799999999999997</v>
      </c>
      <c r="AI151" s="1">
        <v>54.4</v>
      </c>
      <c r="AJ151" s="1">
        <v>12.8</v>
      </c>
      <c r="AK151" s="1">
        <v>84.7</v>
      </c>
      <c r="AL151" s="1">
        <v>31.9</v>
      </c>
      <c r="AM151" s="1">
        <v>8</v>
      </c>
      <c r="AN151" s="1">
        <v>0</v>
      </c>
      <c r="AO151" s="1">
        <v>0</v>
      </c>
      <c r="AP151" s="1" t="s">
        <v>266</v>
      </c>
      <c r="AQ151" s="1" t="s">
        <v>267</v>
      </c>
      <c r="AR151" s="1" t="s">
        <v>268</v>
      </c>
    </row>
    <row r="152" spans="1:44" x14ac:dyDescent="0.2">
      <c r="A152" s="1" t="s">
        <v>103</v>
      </c>
      <c r="B152" s="1" t="s">
        <v>265</v>
      </c>
      <c r="C152" s="1">
        <v>-36.6</v>
      </c>
      <c r="D152" s="1">
        <v>456981.4</v>
      </c>
      <c r="E152" s="1">
        <v>5974090</v>
      </c>
      <c r="F152" s="1">
        <v>0</v>
      </c>
      <c r="G152" s="1">
        <v>-0.6</v>
      </c>
      <c r="H152" s="1">
        <v>0</v>
      </c>
      <c r="I152" s="1">
        <v>2</v>
      </c>
      <c r="J152" s="1">
        <v>0</v>
      </c>
      <c r="K152" s="1">
        <v>-61.7</v>
      </c>
      <c r="L152" s="1">
        <v>25.1</v>
      </c>
      <c r="M152" s="1">
        <v>1578.502</v>
      </c>
      <c r="N152" s="1">
        <v>87.1</v>
      </c>
      <c r="O152" s="1">
        <v>8</v>
      </c>
      <c r="P152" s="1">
        <v>10</v>
      </c>
      <c r="Q152" s="1">
        <v>2.4500000000000002</v>
      </c>
      <c r="R152" s="1">
        <v>68</v>
      </c>
      <c r="S152" s="1">
        <v>110</v>
      </c>
      <c r="T152" s="1">
        <v>147</v>
      </c>
      <c r="U152" s="1">
        <v>1295.53</v>
      </c>
      <c r="V152" s="1">
        <v>521.02700000000004</v>
      </c>
      <c r="W152" s="1">
        <v>752.85199999999998</v>
      </c>
      <c r="X152" s="1">
        <v>132.18100000000001</v>
      </c>
      <c r="Y152" s="1">
        <v>4.9400000000000004</v>
      </c>
      <c r="Z152" s="1">
        <v>8.0150000000000006</v>
      </c>
      <c r="AA152" s="1">
        <v>21.7</v>
      </c>
      <c r="AB152" s="1">
        <v>290.5</v>
      </c>
      <c r="AC152" s="1">
        <v>12404</v>
      </c>
      <c r="AD152" s="1">
        <v>3286</v>
      </c>
      <c r="AE152" s="1">
        <v>268</v>
      </c>
      <c r="AF152" s="1">
        <v>15</v>
      </c>
      <c r="AG152" s="1">
        <v>15</v>
      </c>
      <c r="AH152" s="1">
        <v>34.700000000000003</v>
      </c>
      <c r="AI152" s="1">
        <v>51.8</v>
      </c>
      <c r="AJ152" s="1">
        <v>13.5</v>
      </c>
      <c r="AK152" s="1">
        <v>81.8</v>
      </c>
      <c r="AL152" s="1">
        <v>31.9</v>
      </c>
      <c r="AM152" s="1">
        <v>8</v>
      </c>
      <c r="AN152" s="1">
        <v>0</v>
      </c>
      <c r="AO152" s="1">
        <v>0</v>
      </c>
      <c r="AP152" s="1" t="s">
        <v>266</v>
      </c>
      <c r="AQ152" s="1" t="s">
        <v>267</v>
      </c>
      <c r="AR152" s="1" t="s">
        <v>268</v>
      </c>
    </row>
    <row r="153" spans="1:44" x14ac:dyDescent="0.2">
      <c r="A153" s="1" t="s">
        <v>72</v>
      </c>
      <c r="B153" s="1" t="s">
        <v>265</v>
      </c>
      <c r="C153" s="1">
        <v>-36.6</v>
      </c>
      <c r="D153" s="1">
        <v>459452</v>
      </c>
      <c r="E153" s="1">
        <v>5973390</v>
      </c>
      <c r="F153" s="1">
        <v>0</v>
      </c>
      <c r="G153" s="1">
        <v>-0.8</v>
      </c>
      <c r="H153" s="1">
        <v>0</v>
      </c>
      <c r="I153" s="1">
        <v>2</v>
      </c>
      <c r="J153" s="1">
        <v>0</v>
      </c>
      <c r="K153" s="1">
        <v>-63.9</v>
      </c>
      <c r="L153" s="1">
        <v>27.3</v>
      </c>
      <c r="M153" s="1">
        <v>1632.479</v>
      </c>
      <c r="N153" s="1">
        <v>89.3</v>
      </c>
      <c r="O153" s="1">
        <v>8</v>
      </c>
      <c r="P153" s="1">
        <v>10</v>
      </c>
      <c r="Q153" s="1">
        <v>2.65</v>
      </c>
      <c r="R153" s="1">
        <v>68</v>
      </c>
      <c r="S153" s="1">
        <v>110</v>
      </c>
      <c r="T153" s="1">
        <v>147</v>
      </c>
      <c r="U153" s="1">
        <v>1295.5170000000001</v>
      </c>
      <c r="V153" s="1">
        <v>577.14800000000002</v>
      </c>
      <c r="W153" s="1">
        <v>752.85199999999998</v>
      </c>
      <c r="X153" s="1">
        <v>132.18100000000001</v>
      </c>
      <c r="Y153" s="1">
        <v>4.9400000000000004</v>
      </c>
      <c r="Z153" s="1">
        <v>8.0150000000000006</v>
      </c>
      <c r="AA153" s="1">
        <v>21.7</v>
      </c>
      <c r="AB153" s="1">
        <v>290.5</v>
      </c>
      <c r="AC153" s="1">
        <v>12541</v>
      </c>
      <c r="AD153" s="1">
        <v>3286</v>
      </c>
      <c r="AE153" s="1">
        <v>268</v>
      </c>
      <c r="AF153" s="1">
        <v>17</v>
      </c>
      <c r="AG153" s="1">
        <v>17</v>
      </c>
      <c r="AH153" s="1">
        <v>33.6</v>
      </c>
      <c r="AI153" s="1">
        <v>53.4</v>
      </c>
      <c r="AJ153" s="1">
        <v>13.1</v>
      </c>
      <c r="AK153" s="1">
        <v>82.2</v>
      </c>
      <c r="AL153" s="1">
        <v>31.9</v>
      </c>
      <c r="AM153" s="1">
        <v>8</v>
      </c>
      <c r="AN153" s="1">
        <v>0</v>
      </c>
      <c r="AO153" s="1">
        <v>0</v>
      </c>
      <c r="AP153" s="1" t="s">
        <v>266</v>
      </c>
      <c r="AQ153" s="1" t="s">
        <v>267</v>
      </c>
      <c r="AR153" s="1" t="s">
        <v>268</v>
      </c>
    </row>
    <row r="154" spans="1:44" x14ac:dyDescent="0.2">
      <c r="A154" s="1" t="s">
        <v>66</v>
      </c>
      <c r="B154" s="1" t="s">
        <v>265</v>
      </c>
      <c r="C154" s="1">
        <v>-37.9</v>
      </c>
      <c r="D154" s="1">
        <v>463237.4</v>
      </c>
      <c r="E154" s="1">
        <v>5970640</v>
      </c>
      <c r="F154" s="1">
        <v>0</v>
      </c>
      <c r="G154" s="1">
        <v>-0.6</v>
      </c>
      <c r="H154" s="1">
        <v>0</v>
      </c>
      <c r="I154" s="1">
        <v>2</v>
      </c>
      <c r="J154" s="1">
        <v>0</v>
      </c>
      <c r="K154" s="1">
        <v>-63.8</v>
      </c>
      <c r="L154" s="1">
        <v>25.9</v>
      </c>
      <c r="M154" s="1">
        <v>1641.8910000000001</v>
      </c>
      <c r="N154" s="1">
        <v>89.2</v>
      </c>
      <c r="O154" s="1">
        <v>8</v>
      </c>
      <c r="P154" s="1">
        <v>10</v>
      </c>
      <c r="Q154" s="1">
        <v>2.5299999999999998</v>
      </c>
      <c r="R154" s="1">
        <v>68</v>
      </c>
      <c r="S154" s="1">
        <v>110</v>
      </c>
      <c r="T154" s="1">
        <v>147</v>
      </c>
      <c r="U154" s="1">
        <v>1357.7460000000001</v>
      </c>
      <c r="V154" s="1">
        <v>452.86700000000002</v>
      </c>
      <c r="W154" s="1">
        <v>752.85199999999998</v>
      </c>
      <c r="X154" s="1">
        <v>132.18100000000001</v>
      </c>
      <c r="Y154" s="1">
        <v>4.9400000000000004</v>
      </c>
      <c r="Z154" s="1">
        <v>8.0150000000000006</v>
      </c>
      <c r="AA154" s="1">
        <v>21.7</v>
      </c>
      <c r="AB154" s="1">
        <v>290.5</v>
      </c>
      <c r="AC154" s="1">
        <v>12535</v>
      </c>
      <c r="AD154" s="1">
        <v>3366</v>
      </c>
      <c r="AE154" s="1">
        <v>268</v>
      </c>
      <c r="AF154" s="1">
        <v>17</v>
      </c>
      <c r="AG154" s="1">
        <v>17</v>
      </c>
      <c r="AH154" s="1">
        <v>33.4</v>
      </c>
      <c r="AI154" s="1">
        <v>53.5</v>
      </c>
      <c r="AJ154" s="1">
        <v>13.1</v>
      </c>
      <c r="AK154" s="1">
        <v>82.8</v>
      </c>
      <c r="AL154" s="1">
        <v>31.9</v>
      </c>
      <c r="AM154" s="1">
        <v>8</v>
      </c>
      <c r="AN154" s="1">
        <v>0</v>
      </c>
      <c r="AO154" s="1">
        <v>0</v>
      </c>
      <c r="AP154" s="1" t="s">
        <v>266</v>
      </c>
      <c r="AQ154" s="1" t="s">
        <v>267</v>
      </c>
      <c r="AR154" s="1" t="s">
        <v>268</v>
      </c>
    </row>
    <row r="155" spans="1:44" x14ac:dyDescent="0.2">
      <c r="A155" s="1" t="s">
        <v>172</v>
      </c>
      <c r="B155" s="1" t="s">
        <v>265</v>
      </c>
      <c r="C155" s="1">
        <v>-39.9</v>
      </c>
      <c r="D155" s="1">
        <v>466616</v>
      </c>
      <c r="E155" s="1">
        <v>5968560</v>
      </c>
      <c r="F155" s="1">
        <v>0</v>
      </c>
      <c r="G155" s="1">
        <v>-0.7</v>
      </c>
      <c r="H155" s="1">
        <v>0</v>
      </c>
      <c r="I155" s="1">
        <v>2</v>
      </c>
      <c r="J155" s="1">
        <v>0</v>
      </c>
      <c r="K155" s="1">
        <v>-68</v>
      </c>
      <c r="L155" s="1">
        <v>28.1</v>
      </c>
      <c r="M155" s="1">
        <v>1771.9159999999999</v>
      </c>
      <c r="N155" s="1">
        <v>93.4</v>
      </c>
      <c r="O155" s="1">
        <v>8</v>
      </c>
      <c r="P155" s="1">
        <v>10.5</v>
      </c>
      <c r="Q155" s="1">
        <v>2.6095000000000002</v>
      </c>
      <c r="R155" s="1">
        <v>72</v>
      </c>
      <c r="S155" s="1">
        <v>112</v>
      </c>
      <c r="T155" s="1">
        <v>146</v>
      </c>
      <c r="U155" s="1">
        <v>1405.9949999999999</v>
      </c>
      <c r="V155" s="1">
        <v>329.00599999999997</v>
      </c>
      <c r="W155" s="1">
        <v>752.85199999999998</v>
      </c>
      <c r="X155" s="1">
        <v>132.18100000000001</v>
      </c>
      <c r="Y155" s="1">
        <v>4.9400000000000004</v>
      </c>
      <c r="Z155" s="1">
        <v>8.0150000000000006</v>
      </c>
      <c r="AA155" s="1">
        <v>21.7</v>
      </c>
      <c r="AB155" s="1">
        <v>290.5</v>
      </c>
      <c r="AC155" s="1">
        <v>12950</v>
      </c>
      <c r="AD155" s="1">
        <v>3564</v>
      </c>
      <c r="AE155" s="1">
        <v>268</v>
      </c>
      <c r="AF155" s="1">
        <v>19</v>
      </c>
      <c r="AG155" s="1">
        <v>19</v>
      </c>
      <c r="AH155" s="1">
        <v>33.200000000000003</v>
      </c>
      <c r="AI155" s="1">
        <v>51.7</v>
      </c>
      <c r="AJ155" s="1">
        <v>15.1</v>
      </c>
      <c r="AK155" s="1">
        <v>83.2</v>
      </c>
      <c r="AL155" s="1">
        <v>31.9</v>
      </c>
      <c r="AM155" s="1">
        <v>8</v>
      </c>
      <c r="AN155" s="1">
        <v>0</v>
      </c>
      <c r="AO155" s="1">
        <v>0</v>
      </c>
      <c r="AP155" s="1" t="s">
        <v>270</v>
      </c>
      <c r="AQ155" s="1" t="s">
        <v>267</v>
      </c>
      <c r="AR155" s="1" t="s">
        <v>268</v>
      </c>
    </row>
    <row r="156" spans="1:44" x14ac:dyDescent="0.2">
      <c r="A156" s="1" t="s">
        <v>199</v>
      </c>
      <c r="B156" s="1" t="s">
        <v>265</v>
      </c>
      <c r="C156" s="1">
        <v>-45.1</v>
      </c>
      <c r="D156" s="1">
        <v>469237</v>
      </c>
      <c r="E156" s="1">
        <v>5967750</v>
      </c>
      <c r="F156" s="1">
        <v>0</v>
      </c>
      <c r="G156" s="1">
        <v>-0.7</v>
      </c>
      <c r="H156" s="1">
        <v>0</v>
      </c>
      <c r="I156" s="1">
        <v>2</v>
      </c>
      <c r="J156" s="1">
        <v>0</v>
      </c>
      <c r="K156" s="1">
        <v>-78.7</v>
      </c>
      <c r="L156" s="1">
        <v>33.6</v>
      </c>
      <c r="M156" s="1">
        <v>2094.7669999999998</v>
      </c>
      <c r="N156" s="1">
        <v>104.1</v>
      </c>
      <c r="O156" s="1">
        <v>8</v>
      </c>
      <c r="P156" s="1">
        <v>11</v>
      </c>
      <c r="Q156" s="1">
        <v>2.9908999999999999</v>
      </c>
      <c r="R156" s="1">
        <v>70</v>
      </c>
      <c r="S156" s="1">
        <v>117</v>
      </c>
      <c r="T156" s="1">
        <v>149</v>
      </c>
      <c r="U156" s="1">
        <v>1643.9580000000001</v>
      </c>
      <c r="V156" s="1">
        <v>472.935</v>
      </c>
      <c r="W156" s="1">
        <v>752.85199999999998</v>
      </c>
      <c r="X156" s="1">
        <v>132.18100000000001</v>
      </c>
      <c r="Y156" s="1">
        <v>4.9400000000000004</v>
      </c>
      <c r="Z156" s="1">
        <v>8.0150000000000006</v>
      </c>
      <c r="AA156" s="1">
        <v>21.7</v>
      </c>
      <c r="AB156" s="1">
        <v>290.5</v>
      </c>
      <c r="AC156" s="1">
        <v>13827</v>
      </c>
      <c r="AD156" s="1">
        <v>3984</v>
      </c>
      <c r="AE156" s="1">
        <v>268</v>
      </c>
      <c r="AF156" s="1">
        <v>24.6</v>
      </c>
      <c r="AG156" s="1">
        <v>24.6</v>
      </c>
      <c r="AH156" s="1">
        <v>29.1</v>
      </c>
      <c r="AI156" s="1">
        <v>55.3</v>
      </c>
      <c r="AJ156" s="1">
        <v>15.7</v>
      </c>
      <c r="AK156" s="1">
        <v>85</v>
      </c>
      <c r="AL156" s="1">
        <v>31.9</v>
      </c>
      <c r="AM156" s="1">
        <v>8</v>
      </c>
      <c r="AN156" s="1">
        <v>0</v>
      </c>
      <c r="AO156" s="1">
        <v>0</v>
      </c>
      <c r="AP156" s="1" t="s">
        <v>270</v>
      </c>
      <c r="AQ156" s="1" t="s">
        <v>267</v>
      </c>
      <c r="AR156" s="1" t="s">
        <v>268</v>
      </c>
    </row>
    <row r="157" spans="1:44" x14ac:dyDescent="0.2">
      <c r="A157" s="1" t="s">
        <v>31</v>
      </c>
      <c r="B157" s="1" t="s">
        <v>269</v>
      </c>
      <c r="C157" s="1">
        <v>-36.799999999999997</v>
      </c>
      <c r="D157" s="1">
        <v>473128.1</v>
      </c>
      <c r="E157" s="1">
        <v>5964859.7999999998</v>
      </c>
      <c r="F157" s="1">
        <v>0</v>
      </c>
      <c r="G157" s="1">
        <v>-0.7</v>
      </c>
      <c r="H157" s="1">
        <v>0</v>
      </c>
      <c r="I157" s="1">
        <v>2</v>
      </c>
      <c r="J157" s="1">
        <v>0</v>
      </c>
      <c r="K157" s="1">
        <v>-66.8</v>
      </c>
      <c r="L157" s="1">
        <v>30</v>
      </c>
      <c r="M157" s="1">
        <v>1715.9159999999999</v>
      </c>
      <c r="N157" s="1">
        <v>92.2</v>
      </c>
      <c r="O157" s="1">
        <v>8</v>
      </c>
      <c r="P157" s="1">
        <v>10</v>
      </c>
      <c r="Q157" s="1">
        <v>2.93</v>
      </c>
      <c r="R157" s="1">
        <v>68</v>
      </c>
      <c r="S157" s="1">
        <v>110</v>
      </c>
      <c r="T157" s="1">
        <v>147</v>
      </c>
      <c r="U157" s="1">
        <v>1357.646</v>
      </c>
      <c r="V157" s="1">
        <v>452.86700000000002</v>
      </c>
      <c r="W157" s="1">
        <v>752.85199999999998</v>
      </c>
      <c r="X157" s="1">
        <v>132.18100000000001</v>
      </c>
      <c r="Y157" s="1">
        <v>4.9400000000000004</v>
      </c>
      <c r="Z157" s="1">
        <v>8.0150000000000006</v>
      </c>
      <c r="AA157" s="1">
        <v>21.7</v>
      </c>
      <c r="AB157" s="1">
        <v>290.5</v>
      </c>
      <c r="AC157" s="1">
        <v>12721</v>
      </c>
      <c r="AD157" s="1">
        <v>3298</v>
      </c>
      <c r="AE157" s="1">
        <v>268</v>
      </c>
      <c r="AF157" s="1">
        <v>21</v>
      </c>
      <c r="AG157" s="1">
        <v>21</v>
      </c>
      <c r="AH157" s="1">
        <v>31.9</v>
      </c>
      <c r="AI157" s="1">
        <v>55.5</v>
      </c>
      <c r="AJ157" s="1">
        <v>12.5</v>
      </c>
      <c r="AK157" s="1">
        <v>83.4</v>
      </c>
      <c r="AL157" s="1">
        <v>31.9</v>
      </c>
      <c r="AM157" s="1">
        <v>8</v>
      </c>
      <c r="AN157" s="1">
        <v>0</v>
      </c>
      <c r="AO157" s="1">
        <v>0</v>
      </c>
      <c r="AP157" s="1" t="s">
        <v>266</v>
      </c>
      <c r="AQ157" s="1" t="s">
        <v>267</v>
      </c>
      <c r="AR157" s="1" t="s">
        <v>268</v>
      </c>
    </row>
    <row r="158" spans="1:44" x14ac:dyDescent="0.2">
      <c r="A158" s="1" t="s">
        <v>184</v>
      </c>
      <c r="B158" s="1" t="s">
        <v>265</v>
      </c>
      <c r="C158" s="1">
        <v>-39.9</v>
      </c>
      <c r="D158" s="1">
        <v>471135</v>
      </c>
      <c r="E158" s="1">
        <v>5971400</v>
      </c>
      <c r="F158" s="1">
        <v>0</v>
      </c>
      <c r="G158" s="1">
        <v>-0.6</v>
      </c>
      <c r="H158" s="1">
        <v>0</v>
      </c>
      <c r="I158" s="1">
        <v>2</v>
      </c>
      <c r="J158" s="1">
        <v>0</v>
      </c>
      <c r="K158" s="1">
        <v>-66.8</v>
      </c>
      <c r="L158" s="1">
        <v>26.9</v>
      </c>
      <c r="M158" s="1">
        <v>1722.5239999999999</v>
      </c>
      <c r="N158" s="1">
        <v>92.2</v>
      </c>
      <c r="O158" s="1">
        <v>8</v>
      </c>
      <c r="P158" s="1">
        <v>10.5</v>
      </c>
      <c r="Q158" s="1">
        <v>2.5047999999999999</v>
      </c>
      <c r="R158" s="1">
        <v>70</v>
      </c>
      <c r="S158" s="1">
        <v>112</v>
      </c>
      <c r="T158" s="1">
        <v>146</v>
      </c>
      <c r="U158" s="1">
        <v>1406.2080000000001</v>
      </c>
      <c r="V158" s="1">
        <v>423.21699999999998</v>
      </c>
      <c r="W158" s="1">
        <v>752.85199999999998</v>
      </c>
      <c r="X158" s="1">
        <v>132.18100000000001</v>
      </c>
      <c r="Y158" s="1">
        <v>4.9400000000000004</v>
      </c>
      <c r="Z158" s="1">
        <v>8.0150000000000006</v>
      </c>
      <c r="AA158" s="1">
        <v>21.7</v>
      </c>
      <c r="AB158" s="1">
        <v>290.5</v>
      </c>
      <c r="AC158" s="1">
        <v>12872</v>
      </c>
      <c r="AD158" s="1">
        <v>3565</v>
      </c>
      <c r="AE158" s="1">
        <v>268</v>
      </c>
      <c r="AF158" s="1">
        <v>17</v>
      </c>
      <c r="AG158" s="1">
        <v>17</v>
      </c>
      <c r="AH158" s="1">
        <v>33.299999999999997</v>
      </c>
      <c r="AI158" s="1">
        <v>51.8</v>
      </c>
      <c r="AJ158" s="1">
        <v>14.9</v>
      </c>
      <c r="AK158" s="1">
        <v>81.900000000000006</v>
      </c>
      <c r="AL158" s="1">
        <v>31.9</v>
      </c>
      <c r="AM158" s="1">
        <v>8</v>
      </c>
      <c r="AN158" s="1">
        <v>0</v>
      </c>
      <c r="AO158" s="1">
        <v>0</v>
      </c>
      <c r="AP158" s="1" t="s">
        <v>270</v>
      </c>
      <c r="AQ158" s="1" t="s">
        <v>267</v>
      </c>
      <c r="AR158" s="1" t="s">
        <v>268</v>
      </c>
    </row>
    <row r="159" spans="1:44" x14ac:dyDescent="0.2">
      <c r="A159" s="1" t="s">
        <v>24</v>
      </c>
      <c r="B159" s="1" t="s">
        <v>269</v>
      </c>
      <c r="C159" s="1">
        <v>-35.9</v>
      </c>
      <c r="D159" s="1">
        <v>473540.5</v>
      </c>
      <c r="E159" s="1">
        <v>5970810</v>
      </c>
      <c r="F159" s="1">
        <v>0</v>
      </c>
      <c r="G159" s="1">
        <v>-0.6</v>
      </c>
      <c r="H159" s="1">
        <v>0</v>
      </c>
      <c r="I159" s="1">
        <v>2</v>
      </c>
      <c r="J159" s="1">
        <v>0</v>
      </c>
      <c r="K159" s="1">
        <v>-67.2</v>
      </c>
      <c r="L159" s="1">
        <v>31.3</v>
      </c>
      <c r="M159" s="1">
        <v>1699.1369999999999</v>
      </c>
      <c r="N159" s="1">
        <v>92.6</v>
      </c>
      <c r="O159" s="1">
        <v>8</v>
      </c>
      <c r="P159" s="1">
        <v>10</v>
      </c>
      <c r="Q159" s="1">
        <v>3.07</v>
      </c>
      <c r="R159" s="1">
        <v>68</v>
      </c>
      <c r="S159" s="1">
        <v>110</v>
      </c>
      <c r="T159" s="1">
        <v>147</v>
      </c>
      <c r="U159" s="1">
        <v>1420.1379999999999</v>
      </c>
      <c r="V159" s="1">
        <v>483.86799999999999</v>
      </c>
      <c r="W159" s="1">
        <v>752.85199999999998</v>
      </c>
      <c r="X159" s="1">
        <v>132.18100000000001</v>
      </c>
      <c r="Y159" s="1">
        <v>4.9400000000000004</v>
      </c>
      <c r="Z159" s="1">
        <v>8.0150000000000006</v>
      </c>
      <c r="AA159" s="1">
        <v>21.7</v>
      </c>
      <c r="AB159" s="1">
        <v>290.5</v>
      </c>
      <c r="AC159" s="1">
        <v>12747</v>
      </c>
      <c r="AD159" s="1">
        <v>3242</v>
      </c>
      <c r="AE159" s="1">
        <v>268</v>
      </c>
      <c r="AF159" s="1">
        <v>21</v>
      </c>
      <c r="AG159" s="1">
        <v>21</v>
      </c>
      <c r="AH159" s="1">
        <v>32.200000000000003</v>
      </c>
      <c r="AI159" s="1">
        <v>55.2</v>
      </c>
      <c r="AJ159" s="1">
        <v>12.6</v>
      </c>
      <c r="AK159" s="1">
        <v>82.3</v>
      </c>
      <c r="AL159" s="1">
        <v>31.9</v>
      </c>
      <c r="AM159" s="1">
        <v>8</v>
      </c>
      <c r="AN159" s="1">
        <v>0</v>
      </c>
      <c r="AO159" s="1">
        <v>0</v>
      </c>
      <c r="AP159" s="1" t="s">
        <v>266</v>
      </c>
      <c r="AQ159" s="1" t="s">
        <v>267</v>
      </c>
      <c r="AR159" s="1" t="s">
        <v>268</v>
      </c>
    </row>
    <row r="160" spans="1:44" x14ac:dyDescent="0.2">
      <c r="A160" s="1" t="s">
        <v>129</v>
      </c>
      <c r="B160" s="1" t="s">
        <v>265</v>
      </c>
      <c r="C160" s="1">
        <v>-31.2</v>
      </c>
      <c r="D160" s="1">
        <v>474030</v>
      </c>
      <c r="E160" s="1">
        <v>5973220</v>
      </c>
      <c r="F160" s="1">
        <v>0</v>
      </c>
      <c r="G160" s="1">
        <v>-0.6</v>
      </c>
      <c r="H160" s="1">
        <v>0</v>
      </c>
      <c r="I160" s="1">
        <v>2</v>
      </c>
      <c r="J160" s="1">
        <v>0</v>
      </c>
      <c r="K160" s="1">
        <v>-60.2</v>
      </c>
      <c r="L160" s="1">
        <v>29</v>
      </c>
      <c r="M160" s="1">
        <v>1478.508</v>
      </c>
      <c r="N160" s="1">
        <v>85.6</v>
      </c>
      <c r="O160" s="1">
        <v>8</v>
      </c>
      <c r="P160" s="1">
        <v>10</v>
      </c>
      <c r="Q160" s="1">
        <v>2.84</v>
      </c>
      <c r="R160" s="1">
        <v>68</v>
      </c>
      <c r="S160" s="1">
        <v>110</v>
      </c>
      <c r="T160" s="1">
        <v>147</v>
      </c>
      <c r="U160" s="1">
        <v>1296.0329999999999</v>
      </c>
      <c r="V160" s="1">
        <v>586.55999999999995</v>
      </c>
      <c r="W160" s="1">
        <v>752.85199999999998</v>
      </c>
      <c r="X160" s="1">
        <v>132.18100000000001</v>
      </c>
      <c r="Y160" s="1">
        <v>4.9400000000000004</v>
      </c>
      <c r="Z160" s="1">
        <v>8.0150000000000006</v>
      </c>
      <c r="AA160" s="1">
        <v>21.7</v>
      </c>
      <c r="AB160" s="1">
        <v>290.5</v>
      </c>
      <c r="AC160" s="1">
        <v>12313</v>
      </c>
      <c r="AD160" s="1">
        <v>2950</v>
      </c>
      <c r="AE160" s="1">
        <v>268</v>
      </c>
      <c r="AF160" s="1">
        <v>19</v>
      </c>
      <c r="AG160" s="1">
        <v>19</v>
      </c>
      <c r="AH160" s="1">
        <v>36.5</v>
      </c>
      <c r="AI160" s="1">
        <v>50.3</v>
      </c>
      <c r="AJ160" s="1">
        <v>13.2</v>
      </c>
      <c r="AK160" s="1">
        <v>78.2</v>
      </c>
      <c r="AL160" s="1">
        <v>31.9</v>
      </c>
      <c r="AM160" s="1">
        <v>8</v>
      </c>
      <c r="AN160" s="1">
        <v>0</v>
      </c>
      <c r="AO160" s="1">
        <v>0</v>
      </c>
      <c r="AP160" s="1" t="s">
        <v>266</v>
      </c>
      <c r="AQ160" s="1" t="s">
        <v>267</v>
      </c>
      <c r="AR160" s="1" t="s">
        <v>268</v>
      </c>
    </row>
    <row r="161" spans="1:44" x14ac:dyDescent="0.2">
      <c r="A161" s="1" t="s">
        <v>168</v>
      </c>
      <c r="B161" s="1" t="s">
        <v>265</v>
      </c>
      <c r="C161" s="1">
        <v>-37.4</v>
      </c>
      <c r="D161" s="1">
        <v>451758.6</v>
      </c>
      <c r="E161" s="1">
        <v>5976071.2000000002</v>
      </c>
      <c r="F161" s="1">
        <v>0</v>
      </c>
      <c r="G161" s="1">
        <v>-0.6</v>
      </c>
      <c r="H161" s="1">
        <v>0</v>
      </c>
      <c r="I161" s="1">
        <v>2</v>
      </c>
      <c r="J161" s="1">
        <v>0</v>
      </c>
      <c r="K161" s="1">
        <v>-71.900000000000006</v>
      </c>
      <c r="L161" s="1">
        <v>34.5</v>
      </c>
      <c r="M161" s="1">
        <v>1855.6030000000001</v>
      </c>
      <c r="N161" s="1">
        <v>97.3</v>
      </c>
      <c r="O161" s="1">
        <v>8</v>
      </c>
      <c r="P161" s="1">
        <v>10.5</v>
      </c>
      <c r="Q161" s="1">
        <v>3.2286000000000001</v>
      </c>
      <c r="R161" s="1">
        <v>72</v>
      </c>
      <c r="S161" s="1">
        <v>112</v>
      </c>
      <c r="T161" s="1">
        <v>146</v>
      </c>
      <c r="U161" s="1">
        <v>1471.44</v>
      </c>
      <c r="V161" s="1">
        <v>493.01</v>
      </c>
      <c r="W161" s="1">
        <v>752.85199999999998</v>
      </c>
      <c r="X161" s="1">
        <v>132.18100000000001</v>
      </c>
      <c r="Y161" s="1">
        <v>4.9400000000000004</v>
      </c>
      <c r="Z161" s="1">
        <v>8.0150000000000006</v>
      </c>
      <c r="AA161" s="1">
        <v>21.7</v>
      </c>
      <c r="AB161" s="1">
        <v>290.5</v>
      </c>
      <c r="AC161" s="1">
        <v>13205</v>
      </c>
      <c r="AD161" s="1">
        <v>3400</v>
      </c>
      <c r="AE161" s="1">
        <v>268</v>
      </c>
      <c r="AF161" s="1">
        <v>24.6</v>
      </c>
      <c r="AG161" s="1">
        <v>24.6</v>
      </c>
      <c r="AH161" s="1">
        <v>32.1</v>
      </c>
      <c r="AI161" s="1">
        <v>53.4</v>
      </c>
      <c r="AJ161" s="1">
        <v>14.5</v>
      </c>
      <c r="AK161" s="1">
        <v>83.4</v>
      </c>
      <c r="AL161" s="1">
        <v>31.9</v>
      </c>
      <c r="AM161" s="1">
        <v>8</v>
      </c>
      <c r="AN161" s="1">
        <v>0</v>
      </c>
      <c r="AO161" s="1">
        <v>0</v>
      </c>
      <c r="AP161" s="1" t="s">
        <v>270</v>
      </c>
      <c r="AQ161" s="1" t="s">
        <v>267</v>
      </c>
      <c r="AR161" s="1" t="s">
        <v>268</v>
      </c>
    </row>
    <row r="162" spans="1:44" x14ac:dyDescent="0.2">
      <c r="A162" s="1" t="s">
        <v>189</v>
      </c>
      <c r="B162" s="1" t="s">
        <v>265</v>
      </c>
      <c r="C162" s="1">
        <v>-39.5</v>
      </c>
      <c r="D162" s="1">
        <v>452933</v>
      </c>
      <c r="E162" s="1">
        <v>5977408</v>
      </c>
      <c r="F162" s="1">
        <v>0</v>
      </c>
      <c r="G162" s="1">
        <v>-0.6</v>
      </c>
      <c r="H162" s="1">
        <v>0</v>
      </c>
      <c r="I162" s="1">
        <v>2</v>
      </c>
      <c r="J162" s="1">
        <v>0</v>
      </c>
      <c r="K162" s="1">
        <v>-72.5</v>
      </c>
      <c r="L162" s="1">
        <v>33</v>
      </c>
      <c r="M162" s="1">
        <v>1907.65</v>
      </c>
      <c r="N162" s="1">
        <v>97.9</v>
      </c>
      <c r="O162" s="1">
        <v>8</v>
      </c>
      <c r="P162" s="1">
        <v>11</v>
      </c>
      <c r="Q162" s="1">
        <v>2.9455</v>
      </c>
      <c r="R162" s="1">
        <v>70</v>
      </c>
      <c r="S162" s="1">
        <v>117</v>
      </c>
      <c r="T162" s="1">
        <v>149</v>
      </c>
      <c r="U162" s="1">
        <v>1507.16</v>
      </c>
      <c r="V162" s="1">
        <v>438.47800000000001</v>
      </c>
      <c r="W162" s="1">
        <v>752.85199999999998</v>
      </c>
      <c r="X162" s="1">
        <v>132.18100000000001</v>
      </c>
      <c r="Y162" s="1">
        <v>4.9400000000000004</v>
      </c>
      <c r="Z162" s="1">
        <v>8.0150000000000006</v>
      </c>
      <c r="AA162" s="1">
        <v>21.7</v>
      </c>
      <c r="AB162" s="1">
        <v>290.5</v>
      </c>
      <c r="AC162" s="1">
        <v>13403</v>
      </c>
      <c r="AD162" s="1">
        <v>3601</v>
      </c>
      <c r="AE162" s="1">
        <v>268</v>
      </c>
      <c r="AF162" s="1">
        <v>23</v>
      </c>
      <c r="AG162" s="1">
        <v>23</v>
      </c>
      <c r="AH162" s="1">
        <v>30</v>
      </c>
      <c r="AI162" s="1">
        <v>53.5</v>
      </c>
      <c r="AJ162" s="1">
        <v>16.399999999999999</v>
      </c>
      <c r="AK162" s="1">
        <v>82.6</v>
      </c>
      <c r="AL162" s="1">
        <v>31.9</v>
      </c>
      <c r="AM162" s="1">
        <v>8</v>
      </c>
      <c r="AN162" s="1">
        <v>0</v>
      </c>
      <c r="AO162" s="1">
        <v>0</v>
      </c>
      <c r="AP162" s="1" t="s">
        <v>270</v>
      </c>
      <c r="AQ162" s="1" t="s">
        <v>267</v>
      </c>
      <c r="AR162" s="1" t="s">
        <v>268</v>
      </c>
    </row>
    <row r="163" spans="1:44" x14ac:dyDescent="0.2">
      <c r="A163" s="1" t="s">
        <v>57</v>
      </c>
      <c r="B163" s="1" t="s">
        <v>265</v>
      </c>
      <c r="C163" s="1">
        <v>-36.5</v>
      </c>
      <c r="D163" s="1">
        <v>456083.8</v>
      </c>
      <c r="E163" s="1">
        <v>5975530</v>
      </c>
      <c r="F163" s="1">
        <v>0</v>
      </c>
      <c r="G163" s="1">
        <v>-0.6</v>
      </c>
      <c r="H163" s="1">
        <v>0</v>
      </c>
      <c r="I163" s="1">
        <v>2</v>
      </c>
      <c r="J163" s="1">
        <v>0</v>
      </c>
      <c r="K163" s="1">
        <v>-64.900000000000006</v>
      </c>
      <c r="L163" s="1">
        <v>28.4</v>
      </c>
      <c r="M163" s="1">
        <v>1631.509</v>
      </c>
      <c r="N163" s="1">
        <v>90.3</v>
      </c>
      <c r="O163" s="1">
        <v>8</v>
      </c>
      <c r="P163" s="1">
        <v>10</v>
      </c>
      <c r="Q163" s="1">
        <v>2.78</v>
      </c>
      <c r="R163" s="1">
        <v>68</v>
      </c>
      <c r="S163" s="1">
        <v>110</v>
      </c>
      <c r="T163" s="1">
        <v>147</v>
      </c>
      <c r="U163" s="1">
        <v>1357.922</v>
      </c>
      <c r="V163" s="1">
        <v>552.01599999999996</v>
      </c>
      <c r="W163" s="1">
        <v>752.85199999999998</v>
      </c>
      <c r="X163" s="1">
        <v>132.18100000000001</v>
      </c>
      <c r="Y163" s="1">
        <v>4.9400000000000004</v>
      </c>
      <c r="Z163" s="1">
        <v>8.0150000000000006</v>
      </c>
      <c r="AA163" s="1">
        <v>21.7</v>
      </c>
      <c r="AB163" s="1">
        <v>290.5</v>
      </c>
      <c r="AC163" s="1">
        <v>12604</v>
      </c>
      <c r="AD163" s="1">
        <v>3279</v>
      </c>
      <c r="AE163" s="1">
        <v>268</v>
      </c>
      <c r="AF163" s="1">
        <v>19</v>
      </c>
      <c r="AG163" s="1">
        <v>19</v>
      </c>
      <c r="AH163" s="1">
        <v>33.6</v>
      </c>
      <c r="AI163" s="1">
        <v>53.3</v>
      </c>
      <c r="AJ163" s="1">
        <v>13.1</v>
      </c>
      <c r="AK163" s="1">
        <v>81.3</v>
      </c>
      <c r="AL163" s="1">
        <v>31.9</v>
      </c>
      <c r="AM163" s="1">
        <v>8</v>
      </c>
      <c r="AN163" s="1">
        <v>0</v>
      </c>
      <c r="AO163" s="1">
        <v>0</v>
      </c>
      <c r="AP163" s="1" t="s">
        <v>266</v>
      </c>
      <c r="AQ163" s="1" t="s">
        <v>267</v>
      </c>
      <c r="AR163" s="1" t="s">
        <v>268</v>
      </c>
    </row>
    <row r="164" spans="1:44" x14ac:dyDescent="0.2">
      <c r="A164" s="1" t="s">
        <v>70</v>
      </c>
      <c r="B164" s="1" t="s">
        <v>265</v>
      </c>
      <c r="C164" s="1">
        <v>-37.200000000000003</v>
      </c>
      <c r="D164" s="1">
        <v>458772</v>
      </c>
      <c r="E164" s="1">
        <v>5974480</v>
      </c>
      <c r="F164" s="1">
        <v>0</v>
      </c>
      <c r="G164" s="1">
        <v>-0.7</v>
      </c>
      <c r="H164" s="1">
        <v>0</v>
      </c>
      <c r="I164" s="1">
        <v>2</v>
      </c>
      <c r="J164" s="1">
        <v>0</v>
      </c>
      <c r="K164" s="1">
        <v>-63.6</v>
      </c>
      <c r="L164" s="1">
        <v>26.4</v>
      </c>
      <c r="M164" s="1">
        <v>1642.5650000000001</v>
      </c>
      <c r="N164" s="1">
        <v>89</v>
      </c>
      <c r="O164" s="1">
        <v>8</v>
      </c>
      <c r="P164" s="1">
        <v>10</v>
      </c>
      <c r="Q164" s="1">
        <v>2.57</v>
      </c>
      <c r="R164" s="1">
        <v>68</v>
      </c>
      <c r="S164" s="1">
        <v>110</v>
      </c>
      <c r="T164" s="1">
        <v>147</v>
      </c>
      <c r="U164" s="1">
        <v>1295.404</v>
      </c>
      <c r="V164" s="1">
        <v>396.85899999999998</v>
      </c>
      <c r="W164" s="1">
        <v>752.85199999999998</v>
      </c>
      <c r="X164" s="1">
        <v>132.18100000000001</v>
      </c>
      <c r="Y164" s="1">
        <v>4.9400000000000004</v>
      </c>
      <c r="Z164" s="1">
        <v>8.0150000000000006</v>
      </c>
      <c r="AA164" s="1">
        <v>21.7</v>
      </c>
      <c r="AB164" s="1">
        <v>290.5</v>
      </c>
      <c r="AC164" s="1">
        <v>12522</v>
      </c>
      <c r="AD164" s="1">
        <v>3323</v>
      </c>
      <c r="AE164" s="1">
        <v>268</v>
      </c>
      <c r="AF164" s="1">
        <v>17</v>
      </c>
      <c r="AG164" s="1">
        <v>17</v>
      </c>
      <c r="AH164" s="1">
        <v>33.299999999999997</v>
      </c>
      <c r="AI164" s="1">
        <v>53.6</v>
      </c>
      <c r="AJ164" s="1">
        <v>13.1</v>
      </c>
      <c r="AK164" s="1">
        <v>83</v>
      </c>
      <c r="AL164" s="1">
        <v>31.9</v>
      </c>
      <c r="AM164" s="1">
        <v>8</v>
      </c>
      <c r="AN164" s="1">
        <v>0</v>
      </c>
      <c r="AO164" s="1">
        <v>0</v>
      </c>
      <c r="AP164" s="1" t="s">
        <v>266</v>
      </c>
      <c r="AQ164" s="1" t="s">
        <v>267</v>
      </c>
      <c r="AR164" s="1" t="s">
        <v>268</v>
      </c>
    </row>
    <row r="165" spans="1:44" x14ac:dyDescent="0.2">
      <c r="A165" s="1" t="s">
        <v>165</v>
      </c>
      <c r="B165" s="1" t="s">
        <v>265</v>
      </c>
      <c r="C165" s="1">
        <v>-36.700000000000003</v>
      </c>
      <c r="D165" s="1">
        <v>462334.6</v>
      </c>
      <c r="E165" s="1">
        <v>5972090</v>
      </c>
      <c r="F165" s="1">
        <v>0</v>
      </c>
      <c r="G165" s="1">
        <v>-0.7</v>
      </c>
      <c r="H165" s="1">
        <v>0</v>
      </c>
      <c r="I165" s="1">
        <v>2</v>
      </c>
      <c r="J165" s="1">
        <v>0</v>
      </c>
      <c r="K165" s="1">
        <v>-65</v>
      </c>
      <c r="L165" s="1">
        <v>28.3</v>
      </c>
      <c r="M165" s="1">
        <v>1661.7539999999999</v>
      </c>
      <c r="N165" s="1">
        <v>90.4</v>
      </c>
      <c r="O165" s="1">
        <v>8</v>
      </c>
      <c r="P165" s="1">
        <v>10</v>
      </c>
      <c r="Q165" s="1">
        <v>2.76</v>
      </c>
      <c r="R165" s="1">
        <v>68</v>
      </c>
      <c r="S165" s="1">
        <v>110</v>
      </c>
      <c r="T165" s="1">
        <v>147</v>
      </c>
      <c r="U165" s="1">
        <v>1357.7460000000001</v>
      </c>
      <c r="V165" s="1">
        <v>427.78399999999999</v>
      </c>
      <c r="W165" s="1">
        <v>752.85199999999998</v>
      </c>
      <c r="X165" s="1">
        <v>132.18100000000001</v>
      </c>
      <c r="Y165" s="1">
        <v>4.9400000000000004</v>
      </c>
      <c r="Z165" s="1">
        <v>8.0150000000000006</v>
      </c>
      <c r="AA165" s="1">
        <v>21.7</v>
      </c>
      <c r="AB165" s="1">
        <v>290.5</v>
      </c>
      <c r="AC165" s="1">
        <v>12610</v>
      </c>
      <c r="AD165" s="1">
        <v>3292</v>
      </c>
      <c r="AE165" s="1">
        <v>268</v>
      </c>
      <c r="AF165" s="1">
        <v>19</v>
      </c>
      <c r="AG165" s="1">
        <v>19</v>
      </c>
      <c r="AH165" s="1">
        <v>33</v>
      </c>
      <c r="AI165" s="1">
        <v>54.2</v>
      </c>
      <c r="AJ165" s="1">
        <v>12.8</v>
      </c>
      <c r="AK165" s="1">
        <v>82.6</v>
      </c>
      <c r="AL165" s="1">
        <v>31.9</v>
      </c>
      <c r="AM165" s="1">
        <v>8</v>
      </c>
      <c r="AN165" s="1">
        <v>0</v>
      </c>
      <c r="AO165" s="1">
        <v>0</v>
      </c>
      <c r="AP165" s="1" t="s">
        <v>266</v>
      </c>
      <c r="AQ165" s="1" t="s">
        <v>267</v>
      </c>
      <c r="AR165" s="1" t="s">
        <v>268</v>
      </c>
    </row>
    <row r="166" spans="1:44" x14ac:dyDescent="0.2">
      <c r="A166" s="1" t="s">
        <v>94</v>
      </c>
      <c r="B166" s="1" t="s">
        <v>265</v>
      </c>
      <c r="C166" s="1">
        <v>-36.799999999999997</v>
      </c>
      <c r="D166" s="1">
        <v>465636.1</v>
      </c>
      <c r="E166" s="1">
        <v>5970130</v>
      </c>
      <c r="F166" s="1">
        <v>0</v>
      </c>
      <c r="G166" s="1">
        <v>-0.7</v>
      </c>
      <c r="H166" s="1">
        <v>0</v>
      </c>
      <c r="I166" s="1">
        <v>2</v>
      </c>
      <c r="J166" s="1">
        <v>0</v>
      </c>
      <c r="K166" s="1">
        <v>-62.6</v>
      </c>
      <c r="L166" s="1">
        <v>25.8</v>
      </c>
      <c r="M166" s="1">
        <v>1635.769</v>
      </c>
      <c r="N166" s="1">
        <v>88</v>
      </c>
      <c r="O166" s="1">
        <v>8</v>
      </c>
      <c r="P166" s="1">
        <v>10</v>
      </c>
      <c r="Q166" s="1">
        <v>2.5099999999999998</v>
      </c>
      <c r="R166" s="1">
        <v>68</v>
      </c>
      <c r="S166" s="1">
        <v>110</v>
      </c>
      <c r="T166" s="1">
        <v>147</v>
      </c>
      <c r="U166" s="1">
        <v>1295.3040000000001</v>
      </c>
      <c r="V166" s="1">
        <v>396.88400000000001</v>
      </c>
      <c r="W166" s="1">
        <v>752.85199999999998</v>
      </c>
      <c r="X166" s="1">
        <v>132.18100000000001</v>
      </c>
      <c r="Y166" s="1">
        <v>4.9400000000000004</v>
      </c>
      <c r="Z166" s="1">
        <v>8.0150000000000006</v>
      </c>
      <c r="AA166" s="1">
        <v>21.7</v>
      </c>
      <c r="AB166" s="1">
        <v>290.5</v>
      </c>
      <c r="AC166" s="1">
        <v>12459</v>
      </c>
      <c r="AD166" s="1">
        <v>3298</v>
      </c>
      <c r="AE166" s="1">
        <v>268</v>
      </c>
      <c r="AF166" s="1">
        <v>17</v>
      </c>
      <c r="AG166" s="1">
        <v>17</v>
      </c>
      <c r="AH166" s="1">
        <v>33.5</v>
      </c>
      <c r="AI166" s="1">
        <v>53.4</v>
      </c>
      <c r="AJ166" s="1">
        <v>13.1</v>
      </c>
      <c r="AK166" s="1">
        <v>83.6</v>
      </c>
      <c r="AL166" s="1">
        <v>31.9</v>
      </c>
      <c r="AM166" s="1">
        <v>8</v>
      </c>
      <c r="AN166" s="1">
        <v>0</v>
      </c>
      <c r="AO166" s="1">
        <v>0</v>
      </c>
      <c r="AP166" s="1" t="s">
        <v>266</v>
      </c>
      <c r="AQ166" s="1" t="s">
        <v>267</v>
      </c>
      <c r="AR166" s="1" t="s">
        <v>268</v>
      </c>
    </row>
    <row r="167" spans="1:44" x14ac:dyDescent="0.2">
      <c r="A167" s="1" t="s">
        <v>163</v>
      </c>
      <c r="B167" s="1" t="s">
        <v>265</v>
      </c>
      <c r="C167" s="1">
        <v>-38.200000000000003</v>
      </c>
      <c r="D167" s="1">
        <v>468137</v>
      </c>
      <c r="E167" s="1">
        <v>5969520</v>
      </c>
      <c r="F167" s="1">
        <v>0</v>
      </c>
      <c r="G167" s="1">
        <v>-0.6</v>
      </c>
      <c r="H167" s="1">
        <v>0</v>
      </c>
      <c r="I167" s="1">
        <v>2</v>
      </c>
      <c r="J167" s="1">
        <v>0</v>
      </c>
      <c r="K167" s="1">
        <v>-66.599999999999994</v>
      </c>
      <c r="L167" s="1">
        <v>28.4</v>
      </c>
      <c r="M167" s="1">
        <v>1734.807</v>
      </c>
      <c r="N167" s="1">
        <v>92</v>
      </c>
      <c r="O167" s="1">
        <v>8</v>
      </c>
      <c r="P167" s="1">
        <v>10</v>
      </c>
      <c r="Q167" s="1">
        <v>2.78</v>
      </c>
      <c r="R167" s="1">
        <v>68</v>
      </c>
      <c r="S167" s="1">
        <v>110</v>
      </c>
      <c r="T167" s="1">
        <v>147</v>
      </c>
      <c r="U167" s="1">
        <v>1357.482</v>
      </c>
      <c r="V167" s="1">
        <v>458.54700000000003</v>
      </c>
      <c r="W167" s="1">
        <v>752.85199999999998</v>
      </c>
      <c r="X167" s="1">
        <v>132.18100000000001</v>
      </c>
      <c r="Y167" s="1">
        <v>4.9400000000000004</v>
      </c>
      <c r="Z167" s="1">
        <v>8.0150000000000006</v>
      </c>
      <c r="AA167" s="1">
        <v>21.7</v>
      </c>
      <c r="AB167" s="1">
        <v>290.5</v>
      </c>
      <c r="AC167" s="1">
        <v>12708</v>
      </c>
      <c r="AD167" s="1">
        <v>3384</v>
      </c>
      <c r="AE167" s="1">
        <v>268</v>
      </c>
      <c r="AF167" s="1">
        <v>19</v>
      </c>
      <c r="AG167" s="1">
        <v>19</v>
      </c>
      <c r="AH167" s="1">
        <v>31.6</v>
      </c>
      <c r="AI167" s="1">
        <v>56.2</v>
      </c>
      <c r="AJ167" s="1">
        <v>12.2</v>
      </c>
      <c r="AK167" s="1">
        <v>84.4</v>
      </c>
      <c r="AL167" s="1">
        <v>31.9</v>
      </c>
      <c r="AM167" s="1">
        <v>8</v>
      </c>
      <c r="AN167" s="1">
        <v>0</v>
      </c>
      <c r="AO167" s="1">
        <v>0</v>
      </c>
      <c r="AP167" s="1" t="s">
        <v>266</v>
      </c>
      <c r="AQ167" s="1" t="s">
        <v>267</v>
      </c>
      <c r="AR167" s="1" t="s">
        <v>268</v>
      </c>
    </row>
    <row r="168" spans="1:44" x14ac:dyDescent="0.2">
      <c r="A168" s="1" t="s">
        <v>205</v>
      </c>
      <c r="B168" s="1" t="s">
        <v>265</v>
      </c>
      <c r="C168" s="1">
        <v>-42.4</v>
      </c>
      <c r="D168" s="1">
        <v>470250.7</v>
      </c>
      <c r="E168" s="1">
        <v>5969494.4000000004</v>
      </c>
      <c r="F168" s="1">
        <v>0</v>
      </c>
      <c r="G168" s="1">
        <v>-0.7</v>
      </c>
      <c r="H168" s="1">
        <v>0</v>
      </c>
      <c r="I168" s="1">
        <v>2</v>
      </c>
      <c r="J168" s="1">
        <v>0</v>
      </c>
      <c r="K168" s="1">
        <v>-74.7</v>
      </c>
      <c r="L168" s="1">
        <v>32.299999999999997</v>
      </c>
      <c r="M168" s="1">
        <v>1974.5409999999999</v>
      </c>
      <c r="N168" s="1">
        <v>100.1</v>
      </c>
      <c r="O168" s="1">
        <v>8</v>
      </c>
      <c r="P168" s="1">
        <v>11</v>
      </c>
      <c r="Q168" s="1">
        <v>2.8727</v>
      </c>
      <c r="R168" s="1">
        <v>70</v>
      </c>
      <c r="S168" s="1">
        <v>117</v>
      </c>
      <c r="T168" s="1">
        <v>149</v>
      </c>
      <c r="U168" s="1">
        <v>1575.5840000000001</v>
      </c>
      <c r="V168" s="1">
        <v>369.77800000000002</v>
      </c>
      <c r="W168" s="1">
        <v>752.85199999999998</v>
      </c>
      <c r="X168" s="1">
        <v>132.18100000000001</v>
      </c>
      <c r="Y168" s="1">
        <v>4.9400000000000004</v>
      </c>
      <c r="Z168" s="1">
        <v>8.0150000000000006</v>
      </c>
      <c r="AA168" s="1">
        <v>21.7</v>
      </c>
      <c r="AB168" s="1">
        <v>290.5</v>
      </c>
      <c r="AC168" s="1">
        <v>13554</v>
      </c>
      <c r="AD168" s="1">
        <v>3799</v>
      </c>
      <c r="AE168" s="1">
        <v>268</v>
      </c>
      <c r="AF168" s="1">
        <v>23</v>
      </c>
      <c r="AG168" s="1">
        <v>23</v>
      </c>
      <c r="AH168" s="1">
        <v>29.8</v>
      </c>
      <c r="AI168" s="1">
        <v>53.9</v>
      </c>
      <c r="AJ168" s="1">
        <v>16.3</v>
      </c>
      <c r="AK168" s="1">
        <v>83.6</v>
      </c>
      <c r="AL168" s="1">
        <v>31.9</v>
      </c>
      <c r="AM168" s="1">
        <v>8</v>
      </c>
      <c r="AN168" s="1">
        <v>0</v>
      </c>
      <c r="AO168" s="1">
        <v>0</v>
      </c>
      <c r="AP168" s="1" t="s">
        <v>270</v>
      </c>
      <c r="AQ168" s="1" t="s">
        <v>267</v>
      </c>
      <c r="AR168" s="1" t="s">
        <v>268</v>
      </c>
    </row>
    <row r="169" spans="1:44" x14ac:dyDescent="0.2">
      <c r="A169" s="1" t="s">
        <v>187</v>
      </c>
      <c r="B169" s="1" t="s">
        <v>265</v>
      </c>
      <c r="C169" s="1">
        <v>-37.4</v>
      </c>
      <c r="D169" s="1">
        <v>470107.9</v>
      </c>
      <c r="E169" s="1">
        <v>5973050</v>
      </c>
      <c r="F169" s="1">
        <v>0</v>
      </c>
      <c r="G169" s="1">
        <v>-0.6</v>
      </c>
      <c r="H169" s="1">
        <v>0</v>
      </c>
      <c r="I169" s="1">
        <v>2</v>
      </c>
      <c r="J169" s="1">
        <v>0</v>
      </c>
      <c r="K169" s="1">
        <v>-65</v>
      </c>
      <c r="L169" s="1">
        <v>27.6</v>
      </c>
      <c r="M169" s="1">
        <v>1662.0830000000001</v>
      </c>
      <c r="N169" s="1">
        <v>90.4</v>
      </c>
      <c r="O169" s="1">
        <v>8</v>
      </c>
      <c r="P169" s="1">
        <v>10.5</v>
      </c>
      <c r="Q169" s="1">
        <v>2.5714000000000001</v>
      </c>
      <c r="R169" s="1">
        <v>70</v>
      </c>
      <c r="S169" s="1">
        <v>112</v>
      </c>
      <c r="T169" s="1">
        <v>146</v>
      </c>
      <c r="U169" s="1">
        <v>1406.422</v>
      </c>
      <c r="V169" s="1">
        <v>323.19400000000002</v>
      </c>
      <c r="W169" s="1">
        <v>752.85199999999998</v>
      </c>
      <c r="X169" s="1">
        <v>132.18100000000001</v>
      </c>
      <c r="Y169" s="1">
        <v>4.9400000000000004</v>
      </c>
      <c r="Z169" s="1">
        <v>8.0150000000000006</v>
      </c>
      <c r="AA169" s="1">
        <v>21.7</v>
      </c>
      <c r="AB169" s="1">
        <v>290.5</v>
      </c>
      <c r="AC169" s="1">
        <v>12755</v>
      </c>
      <c r="AD169" s="1">
        <v>3402</v>
      </c>
      <c r="AE169" s="1">
        <v>268</v>
      </c>
      <c r="AF169" s="1">
        <v>19</v>
      </c>
      <c r="AG169" s="1">
        <v>19</v>
      </c>
      <c r="AH169" s="1">
        <v>33.6</v>
      </c>
      <c r="AI169" s="1">
        <v>51.4</v>
      </c>
      <c r="AJ169" s="1">
        <v>15</v>
      </c>
      <c r="AK169" s="1">
        <v>80.7</v>
      </c>
      <c r="AL169" s="1">
        <v>31.9</v>
      </c>
      <c r="AM169" s="1">
        <v>8</v>
      </c>
      <c r="AN169" s="1">
        <v>0</v>
      </c>
      <c r="AO169" s="1">
        <v>0</v>
      </c>
      <c r="AP169" s="1" t="s">
        <v>270</v>
      </c>
      <c r="AQ169" s="1" t="s">
        <v>267</v>
      </c>
      <c r="AR169" s="1" t="s">
        <v>268</v>
      </c>
    </row>
    <row r="170" spans="1:44" x14ac:dyDescent="0.2">
      <c r="A170" s="1" t="s">
        <v>85</v>
      </c>
      <c r="B170" s="1" t="s">
        <v>265</v>
      </c>
      <c r="C170" s="1">
        <v>-33.4</v>
      </c>
      <c r="D170" s="1">
        <v>472600</v>
      </c>
      <c r="E170" s="1">
        <v>5972320</v>
      </c>
      <c r="F170" s="1">
        <v>0</v>
      </c>
      <c r="G170" s="1">
        <v>-0.6</v>
      </c>
      <c r="H170" s="1">
        <v>0</v>
      </c>
      <c r="I170" s="1">
        <v>2</v>
      </c>
      <c r="J170" s="1">
        <v>0</v>
      </c>
      <c r="K170" s="1">
        <v>-63.6</v>
      </c>
      <c r="L170" s="1">
        <v>30.2</v>
      </c>
      <c r="M170" s="1">
        <v>1566.5540000000001</v>
      </c>
      <c r="N170" s="1">
        <v>89</v>
      </c>
      <c r="O170" s="1">
        <v>8</v>
      </c>
      <c r="P170" s="1">
        <v>10</v>
      </c>
      <c r="Q170" s="1">
        <v>2.96</v>
      </c>
      <c r="R170" s="1">
        <v>68</v>
      </c>
      <c r="S170" s="1">
        <v>110</v>
      </c>
      <c r="T170" s="1">
        <v>147</v>
      </c>
      <c r="U170" s="1">
        <v>1358.211</v>
      </c>
      <c r="V170" s="1">
        <v>574.18299999999999</v>
      </c>
      <c r="W170" s="1">
        <v>752.85199999999998</v>
      </c>
      <c r="X170" s="1">
        <v>132.18100000000001</v>
      </c>
      <c r="Y170" s="1">
        <v>4.9400000000000004</v>
      </c>
      <c r="Z170" s="1">
        <v>8.0150000000000006</v>
      </c>
      <c r="AA170" s="1">
        <v>21.7</v>
      </c>
      <c r="AB170" s="1">
        <v>290.5</v>
      </c>
      <c r="AC170" s="1">
        <v>12524</v>
      </c>
      <c r="AD170" s="1">
        <v>3087</v>
      </c>
      <c r="AE170" s="1">
        <v>268</v>
      </c>
      <c r="AF170" s="1">
        <v>21</v>
      </c>
      <c r="AG170" s="1">
        <v>21</v>
      </c>
      <c r="AH170" s="1">
        <v>34.799999999999997</v>
      </c>
      <c r="AI170" s="1">
        <v>52.3</v>
      </c>
      <c r="AJ170" s="1">
        <v>13</v>
      </c>
      <c r="AK170" s="1">
        <v>79.400000000000006</v>
      </c>
      <c r="AL170" s="1">
        <v>31.9</v>
      </c>
      <c r="AM170" s="1">
        <v>8</v>
      </c>
      <c r="AN170" s="1">
        <v>0</v>
      </c>
      <c r="AO170" s="1">
        <v>0</v>
      </c>
      <c r="AP170" s="1" t="s">
        <v>266</v>
      </c>
      <c r="AQ170" s="1" t="s">
        <v>267</v>
      </c>
      <c r="AR170" s="1" t="s">
        <v>268</v>
      </c>
    </row>
    <row r="171" spans="1:44" x14ac:dyDescent="0.2">
      <c r="A171" s="1" t="s">
        <v>182</v>
      </c>
      <c r="B171" s="1" t="s">
        <v>265</v>
      </c>
      <c r="C171" s="1">
        <v>-36.700000000000003</v>
      </c>
      <c r="D171" s="1">
        <v>451026.5</v>
      </c>
      <c r="E171" s="1">
        <v>5977236.2000000002</v>
      </c>
      <c r="F171" s="1">
        <v>0</v>
      </c>
      <c r="G171" s="1">
        <v>-0.7</v>
      </c>
      <c r="H171" s="1">
        <v>0</v>
      </c>
      <c r="I171" s="1">
        <v>2</v>
      </c>
      <c r="J171" s="1">
        <v>0</v>
      </c>
      <c r="K171" s="1">
        <v>-67.599999999999994</v>
      </c>
      <c r="L171" s="1">
        <v>30.9</v>
      </c>
      <c r="M171" s="1">
        <v>1744.1469999999999</v>
      </c>
      <c r="N171" s="1">
        <v>93</v>
      </c>
      <c r="O171" s="1">
        <v>8</v>
      </c>
      <c r="P171" s="1">
        <v>10.5</v>
      </c>
      <c r="Q171" s="1">
        <v>2.8761999999999999</v>
      </c>
      <c r="R171" s="1">
        <v>72</v>
      </c>
      <c r="S171" s="1">
        <v>112</v>
      </c>
      <c r="T171" s="1">
        <v>146</v>
      </c>
      <c r="U171" s="1">
        <v>1406.145</v>
      </c>
      <c r="V171" s="1">
        <v>454.13600000000002</v>
      </c>
      <c r="W171" s="1">
        <v>752.85199999999998</v>
      </c>
      <c r="X171" s="1">
        <v>132.18100000000001</v>
      </c>
      <c r="Y171" s="1">
        <v>4.9400000000000004</v>
      </c>
      <c r="Z171" s="1">
        <v>8.0150000000000006</v>
      </c>
      <c r="AA171" s="1">
        <v>21.7</v>
      </c>
      <c r="AB171" s="1">
        <v>290.5</v>
      </c>
      <c r="AC171" s="1">
        <v>12924</v>
      </c>
      <c r="AD171" s="1">
        <v>3355</v>
      </c>
      <c r="AE171" s="1">
        <v>268</v>
      </c>
      <c r="AF171" s="1">
        <v>21</v>
      </c>
      <c r="AG171" s="1">
        <v>21</v>
      </c>
      <c r="AH171" s="1">
        <v>33.299999999999997</v>
      </c>
      <c r="AI171" s="1">
        <v>51.7</v>
      </c>
      <c r="AJ171" s="1">
        <v>14.9</v>
      </c>
      <c r="AK171" s="1">
        <v>82.3</v>
      </c>
      <c r="AL171" s="1">
        <v>31.9</v>
      </c>
      <c r="AM171" s="1">
        <v>8</v>
      </c>
      <c r="AN171" s="1">
        <v>0</v>
      </c>
      <c r="AO171" s="1">
        <v>0</v>
      </c>
      <c r="AP171" s="1" t="s">
        <v>270</v>
      </c>
      <c r="AQ171" s="1" t="s">
        <v>267</v>
      </c>
      <c r="AR171" s="1" t="s">
        <v>268</v>
      </c>
    </row>
    <row r="172" spans="1:44" x14ac:dyDescent="0.2">
      <c r="A172" s="1" t="s">
        <v>188</v>
      </c>
      <c r="B172" s="1" t="s">
        <v>265</v>
      </c>
      <c r="C172" s="1">
        <v>-38.6</v>
      </c>
      <c r="D172" s="1">
        <v>452100.5</v>
      </c>
      <c r="E172" s="1">
        <v>5978746</v>
      </c>
      <c r="F172" s="1">
        <v>0</v>
      </c>
      <c r="G172" s="1">
        <v>-0.7</v>
      </c>
      <c r="H172" s="1">
        <v>0</v>
      </c>
      <c r="I172" s="1">
        <v>2</v>
      </c>
      <c r="J172" s="1">
        <v>0</v>
      </c>
      <c r="K172" s="1">
        <v>-64.7</v>
      </c>
      <c r="L172" s="1">
        <v>26.1</v>
      </c>
      <c r="M172" s="1">
        <v>1673.0119999999999</v>
      </c>
      <c r="N172" s="1">
        <v>90.1</v>
      </c>
      <c r="O172" s="1">
        <v>8</v>
      </c>
      <c r="P172" s="1">
        <v>10.5</v>
      </c>
      <c r="Q172" s="1">
        <v>2.419</v>
      </c>
      <c r="R172" s="1">
        <v>70</v>
      </c>
      <c r="S172" s="1">
        <v>112</v>
      </c>
      <c r="T172" s="1">
        <v>146</v>
      </c>
      <c r="U172" s="1">
        <v>1340.8</v>
      </c>
      <c r="V172" s="1">
        <v>421.21199999999999</v>
      </c>
      <c r="W172" s="1">
        <v>752.85199999999998</v>
      </c>
      <c r="X172" s="1">
        <v>132.18100000000001</v>
      </c>
      <c r="Y172" s="1">
        <v>4.9400000000000004</v>
      </c>
      <c r="Z172" s="1">
        <v>8.0150000000000006</v>
      </c>
      <c r="AA172" s="1">
        <v>21.7</v>
      </c>
      <c r="AB172" s="1">
        <v>290.5</v>
      </c>
      <c r="AC172" s="1">
        <v>12735</v>
      </c>
      <c r="AD172" s="1">
        <v>3480</v>
      </c>
      <c r="AE172" s="1">
        <v>268</v>
      </c>
      <c r="AF172" s="1">
        <v>17</v>
      </c>
      <c r="AG172" s="1">
        <v>17</v>
      </c>
      <c r="AH172" s="1">
        <v>33.700000000000003</v>
      </c>
      <c r="AI172" s="1">
        <v>51.2</v>
      </c>
      <c r="AJ172" s="1">
        <v>15.1</v>
      </c>
      <c r="AK172" s="1">
        <v>81.5</v>
      </c>
      <c r="AL172" s="1">
        <v>31.9</v>
      </c>
      <c r="AM172" s="1">
        <v>8</v>
      </c>
      <c r="AN172" s="1">
        <v>0</v>
      </c>
      <c r="AO172" s="1">
        <v>0</v>
      </c>
      <c r="AP172" s="1" t="s">
        <v>270</v>
      </c>
      <c r="AQ172" s="1" t="s">
        <v>267</v>
      </c>
      <c r="AR172" s="1" t="s">
        <v>268</v>
      </c>
    </row>
    <row r="173" spans="1:44" x14ac:dyDescent="0.2">
      <c r="A173" s="1" t="s">
        <v>42</v>
      </c>
      <c r="B173" s="1" t="s">
        <v>265</v>
      </c>
      <c r="C173" s="1">
        <v>-37.299999999999997</v>
      </c>
      <c r="D173" s="1">
        <v>455186.2</v>
      </c>
      <c r="E173" s="1">
        <v>5976970</v>
      </c>
      <c r="F173" s="1">
        <v>0</v>
      </c>
      <c r="G173" s="1">
        <v>-0.7</v>
      </c>
      <c r="H173" s="1">
        <v>0</v>
      </c>
      <c r="I173" s="1">
        <v>2</v>
      </c>
      <c r="J173" s="1">
        <v>0</v>
      </c>
      <c r="K173" s="1">
        <v>-65.400000000000006</v>
      </c>
      <c r="L173" s="1">
        <v>28.1</v>
      </c>
      <c r="M173" s="1">
        <v>1679.402</v>
      </c>
      <c r="N173" s="1">
        <v>90.8</v>
      </c>
      <c r="O173" s="1">
        <v>8</v>
      </c>
      <c r="P173" s="1">
        <v>10</v>
      </c>
      <c r="Q173" s="1">
        <v>2.74</v>
      </c>
      <c r="R173" s="1">
        <v>68</v>
      </c>
      <c r="S173" s="1">
        <v>110</v>
      </c>
      <c r="T173" s="1">
        <v>147</v>
      </c>
      <c r="U173" s="1">
        <v>1357.683</v>
      </c>
      <c r="V173" s="1">
        <v>458.64699999999999</v>
      </c>
      <c r="W173" s="1">
        <v>752.85199999999998</v>
      </c>
      <c r="X173" s="1">
        <v>132.18100000000001</v>
      </c>
      <c r="Y173" s="1">
        <v>4.9400000000000004</v>
      </c>
      <c r="Z173" s="1">
        <v>8.0150000000000006</v>
      </c>
      <c r="AA173" s="1">
        <v>21.7</v>
      </c>
      <c r="AB173" s="1">
        <v>290.5</v>
      </c>
      <c r="AC173" s="1">
        <v>12634</v>
      </c>
      <c r="AD173" s="1">
        <v>3329</v>
      </c>
      <c r="AE173" s="1">
        <v>268</v>
      </c>
      <c r="AF173" s="1">
        <v>19</v>
      </c>
      <c r="AG173" s="1">
        <v>19</v>
      </c>
      <c r="AH173" s="1">
        <v>32.6</v>
      </c>
      <c r="AI173" s="1">
        <v>54.8</v>
      </c>
      <c r="AJ173" s="1">
        <v>12.6</v>
      </c>
      <c r="AK173" s="1">
        <v>83</v>
      </c>
      <c r="AL173" s="1">
        <v>31.9</v>
      </c>
      <c r="AM173" s="1">
        <v>8</v>
      </c>
      <c r="AN173" s="1">
        <v>0</v>
      </c>
      <c r="AO173" s="1">
        <v>0</v>
      </c>
      <c r="AP173" s="1" t="s">
        <v>266</v>
      </c>
      <c r="AQ173" s="1" t="s">
        <v>267</v>
      </c>
      <c r="AR173" s="1" t="s">
        <v>268</v>
      </c>
    </row>
    <row r="174" spans="1:44" x14ac:dyDescent="0.2">
      <c r="A174" s="1" t="s">
        <v>95</v>
      </c>
      <c r="B174" s="1" t="s">
        <v>265</v>
      </c>
      <c r="C174" s="1">
        <v>-37.299999999999997</v>
      </c>
      <c r="D174" s="1">
        <v>457662</v>
      </c>
      <c r="E174" s="1">
        <v>5976270</v>
      </c>
      <c r="F174" s="1">
        <v>0</v>
      </c>
      <c r="G174" s="1">
        <v>-0.6</v>
      </c>
      <c r="H174" s="1">
        <v>0</v>
      </c>
      <c r="I174" s="1">
        <v>2</v>
      </c>
      <c r="J174" s="1">
        <v>0</v>
      </c>
      <c r="K174" s="1">
        <v>-62.1</v>
      </c>
      <c r="L174" s="1">
        <v>24.8</v>
      </c>
      <c r="M174" s="1">
        <v>1605.7739999999999</v>
      </c>
      <c r="N174" s="1">
        <v>87.5</v>
      </c>
      <c r="O174" s="1">
        <v>8</v>
      </c>
      <c r="P174" s="1">
        <v>10</v>
      </c>
      <c r="Q174" s="1">
        <v>2.42</v>
      </c>
      <c r="R174" s="1">
        <v>68</v>
      </c>
      <c r="S174" s="1">
        <v>110</v>
      </c>
      <c r="T174" s="1">
        <v>147</v>
      </c>
      <c r="U174" s="1">
        <v>1295.404</v>
      </c>
      <c r="V174" s="1">
        <v>452.86700000000002</v>
      </c>
      <c r="W174" s="1">
        <v>752.85199999999998</v>
      </c>
      <c r="X174" s="1">
        <v>132.18100000000001</v>
      </c>
      <c r="Y174" s="1">
        <v>4.9400000000000004</v>
      </c>
      <c r="Z174" s="1">
        <v>8.0150000000000006</v>
      </c>
      <c r="AA174" s="1">
        <v>21.7</v>
      </c>
      <c r="AB174" s="1">
        <v>290.5</v>
      </c>
      <c r="AC174" s="1">
        <v>12429</v>
      </c>
      <c r="AD174" s="1">
        <v>3329</v>
      </c>
      <c r="AE174" s="1">
        <v>268</v>
      </c>
      <c r="AF174" s="1">
        <v>15</v>
      </c>
      <c r="AG174" s="1">
        <v>15</v>
      </c>
      <c r="AH174" s="1">
        <v>34.1</v>
      </c>
      <c r="AI174" s="1">
        <v>52.6</v>
      </c>
      <c r="AJ174" s="1">
        <v>13.3</v>
      </c>
      <c r="AK174" s="1">
        <v>82.7</v>
      </c>
      <c r="AL174" s="1">
        <v>31.9</v>
      </c>
      <c r="AM174" s="1">
        <v>8</v>
      </c>
      <c r="AN174" s="1">
        <v>0</v>
      </c>
      <c r="AO174" s="1">
        <v>0</v>
      </c>
      <c r="AP174" s="1" t="s">
        <v>266</v>
      </c>
      <c r="AQ174" s="1" t="s">
        <v>267</v>
      </c>
      <c r="AR174" s="1" t="s">
        <v>268</v>
      </c>
    </row>
    <row r="175" spans="1:44" x14ac:dyDescent="0.2">
      <c r="A175" s="1" t="s">
        <v>21</v>
      </c>
      <c r="B175" s="1" t="s">
        <v>265</v>
      </c>
      <c r="C175" s="1">
        <v>-37</v>
      </c>
      <c r="D175" s="1">
        <v>461431.8</v>
      </c>
      <c r="E175" s="1">
        <v>5973540</v>
      </c>
      <c r="F175" s="1">
        <v>0</v>
      </c>
      <c r="G175" s="1">
        <v>-0.6</v>
      </c>
      <c r="H175" s="1">
        <v>0</v>
      </c>
      <c r="I175" s="1">
        <v>2</v>
      </c>
      <c r="J175" s="1">
        <v>0</v>
      </c>
      <c r="K175" s="1">
        <v>-67.900000000000006</v>
      </c>
      <c r="L175" s="1">
        <v>30.9</v>
      </c>
      <c r="M175" s="1">
        <v>1732.886</v>
      </c>
      <c r="N175" s="1">
        <v>93.3</v>
      </c>
      <c r="O175" s="1">
        <v>8</v>
      </c>
      <c r="P175" s="1">
        <v>10</v>
      </c>
      <c r="Q175" s="1">
        <v>3.03</v>
      </c>
      <c r="R175" s="1">
        <v>68</v>
      </c>
      <c r="S175" s="1">
        <v>110</v>
      </c>
      <c r="T175" s="1">
        <v>147</v>
      </c>
      <c r="U175" s="1">
        <v>1420</v>
      </c>
      <c r="V175" s="1">
        <v>427.69600000000003</v>
      </c>
      <c r="W175" s="1">
        <v>752.85199999999998</v>
      </c>
      <c r="X175" s="1">
        <v>132.18100000000001</v>
      </c>
      <c r="Y175" s="1">
        <v>4.9400000000000004</v>
      </c>
      <c r="Z175" s="1">
        <v>8.0150000000000006</v>
      </c>
      <c r="AA175" s="1">
        <v>21.7</v>
      </c>
      <c r="AB175" s="1">
        <v>290.5</v>
      </c>
      <c r="AC175" s="1">
        <v>12790</v>
      </c>
      <c r="AD175" s="1">
        <v>3310</v>
      </c>
      <c r="AE175" s="1">
        <v>268</v>
      </c>
      <c r="AF175" s="1">
        <v>21</v>
      </c>
      <c r="AG175" s="1">
        <v>21</v>
      </c>
      <c r="AH175" s="1">
        <v>31.7</v>
      </c>
      <c r="AI175" s="1">
        <v>55.7</v>
      </c>
      <c r="AJ175" s="1">
        <v>12.6</v>
      </c>
      <c r="AK175" s="1">
        <v>83.2</v>
      </c>
      <c r="AL175" s="1">
        <v>31.9</v>
      </c>
      <c r="AM175" s="1">
        <v>8</v>
      </c>
      <c r="AN175" s="1">
        <v>0</v>
      </c>
      <c r="AO175" s="1">
        <v>0</v>
      </c>
      <c r="AP175" s="1" t="s">
        <v>266</v>
      </c>
      <c r="AQ175" s="1" t="s">
        <v>267</v>
      </c>
      <c r="AR175" s="1" t="s">
        <v>268</v>
      </c>
    </row>
    <row r="176" spans="1:44" x14ac:dyDescent="0.2">
      <c r="A176" s="1" t="s">
        <v>108</v>
      </c>
      <c r="B176" s="1" t="s">
        <v>265</v>
      </c>
      <c r="C176" s="1">
        <v>-36.9</v>
      </c>
      <c r="D176" s="1">
        <v>464638.4</v>
      </c>
      <c r="E176" s="1">
        <v>5971730</v>
      </c>
      <c r="F176" s="1">
        <v>0</v>
      </c>
      <c r="G176" s="1">
        <v>-0.7</v>
      </c>
      <c r="H176" s="1">
        <v>0</v>
      </c>
      <c r="I176" s="1">
        <v>2</v>
      </c>
      <c r="J176" s="1">
        <v>0</v>
      </c>
      <c r="K176" s="1">
        <v>-61.7</v>
      </c>
      <c r="L176" s="1">
        <v>24.8</v>
      </c>
      <c r="M176" s="1">
        <v>1576.171</v>
      </c>
      <c r="N176" s="1">
        <v>87.1</v>
      </c>
      <c r="O176" s="1">
        <v>8</v>
      </c>
      <c r="P176" s="1">
        <v>10</v>
      </c>
      <c r="Q176" s="1">
        <v>2.41</v>
      </c>
      <c r="R176" s="1">
        <v>68</v>
      </c>
      <c r="S176" s="1">
        <v>110</v>
      </c>
      <c r="T176" s="1">
        <v>147</v>
      </c>
      <c r="U176" s="1">
        <v>1295.5429999999999</v>
      </c>
      <c r="V176" s="1">
        <v>546.17200000000003</v>
      </c>
      <c r="W176" s="1">
        <v>752.85199999999998</v>
      </c>
      <c r="X176" s="1">
        <v>132.18100000000001</v>
      </c>
      <c r="Y176" s="1">
        <v>4.9400000000000004</v>
      </c>
      <c r="Z176" s="1">
        <v>8.0150000000000006</v>
      </c>
      <c r="AA176" s="1">
        <v>21.7</v>
      </c>
      <c r="AB176" s="1">
        <v>290.5</v>
      </c>
      <c r="AC176" s="1">
        <v>12404</v>
      </c>
      <c r="AD176" s="1">
        <v>3304</v>
      </c>
      <c r="AE176" s="1">
        <v>268</v>
      </c>
      <c r="AF176" s="1">
        <v>15</v>
      </c>
      <c r="AG176" s="1">
        <v>15</v>
      </c>
      <c r="AH176" s="1">
        <v>34.799999999999997</v>
      </c>
      <c r="AI176" s="1">
        <v>51.7</v>
      </c>
      <c r="AJ176" s="1">
        <v>13.5</v>
      </c>
      <c r="AK176" s="1">
        <v>81.7</v>
      </c>
      <c r="AL176" s="1">
        <v>31.9</v>
      </c>
      <c r="AM176" s="1">
        <v>8</v>
      </c>
      <c r="AN176" s="1">
        <v>0</v>
      </c>
      <c r="AO176" s="1">
        <v>0</v>
      </c>
      <c r="AP176" s="1" t="s">
        <v>266</v>
      </c>
      <c r="AQ176" s="1" t="s">
        <v>267</v>
      </c>
      <c r="AR176" s="1" t="s">
        <v>268</v>
      </c>
    </row>
    <row r="177" spans="1:44" x14ac:dyDescent="0.2">
      <c r="A177" s="1" t="s">
        <v>64</v>
      </c>
      <c r="B177" s="1" t="s">
        <v>265</v>
      </c>
      <c r="C177" s="1">
        <v>-37</v>
      </c>
      <c r="D177" s="1">
        <v>467158</v>
      </c>
      <c r="E177" s="1">
        <v>5971090</v>
      </c>
      <c r="F177" s="1">
        <v>0</v>
      </c>
      <c r="G177" s="1">
        <v>-0.7</v>
      </c>
      <c r="H177" s="1">
        <v>0</v>
      </c>
      <c r="I177" s="1">
        <v>2</v>
      </c>
      <c r="J177" s="1">
        <v>0</v>
      </c>
      <c r="K177" s="1">
        <v>-63.929000000000002</v>
      </c>
      <c r="L177" s="1">
        <v>26.928999999999998</v>
      </c>
      <c r="M177" s="1">
        <v>1663.443</v>
      </c>
      <c r="N177" s="1">
        <v>89.328999999999994</v>
      </c>
      <c r="O177" s="1">
        <v>8</v>
      </c>
      <c r="P177" s="1">
        <v>10</v>
      </c>
      <c r="Q177" s="1">
        <v>2.6229</v>
      </c>
      <c r="R177" s="1">
        <v>68</v>
      </c>
      <c r="S177" s="1">
        <v>110</v>
      </c>
      <c r="T177" s="1">
        <v>147</v>
      </c>
      <c r="U177" s="1">
        <v>1295.329</v>
      </c>
      <c r="V177" s="1">
        <v>427.77199999999999</v>
      </c>
      <c r="W177" s="1">
        <v>752.85199999999998</v>
      </c>
      <c r="X177" s="1">
        <v>132.18100000000001</v>
      </c>
      <c r="Y177" s="1">
        <v>4.9400000000000004</v>
      </c>
      <c r="Z177" s="1">
        <v>8.0150000000000006</v>
      </c>
      <c r="AA177" s="1">
        <v>21.7</v>
      </c>
      <c r="AB177" s="1">
        <v>290.5</v>
      </c>
      <c r="AC177" s="1">
        <v>12542</v>
      </c>
      <c r="AD177" s="1">
        <v>3310</v>
      </c>
      <c r="AE177" s="1">
        <v>268</v>
      </c>
      <c r="AF177" s="1">
        <v>17</v>
      </c>
      <c r="AG177" s="1">
        <v>17</v>
      </c>
      <c r="AH177" s="1">
        <v>32.9</v>
      </c>
      <c r="AI177" s="1">
        <v>54.2</v>
      </c>
      <c r="AJ177" s="1">
        <v>12.8</v>
      </c>
      <c r="AK177" s="1">
        <v>83.6</v>
      </c>
      <c r="AL177" s="1">
        <v>31.9</v>
      </c>
      <c r="AM177" s="1">
        <v>8</v>
      </c>
      <c r="AN177" s="1">
        <v>0</v>
      </c>
      <c r="AO177" s="1">
        <v>0</v>
      </c>
      <c r="AP177" s="1" t="s">
        <v>266</v>
      </c>
      <c r="AQ177" s="1" t="s">
        <v>267</v>
      </c>
      <c r="AR177" s="1" t="s">
        <v>268</v>
      </c>
    </row>
    <row r="178" spans="1:44" x14ac:dyDescent="0.2">
      <c r="A178" s="1" t="s">
        <v>49</v>
      </c>
      <c r="B178" s="1" t="s">
        <v>269</v>
      </c>
      <c r="C178" s="1">
        <v>-38</v>
      </c>
      <c r="D178" s="1">
        <v>469643</v>
      </c>
      <c r="E178" s="1">
        <v>5970460</v>
      </c>
      <c r="F178" s="1">
        <v>0</v>
      </c>
      <c r="G178" s="1">
        <v>-0.7</v>
      </c>
      <c r="H178" s="1">
        <v>0</v>
      </c>
      <c r="I178" s="1">
        <v>2</v>
      </c>
      <c r="J178" s="1">
        <v>0</v>
      </c>
      <c r="K178" s="1">
        <v>-65.099999999999994</v>
      </c>
      <c r="L178" s="1">
        <v>27.1</v>
      </c>
      <c r="M178" s="1">
        <v>1688.4069999999999</v>
      </c>
      <c r="N178" s="1">
        <v>90.5</v>
      </c>
      <c r="O178" s="1">
        <v>8</v>
      </c>
      <c r="P178" s="1">
        <v>10</v>
      </c>
      <c r="Q178" s="1">
        <v>2.64</v>
      </c>
      <c r="R178" s="1">
        <v>68</v>
      </c>
      <c r="S178" s="1">
        <v>110</v>
      </c>
      <c r="T178" s="1">
        <v>147</v>
      </c>
      <c r="U178" s="1">
        <v>1357.595</v>
      </c>
      <c r="V178" s="1">
        <v>505.87200000000001</v>
      </c>
      <c r="W178" s="1">
        <v>752.85199999999998</v>
      </c>
      <c r="X178" s="1">
        <v>132.18100000000001</v>
      </c>
      <c r="Y178" s="1">
        <v>4.9400000000000004</v>
      </c>
      <c r="Z178" s="1">
        <v>8.0150000000000006</v>
      </c>
      <c r="AA178" s="1">
        <v>21.7</v>
      </c>
      <c r="AB178" s="1">
        <v>290.5</v>
      </c>
      <c r="AC178" s="1">
        <v>12615</v>
      </c>
      <c r="AD178" s="1">
        <v>3372</v>
      </c>
      <c r="AE178" s="1">
        <v>268</v>
      </c>
      <c r="AF178" s="1">
        <v>17</v>
      </c>
      <c r="AG178" s="1">
        <v>17</v>
      </c>
      <c r="AH178" s="1">
        <v>32.4</v>
      </c>
      <c r="AI178" s="1">
        <v>54.9</v>
      </c>
      <c r="AJ178" s="1">
        <v>12.6</v>
      </c>
      <c r="AK178" s="1">
        <v>83.7</v>
      </c>
      <c r="AL178" s="1">
        <v>31.9</v>
      </c>
      <c r="AM178" s="1">
        <v>8</v>
      </c>
      <c r="AN178" s="1">
        <v>0</v>
      </c>
      <c r="AO178" s="1">
        <v>0</v>
      </c>
      <c r="AP178" s="1" t="s">
        <v>266</v>
      </c>
      <c r="AQ178" s="1" t="s">
        <v>267</v>
      </c>
      <c r="AR178" s="1" t="s">
        <v>268</v>
      </c>
    </row>
    <row r="179" spans="1:44" x14ac:dyDescent="0.2">
      <c r="A179" s="1" t="s">
        <v>97</v>
      </c>
      <c r="B179" s="1" t="s">
        <v>265</v>
      </c>
      <c r="C179" s="1">
        <v>-36.5</v>
      </c>
      <c r="D179" s="1">
        <v>469472.2</v>
      </c>
      <c r="E179" s="1">
        <v>5974062.7000000002</v>
      </c>
      <c r="F179" s="1">
        <v>0</v>
      </c>
      <c r="G179" s="1">
        <v>-0.6</v>
      </c>
      <c r="H179" s="1">
        <v>0</v>
      </c>
      <c r="I179" s="1">
        <v>2</v>
      </c>
      <c r="J179" s="1">
        <v>0</v>
      </c>
      <c r="K179" s="1">
        <v>-62.4</v>
      </c>
      <c r="L179" s="1">
        <v>25.9</v>
      </c>
      <c r="M179" s="1">
        <v>1616.7729999999999</v>
      </c>
      <c r="N179" s="1">
        <v>87.8</v>
      </c>
      <c r="O179" s="1">
        <v>8</v>
      </c>
      <c r="P179" s="1">
        <v>10</v>
      </c>
      <c r="Q179" s="1">
        <v>2.5299999999999998</v>
      </c>
      <c r="R179" s="1">
        <v>68</v>
      </c>
      <c r="S179" s="1">
        <v>110</v>
      </c>
      <c r="T179" s="1">
        <v>147</v>
      </c>
      <c r="U179" s="1">
        <v>1295.404</v>
      </c>
      <c r="V179" s="1">
        <v>452.96699999999998</v>
      </c>
      <c r="W179" s="1">
        <v>752.85199999999998</v>
      </c>
      <c r="X179" s="1">
        <v>132.18100000000001</v>
      </c>
      <c r="Y179" s="1">
        <v>4.9400000000000004</v>
      </c>
      <c r="Z179" s="1">
        <v>8.0150000000000006</v>
      </c>
      <c r="AA179" s="1">
        <v>21.7</v>
      </c>
      <c r="AB179" s="1">
        <v>290.5</v>
      </c>
      <c r="AC179" s="1">
        <v>12447</v>
      </c>
      <c r="AD179" s="1">
        <v>3279</v>
      </c>
      <c r="AE179" s="1">
        <v>268</v>
      </c>
      <c r="AF179" s="1">
        <v>17</v>
      </c>
      <c r="AG179" s="1">
        <v>17</v>
      </c>
      <c r="AH179" s="1">
        <v>33.9</v>
      </c>
      <c r="AI179" s="1">
        <v>52.9</v>
      </c>
      <c r="AJ179" s="1">
        <v>13.2</v>
      </c>
      <c r="AK179" s="1">
        <v>82.9</v>
      </c>
      <c r="AL179" s="1">
        <v>31.9</v>
      </c>
      <c r="AM179" s="1">
        <v>8</v>
      </c>
      <c r="AN179" s="1">
        <v>0</v>
      </c>
      <c r="AO179" s="1">
        <v>0</v>
      </c>
      <c r="AP179" s="1" t="s">
        <v>266</v>
      </c>
      <c r="AQ179" s="1" t="s">
        <v>267</v>
      </c>
      <c r="AR179" s="1" t="s">
        <v>268</v>
      </c>
    </row>
    <row r="180" spans="1:44" x14ac:dyDescent="0.2">
      <c r="A180" s="1" t="s">
        <v>133</v>
      </c>
      <c r="B180" s="1" t="s">
        <v>265</v>
      </c>
      <c r="C180" s="1">
        <v>-31.9</v>
      </c>
      <c r="D180" s="1">
        <v>471621</v>
      </c>
      <c r="E180" s="1">
        <v>5973890</v>
      </c>
      <c r="F180" s="1">
        <v>0</v>
      </c>
      <c r="G180" s="1">
        <v>-0.6</v>
      </c>
      <c r="H180" s="1">
        <v>0</v>
      </c>
      <c r="I180" s="1">
        <v>2</v>
      </c>
      <c r="J180" s="1">
        <v>0</v>
      </c>
      <c r="K180" s="1">
        <v>-59.9</v>
      </c>
      <c r="L180" s="1">
        <v>28</v>
      </c>
      <c r="M180" s="1">
        <v>1473.646</v>
      </c>
      <c r="N180" s="1">
        <v>85.3</v>
      </c>
      <c r="O180" s="1">
        <v>8</v>
      </c>
      <c r="P180" s="1">
        <v>10</v>
      </c>
      <c r="Q180" s="1">
        <v>2.74</v>
      </c>
      <c r="R180" s="1">
        <v>68</v>
      </c>
      <c r="S180" s="1">
        <v>110</v>
      </c>
      <c r="T180" s="1">
        <v>147</v>
      </c>
      <c r="U180" s="1">
        <v>1296.02</v>
      </c>
      <c r="V180" s="1">
        <v>580.70500000000004</v>
      </c>
      <c r="W180" s="1">
        <v>752.85199999999998</v>
      </c>
      <c r="X180" s="1">
        <v>132.18100000000001</v>
      </c>
      <c r="Y180" s="1">
        <v>4.9400000000000004</v>
      </c>
      <c r="Z180" s="1">
        <v>8.0150000000000006</v>
      </c>
      <c r="AA180" s="1">
        <v>21.7</v>
      </c>
      <c r="AB180" s="1">
        <v>290.5</v>
      </c>
      <c r="AC180" s="1">
        <v>12294</v>
      </c>
      <c r="AD180" s="1">
        <v>2994</v>
      </c>
      <c r="AE180" s="1">
        <v>268</v>
      </c>
      <c r="AF180" s="1">
        <v>19</v>
      </c>
      <c r="AG180" s="1">
        <v>19</v>
      </c>
      <c r="AH180" s="1">
        <v>36.6</v>
      </c>
      <c r="AI180" s="1">
        <v>50.2</v>
      </c>
      <c r="AJ180" s="1">
        <v>13.1</v>
      </c>
      <c r="AK180" s="1">
        <v>78.2</v>
      </c>
      <c r="AL180" s="1">
        <v>31.9</v>
      </c>
      <c r="AM180" s="1">
        <v>8</v>
      </c>
      <c r="AN180" s="1">
        <v>0</v>
      </c>
      <c r="AO180" s="1">
        <v>0</v>
      </c>
      <c r="AP180" s="1" t="s">
        <v>266</v>
      </c>
      <c r="AQ180" s="1" t="s">
        <v>267</v>
      </c>
      <c r="AR180" s="1" t="s">
        <v>268</v>
      </c>
    </row>
    <row r="181" spans="1:44" x14ac:dyDescent="0.2">
      <c r="A181" s="1" t="s">
        <v>51</v>
      </c>
      <c r="B181" s="1" t="s">
        <v>265</v>
      </c>
      <c r="C181" s="1">
        <v>-36.200000000000003</v>
      </c>
      <c r="D181" s="1">
        <v>450301</v>
      </c>
      <c r="E181" s="1">
        <v>5978390.7999999998</v>
      </c>
      <c r="F181" s="1">
        <v>0</v>
      </c>
      <c r="G181" s="1">
        <v>-0.8</v>
      </c>
      <c r="H181" s="1">
        <v>0</v>
      </c>
      <c r="I181" s="1">
        <v>2</v>
      </c>
      <c r="J181" s="1">
        <v>0</v>
      </c>
      <c r="K181" s="1">
        <v>-64.400000000000006</v>
      </c>
      <c r="L181" s="1">
        <v>28.2</v>
      </c>
      <c r="M181" s="1">
        <v>1678.133</v>
      </c>
      <c r="N181" s="1">
        <v>89.8</v>
      </c>
      <c r="O181" s="1">
        <v>8</v>
      </c>
      <c r="P181" s="1">
        <v>10</v>
      </c>
      <c r="Q181" s="1">
        <v>2.74</v>
      </c>
      <c r="R181" s="1">
        <v>68</v>
      </c>
      <c r="S181" s="1">
        <v>110</v>
      </c>
      <c r="T181" s="1">
        <v>147</v>
      </c>
      <c r="U181" s="1">
        <v>1357.57</v>
      </c>
      <c r="V181" s="1">
        <v>396.83300000000003</v>
      </c>
      <c r="W181" s="1">
        <v>752.85199999999998</v>
      </c>
      <c r="X181" s="1">
        <v>132.18100000000001</v>
      </c>
      <c r="Y181" s="1">
        <v>4.9400000000000004</v>
      </c>
      <c r="Z181" s="1">
        <v>8.0150000000000006</v>
      </c>
      <c r="AA181" s="1">
        <v>21.7</v>
      </c>
      <c r="AB181" s="1">
        <v>290.5</v>
      </c>
      <c r="AC181" s="1">
        <v>12571</v>
      </c>
      <c r="AD181" s="1">
        <v>3260</v>
      </c>
      <c r="AE181" s="1">
        <v>268</v>
      </c>
      <c r="AF181" s="1">
        <v>19</v>
      </c>
      <c r="AG181" s="1">
        <v>19</v>
      </c>
      <c r="AH181" s="1">
        <v>32.6</v>
      </c>
      <c r="AI181" s="1">
        <v>54.4</v>
      </c>
      <c r="AJ181" s="1">
        <v>12.9</v>
      </c>
      <c r="AK181" s="1">
        <v>83.9</v>
      </c>
      <c r="AL181" s="1">
        <v>31.9</v>
      </c>
      <c r="AM181" s="1">
        <v>8</v>
      </c>
      <c r="AN181" s="1">
        <v>0</v>
      </c>
      <c r="AO181" s="1">
        <v>0</v>
      </c>
      <c r="AP181" s="1" t="s">
        <v>266</v>
      </c>
      <c r="AQ181" s="1" t="s">
        <v>267</v>
      </c>
      <c r="AR181" s="1" t="s">
        <v>268</v>
      </c>
    </row>
    <row r="182" spans="1:44" x14ac:dyDescent="0.2">
      <c r="A182" s="1" t="s">
        <v>196</v>
      </c>
      <c r="B182" s="1" t="s">
        <v>271</v>
      </c>
      <c r="C182" s="1">
        <v>-46.9</v>
      </c>
      <c r="D182" s="1">
        <v>450985.8</v>
      </c>
      <c r="E182" s="1">
        <v>5980535.7000000002</v>
      </c>
      <c r="F182" s="1">
        <v>0</v>
      </c>
      <c r="G182" s="1">
        <v>-0.6</v>
      </c>
      <c r="H182" s="1">
        <v>0</v>
      </c>
      <c r="I182" s="1">
        <v>2</v>
      </c>
      <c r="J182" s="1">
        <v>0</v>
      </c>
      <c r="K182" s="1">
        <v>-78.099999999999994</v>
      </c>
      <c r="L182" s="1">
        <v>31.2</v>
      </c>
      <c r="M182" s="1">
        <v>2199.31</v>
      </c>
      <c r="N182" s="1">
        <v>103.5</v>
      </c>
      <c r="O182" s="1">
        <v>8</v>
      </c>
      <c r="P182" s="1">
        <v>11</v>
      </c>
      <c r="Q182" s="1">
        <v>2.7818000000000001</v>
      </c>
      <c r="R182" s="1">
        <v>70</v>
      </c>
      <c r="S182" s="1">
        <v>117</v>
      </c>
      <c r="T182" s="1">
        <v>149</v>
      </c>
      <c r="U182" s="1">
        <v>1643.317</v>
      </c>
      <c r="V182" s="1">
        <v>403.10399999999998</v>
      </c>
      <c r="W182" s="1">
        <v>752.85199999999998</v>
      </c>
      <c r="X182" s="1">
        <v>132.18100000000001</v>
      </c>
      <c r="Y182" s="1">
        <v>4.9400000000000004</v>
      </c>
      <c r="Z182" s="1">
        <v>8.0150000000000006</v>
      </c>
      <c r="AA182" s="1">
        <v>21.7</v>
      </c>
      <c r="AB182" s="1">
        <v>290.5</v>
      </c>
      <c r="AC182" s="1">
        <v>13783</v>
      </c>
      <c r="AD182" s="1">
        <v>4106</v>
      </c>
      <c r="AE182" s="1">
        <v>268</v>
      </c>
      <c r="AF182" s="1">
        <v>21</v>
      </c>
      <c r="AG182" s="1">
        <v>21</v>
      </c>
      <c r="AH182" s="1">
        <v>27.2</v>
      </c>
      <c r="AI182" s="1">
        <v>58</v>
      </c>
      <c r="AJ182" s="1">
        <v>14.8</v>
      </c>
      <c r="AK182" s="1">
        <v>89.1</v>
      </c>
      <c r="AL182" s="1">
        <v>31.9</v>
      </c>
      <c r="AM182" s="1">
        <v>8</v>
      </c>
      <c r="AN182" s="1">
        <v>0</v>
      </c>
      <c r="AO182" s="1">
        <v>0</v>
      </c>
      <c r="AP182" s="1" t="s">
        <v>270</v>
      </c>
      <c r="AQ182" s="1" t="s">
        <v>267</v>
      </c>
      <c r="AR182" s="1" t="s">
        <v>268</v>
      </c>
    </row>
    <row r="183" spans="1:44" x14ac:dyDescent="0.2">
      <c r="A183" s="1" t="s">
        <v>203</v>
      </c>
      <c r="B183" s="1" t="s">
        <v>265</v>
      </c>
      <c r="C183" s="1">
        <v>-44.1</v>
      </c>
      <c r="D183" s="1">
        <v>452333</v>
      </c>
      <c r="E183" s="1">
        <v>5979940</v>
      </c>
      <c r="F183" s="1">
        <v>0</v>
      </c>
      <c r="G183" s="1">
        <v>-0.7</v>
      </c>
      <c r="H183" s="1">
        <v>0</v>
      </c>
      <c r="I183" s="1">
        <v>2</v>
      </c>
      <c r="J183" s="1">
        <v>0</v>
      </c>
      <c r="K183" s="1">
        <v>-74.8</v>
      </c>
      <c r="L183" s="1">
        <v>30.7</v>
      </c>
      <c r="M183" s="1">
        <v>2033.2829999999999</v>
      </c>
      <c r="N183" s="1">
        <v>100.2</v>
      </c>
      <c r="O183" s="1">
        <v>8</v>
      </c>
      <c r="P183" s="1">
        <v>11</v>
      </c>
      <c r="Q183" s="1">
        <v>2.7273000000000001</v>
      </c>
      <c r="R183" s="1">
        <v>72</v>
      </c>
      <c r="S183" s="1">
        <v>117</v>
      </c>
      <c r="T183" s="1">
        <v>149</v>
      </c>
      <c r="U183" s="1">
        <v>1575.22</v>
      </c>
      <c r="V183" s="1">
        <v>369.25</v>
      </c>
      <c r="W183" s="1">
        <v>752.85199999999998</v>
      </c>
      <c r="X183" s="1">
        <v>132.18100000000001</v>
      </c>
      <c r="Y183" s="1">
        <v>4.9400000000000004</v>
      </c>
      <c r="Z183" s="1">
        <v>8.0150000000000006</v>
      </c>
      <c r="AA183" s="1">
        <v>21.7</v>
      </c>
      <c r="AB183" s="1">
        <v>290.5</v>
      </c>
      <c r="AC183" s="1">
        <v>13559</v>
      </c>
      <c r="AD183" s="1">
        <v>3915</v>
      </c>
      <c r="AE183" s="1">
        <v>268</v>
      </c>
      <c r="AF183" s="1">
        <v>21</v>
      </c>
      <c r="AG183" s="1">
        <v>21</v>
      </c>
      <c r="AH183" s="1">
        <v>29.6</v>
      </c>
      <c r="AI183" s="1">
        <v>54.3</v>
      </c>
      <c r="AJ183" s="1">
        <v>16.100000000000001</v>
      </c>
      <c r="AK183" s="1">
        <v>85.9</v>
      </c>
      <c r="AL183" s="1">
        <v>31.9</v>
      </c>
      <c r="AM183" s="1">
        <v>8</v>
      </c>
      <c r="AN183" s="1">
        <v>0</v>
      </c>
      <c r="AO183" s="1">
        <v>0</v>
      </c>
      <c r="AP183" s="1" t="s">
        <v>270</v>
      </c>
      <c r="AQ183" s="1" t="s">
        <v>267</v>
      </c>
      <c r="AR183" s="1" t="s">
        <v>268</v>
      </c>
    </row>
    <row r="184" spans="1:44" x14ac:dyDescent="0.2">
      <c r="A184" s="1" t="s">
        <v>209</v>
      </c>
      <c r="B184" s="1" t="s">
        <v>265</v>
      </c>
      <c r="C184" s="1">
        <v>-40.799999999999997</v>
      </c>
      <c r="D184" s="1">
        <v>454288.6</v>
      </c>
      <c r="E184" s="1">
        <v>5978410</v>
      </c>
      <c r="F184" s="1">
        <v>0</v>
      </c>
      <c r="G184" s="1">
        <v>-0.7</v>
      </c>
      <c r="H184" s="1">
        <v>0</v>
      </c>
      <c r="I184" s="1">
        <v>2</v>
      </c>
      <c r="J184" s="1">
        <v>0</v>
      </c>
      <c r="K184" s="1">
        <v>-73.8</v>
      </c>
      <c r="L184" s="1">
        <v>33</v>
      </c>
      <c r="M184" s="1">
        <v>1931.7750000000001</v>
      </c>
      <c r="N184" s="1">
        <v>99.2</v>
      </c>
      <c r="O184" s="1">
        <v>8</v>
      </c>
      <c r="P184" s="1">
        <v>11</v>
      </c>
      <c r="Q184" s="1">
        <v>2.9363999999999999</v>
      </c>
      <c r="R184" s="1">
        <v>70</v>
      </c>
      <c r="S184" s="1">
        <v>117</v>
      </c>
      <c r="T184" s="1">
        <v>149</v>
      </c>
      <c r="U184" s="1">
        <v>1575.798</v>
      </c>
      <c r="V184" s="1">
        <v>301.178</v>
      </c>
      <c r="W184" s="1">
        <v>752.85199999999998</v>
      </c>
      <c r="X184" s="1">
        <v>132.18100000000001</v>
      </c>
      <c r="Y184" s="1">
        <v>4.9400000000000004</v>
      </c>
      <c r="Z184" s="1">
        <v>8.0150000000000006</v>
      </c>
      <c r="AA184" s="1">
        <v>21.7</v>
      </c>
      <c r="AB184" s="1">
        <v>290.5</v>
      </c>
      <c r="AC184" s="1">
        <v>13493</v>
      </c>
      <c r="AD184" s="1">
        <v>3690</v>
      </c>
      <c r="AE184" s="1">
        <v>268</v>
      </c>
      <c r="AF184" s="1">
        <v>23</v>
      </c>
      <c r="AG184" s="1">
        <v>23</v>
      </c>
      <c r="AH184" s="1">
        <v>29.7</v>
      </c>
      <c r="AI184" s="1">
        <v>54.1</v>
      </c>
      <c r="AJ184" s="1">
        <v>16.2</v>
      </c>
      <c r="AK184" s="1">
        <v>82.4</v>
      </c>
      <c r="AL184" s="1">
        <v>31.9</v>
      </c>
      <c r="AM184" s="1">
        <v>8</v>
      </c>
      <c r="AN184" s="1">
        <v>0</v>
      </c>
      <c r="AO184" s="1">
        <v>0</v>
      </c>
      <c r="AP184" s="1" t="s">
        <v>270</v>
      </c>
      <c r="AQ184" s="1" t="s">
        <v>267</v>
      </c>
      <c r="AR184" s="1" t="s">
        <v>268</v>
      </c>
    </row>
    <row r="185" spans="1:44" x14ac:dyDescent="0.2">
      <c r="A185" s="1" t="s">
        <v>181</v>
      </c>
      <c r="B185" s="1" t="s">
        <v>265</v>
      </c>
      <c r="C185" s="1">
        <v>-39.799999999999997</v>
      </c>
      <c r="D185" s="1">
        <v>456701</v>
      </c>
      <c r="E185" s="1">
        <v>5977810</v>
      </c>
      <c r="F185" s="1">
        <v>0</v>
      </c>
      <c r="G185" s="1">
        <v>-0.7</v>
      </c>
      <c r="H185" s="1">
        <v>0</v>
      </c>
      <c r="I185" s="1">
        <v>2</v>
      </c>
      <c r="J185" s="1">
        <v>0</v>
      </c>
      <c r="K185" s="1">
        <v>-67.8</v>
      </c>
      <c r="L185" s="1">
        <v>28</v>
      </c>
      <c r="M185" s="1">
        <v>1741.1569999999999</v>
      </c>
      <c r="N185" s="1">
        <v>93.2</v>
      </c>
      <c r="O185" s="1">
        <v>8</v>
      </c>
      <c r="P185" s="1">
        <v>10.5</v>
      </c>
      <c r="Q185" s="1">
        <v>2.6</v>
      </c>
      <c r="R185" s="1">
        <v>72</v>
      </c>
      <c r="S185" s="1">
        <v>112</v>
      </c>
      <c r="T185" s="1">
        <v>146</v>
      </c>
      <c r="U185" s="1">
        <v>1406.2080000000001</v>
      </c>
      <c r="V185" s="1">
        <v>454.161</v>
      </c>
      <c r="W185" s="1">
        <v>752.85199999999998</v>
      </c>
      <c r="X185" s="1">
        <v>132.18100000000001</v>
      </c>
      <c r="Y185" s="1">
        <v>4.9400000000000004</v>
      </c>
      <c r="Z185" s="1">
        <v>8.0150000000000006</v>
      </c>
      <c r="AA185" s="1">
        <v>21.7</v>
      </c>
      <c r="AB185" s="1">
        <v>290.5</v>
      </c>
      <c r="AC185" s="1">
        <v>12937</v>
      </c>
      <c r="AD185" s="1">
        <v>3558</v>
      </c>
      <c r="AE185" s="1">
        <v>268</v>
      </c>
      <c r="AF185" s="1">
        <v>19</v>
      </c>
      <c r="AG185" s="1">
        <v>19</v>
      </c>
      <c r="AH185" s="1">
        <v>32.9</v>
      </c>
      <c r="AI185" s="1">
        <v>52.3</v>
      </c>
      <c r="AJ185" s="1">
        <v>14.8</v>
      </c>
      <c r="AK185" s="1">
        <v>81.8</v>
      </c>
      <c r="AL185" s="1">
        <v>31.9</v>
      </c>
      <c r="AM185" s="1">
        <v>8</v>
      </c>
      <c r="AN185" s="1">
        <v>0</v>
      </c>
      <c r="AO185" s="1">
        <v>0</v>
      </c>
      <c r="AP185" s="1" t="s">
        <v>270</v>
      </c>
      <c r="AQ185" s="1" t="s">
        <v>267</v>
      </c>
      <c r="AR185" s="1" t="s">
        <v>268</v>
      </c>
    </row>
    <row r="186" spans="1:44" x14ac:dyDescent="0.2">
      <c r="A186" s="1" t="s">
        <v>104</v>
      </c>
      <c r="B186" s="1" t="s">
        <v>265</v>
      </c>
      <c r="C186" s="1">
        <v>-36.5</v>
      </c>
      <c r="D186" s="1">
        <v>460529</v>
      </c>
      <c r="E186" s="1">
        <v>5974990</v>
      </c>
      <c r="F186" s="1">
        <v>0</v>
      </c>
      <c r="G186" s="1">
        <v>-0.7</v>
      </c>
      <c r="H186" s="1">
        <v>0</v>
      </c>
      <c r="I186" s="1">
        <v>2</v>
      </c>
      <c r="J186" s="1">
        <v>0</v>
      </c>
      <c r="K186" s="1">
        <v>-62.1</v>
      </c>
      <c r="L186" s="1">
        <v>25.6</v>
      </c>
      <c r="M186" s="1">
        <v>1578.864</v>
      </c>
      <c r="N186" s="1">
        <v>87.5</v>
      </c>
      <c r="O186" s="1">
        <v>8</v>
      </c>
      <c r="P186" s="1">
        <v>10</v>
      </c>
      <c r="Q186" s="1">
        <v>2.4900000000000002</v>
      </c>
      <c r="R186" s="1">
        <v>68</v>
      </c>
      <c r="S186" s="1">
        <v>110</v>
      </c>
      <c r="T186" s="1">
        <v>147</v>
      </c>
      <c r="U186" s="1">
        <v>1295.58</v>
      </c>
      <c r="V186" s="1">
        <v>546.197</v>
      </c>
      <c r="W186" s="1">
        <v>752.85199999999998</v>
      </c>
      <c r="X186" s="1">
        <v>132.18100000000001</v>
      </c>
      <c r="Y186" s="1">
        <v>4.9400000000000004</v>
      </c>
      <c r="Z186" s="1">
        <v>8.0150000000000006</v>
      </c>
      <c r="AA186" s="1">
        <v>21.7</v>
      </c>
      <c r="AB186" s="1">
        <v>290.5</v>
      </c>
      <c r="AC186" s="1">
        <v>12430</v>
      </c>
      <c r="AD186" s="1">
        <v>3280</v>
      </c>
      <c r="AE186" s="1">
        <v>268</v>
      </c>
      <c r="AF186" s="1">
        <v>17</v>
      </c>
      <c r="AG186" s="1">
        <v>17</v>
      </c>
      <c r="AH186" s="1">
        <v>34.6</v>
      </c>
      <c r="AI186" s="1">
        <v>52.1</v>
      </c>
      <c r="AJ186" s="1">
        <v>13.3</v>
      </c>
      <c r="AK186" s="1">
        <v>81.400000000000006</v>
      </c>
      <c r="AL186" s="1">
        <v>31.9</v>
      </c>
      <c r="AM186" s="1">
        <v>8</v>
      </c>
      <c r="AN186" s="1">
        <v>0</v>
      </c>
      <c r="AO186" s="1">
        <v>0</v>
      </c>
      <c r="AP186" s="1" t="s">
        <v>266</v>
      </c>
      <c r="AQ186" s="1" t="s">
        <v>267</v>
      </c>
      <c r="AR186" s="1" t="s">
        <v>268</v>
      </c>
    </row>
    <row r="187" spans="1:44" x14ac:dyDescent="0.2">
      <c r="A187" s="1" t="s">
        <v>80</v>
      </c>
      <c r="B187" s="1" t="s">
        <v>265</v>
      </c>
      <c r="C187" s="1">
        <v>-36.799999999999997</v>
      </c>
      <c r="D187" s="1">
        <v>463640.7</v>
      </c>
      <c r="E187" s="1">
        <v>5973330</v>
      </c>
      <c r="F187" s="1">
        <v>0</v>
      </c>
      <c r="G187" s="1">
        <v>-0.7</v>
      </c>
      <c r="H187" s="1">
        <v>0</v>
      </c>
      <c r="I187" s="1">
        <v>2</v>
      </c>
      <c r="J187" s="1">
        <v>0</v>
      </c>
      <c r="K187" s="1">
        <v>-63.7</v>
      </c>
      <c r="L187" s="1">
        <v>26.9</v>
      </c>
      <c r="M187" s="1">
        <v>1647.51</v>
      </c>
      <c r="N187" s="1">
        <v>89.1</v>
      </c>
      <c r="O187" s="1">
        <v>8</v>
      </c>
      <c r="P187" s="1">
        <v>10</v>
      </c>
      <c r="Q187" s="1">
        <v>2.62</v>
      </c>
      <c r="R187" s="1">
        <v>68</v>
      </c>
      <c r="S187" s="1">
        <v>110</v>
      </c>
      <c r="T187" s="1">
        <v>147</v>
      </c>
      <c r="U187" s="1">
        <v>1295.3920000000001</v>
      </c>
      <c r="V187" s="1">
        <v>458.69799999999998</v>
      </c>
      <c r="W187" s="1">
        <v>752.85199999999998</v>
      </c>
      <c r="X187" s="1">
        <v>132.18100000000001</v>
      </c>
      <c r="Y187" s="1">
        <v>4.9400000000000004</v>
      </c>
      <c r="Z187" s="1">
        <v>8.0150000000000006</v>
      </c>
      <c r="AA187" s="1">
        <v>21.7</v>
      </c>
      <c r="AB187" s="1">
        <v>290.5</v>
      </c>
      <c r="AC187" s="1">
        <v>12528</v>
      </c>
      <c r="AD187" s="1">
        <v>3298</v>
      </c>
      <c r="AE187" s="1">
        <v>268</v>
      </c>
      <c r="AF187" s="1">
        <v>17</v>
      </c>
      <c r="AG187" s="1">
        <v>17</v>
      </c>
      <c r="AH187" s="1">
        <v>33.200000000000003</v>
      </c>
      <c r="AI187" s="1">
        <v>53.8</v>
      </c>
      <c r="AJ187" s="1">
        <v>12.9</v>
      </c>
      <c r="AK187" s="1">
        <v>83.1</v>
      </c>
      <c r="AL187" s="1">
        <v>31.9</v>
      </c>
      <c r="AM187" s="1">
        <v>8</v>
      </c>
      <c r="AN187" s="1">
        <v>0</v>
      </c>
      <c r="AO187" s="1">
        <v>0</v>
      </c>
      <c r="AP187" s="1" t="s">
        <v>266</v>
      </c>
      <c r="AQ187" s="1" t="s">
        <v>267</v>
      </c>
      <c r="AR187" s="1" t="s">
        <v>268</v>
      </c>
    </row>
    <row r="188" spans="1:44" x14ac:dyDescent="0.2">
      <c r="A188" s="1" t="s">
        <v>93</v>
      </c>
      <c r="B188" s="1" t="s">
        <v>265</v>
      </c>
      <c r="C188" s="1">
        <v>-36.700000000000003</v>
      </c>
      <c r="D188" s="1">
        <v>466239</v>
      </c>
      <c r="E188" s="1">
        <v>5972619</v>
      </c>
      <c r="F188" s="1">
        <v>0</v>
      </c>
      <c r="G188" s="1">
        <v>-0.7</v>
      </c>
      <c r="H188" s="1">
        <v>0</v>
      </c>
      <c r="I188" s="1">
        <v>2</v>
      </c>
      <c r="J188" s="1">
        <v>0</v>
      </c>
      <c r="K188" s="1">
        <v>-62.8</v>
      </c>
      <c r="L188" s="1">
        <v>26.1</v>
      </c>
      <c r="M188" s="1">
        <v>1610.481</v>
      </c>
      <c r="N188" s="1">
        <v>88.2</v>
      </c>
      <c r="O188" s="1">
        <v>8</v>
      </c>
      <c r="P188" s="1">
        <v>10</v>
      </c>
      <c r="Q188" s="1">
        <v>2.54</v>
      </c>
      <c r="R188" s="1">
        <v>68</v>
      </c>
      <c r="S188" s="1">
        <v>110</v>
      </c>
      <c r="T188" s="1">
        <v>147</v>
      </c>
      <c r="U188" s="1">
        <v>1295.48</v>
      </c>
      <c r="V188" s="1">
        <v>484.33300000000003</v>
      </c>
      <c r="W188" s="1">
        <v>752.85199999999998</v>
      </c>
      <c r="X188" s="1">
        <v>132.18100000000001</v>
      </c>
      <c r="Y188" s="1">
        <v>4.9400000000000004</v>
      </c>
      <c r="Z188" s="1">
        <v>8.0150000000000006</v>
      </c>
      <c r="AA188" s="1">
        <v>21.7</v>
      </c>
      <c r="AB188" s="1">
        <v>290.5</v>
      </c>
      <c r="AC188" s="1">
        <v>12473</v>
      </c>
      <c r="AD188" s="1">
        <v>3292</v>
      </c>
      <c r="AE188" s="1">
        <v>268</v>
      </c>
      <c r="AF188" s="1">
        <v>17</v>
      </c>
      <c r="AG188" s="1">
        <v>17</v>
      </c>
      <c r="AH188" s="1">
        <v>34</v>
      </c>
      <c r="AI188" s="1">
        <v>52.7</v>
      </c>
      <c r="AJ188" s="1">
        <v>13.2</v>
      </c>
      <c r="AK188" s="1">
        <v>82.2</v>
      </c>
      <c r="AL188" s="1">
        <v>31.9</v>
      </c>
      <c r="AM188" s="1">
        <v>8</v>
      </c>
      <c r="AN188" s="1">
        <v>0</v>
      </c>
      <c r="AO188" s="1">
        <v>0</v>
      </c>
      <c r="AP188" s="1" t="s">
        <v>266</v>
      </c>
      <c r="AQ188" s="1" t="s">
        <v>267</v>
      </c>
      <c r="AR188" s="1" t="s">
        <v>268</v>
      </c>
    </row>
    <row r="189" spans="1:44" x14ac:dyDescent="0.2">
      <c r="A189" s="1" t="s">
        <v>78</v>
      </c>
      <c r="B189" s="1" t="s">
        <v>265</v>
      </c>
      <c r="C189" s="1">
        <v>-37.299999999999997</v>
      </c>
      <c r="D189" s="1">
        <v>468664.1</v>
      </c>
      <c r="E189" s="1">
        <v>5972040</v>
      </c>
      <c r="F189" s="1">
        <v>0</v>
      </c>
      <c r="G189" s="1">
        <v>-0.6</v>
      </c>
      <c r="H189" s="1">
        <v>0</v>
      </c>
      <c r="I189" s="1">
        <v>2</v>
      </c>
      <c r="J189" s="1">
        <v>0</v>
      </c>
      <c r="K189" s="1">
        <v>-63.3</v>
      </c>
      <c r="L189" s="1">
        <v>26</v>
      </c>
      <c r="M189" s="1">
        <v>1636.0039999999999</v>
      </c>
      <c r="N189" s="1">
        <v>88.7</v>
      </c>
      <c r="O189" s="1">
        <v>8</v>
      </c>
      <c r="P189" s="1">
        <v>10</v>
      </c>
      <c r="Q189" s="1">
        <v>2.54</v>
      </c>
      <c r="R189" s="1">
        <v>68</v>
      </c>
      <c r="S189" s="1">
        <v>110</v>
      </c>
      <c r="T189" s="1">
        <v>147</v>
      </c>
      <c r="U189" s="1">
        <v>1357.7339999999999</v>
      </c>
      <c r="V189" s="1">
        <v>452.90499999999997</v>
      </c>
      <c r="W189" s="1">
        <v>752.85199999999998</v>
      </c>
      <c r="X189" s="1">
        <v>132.18100000000001</v>
      </c>
      <c r="Y189" s="1">
        <v>4.9400000000000004</v>
      </c>
      <c r="Z189" s="1">
        <v>8.0150000000000006</v>
      </c>
      <c r="AA189" s="1">
        <v>21.7</v>
      </c>
      <c r="AB189" s="1">
        <v>290.5</v>
      </c>
      <c r="AC189" s="1">
        <v>12503</v>
      </c>
      <c r="AD189" s="1">
        <v>3329</v>
      </c>
      <c r="AE189" s="1">
        <v>268</v>
      </c>
      <c r="AF189" s="1">
        <v>17</v>
      </c>
      <c r="AG189" s="1">
        <v>17</v>
      </c>
      <c r="AH189" s="1">
        <v>33.5</v>
      </c>
      <c r="AI189" s="1">
        <v>53.5</v>
      </c>
      <c r="AJ189" s="1">
        <v>13</v>
      </c>
      <c r="AK189" s="1">
        <v>83</v>
      </c>
      <c r="AL189" s="1">
        <v>31.9</v>
      </c>
      <c r="AM189" s="1">
        <v>8</v>
      </c>
      <c r="AN189" s="1">
        <v>0</v>
      </c>
      <c r="AO189" s="1">
        <v>0</v>
      </c>
      <c r="AP189" s="1" t="s">
        <v>266</v>
      </c>
      <c r="AQ189" s="1" t="s">
        <v>267</v>
      </c>
      <c r="AR189" s="1" t="s">
        <v>268</v>
      </c>
    </row>
    <row r="190" spans="1:44" x14ac:dyDescent="0.2">
      <c r="A190" s="1" t="s">
        <v>100</v>
      </c>
      <c r="B190" s="1" t="s">
        <v>265</v>
      </c>
      <c r="C190" s="1">
        <v>-34.5</v>
      </c>
      <c r="D190" s="1">
        <v>468816.3</v>
      </c>
      <c r="E190" s="1">
        <v>5975125.7999999998</v>
      </c>
      <c r="F190" s="1">
        <v>0</v>
      </c>
      <c r="G190" s="1">
        <v>-0.6</v>
      </c>
      <c r="H190" s="1">
        <v>0</v>
      </c>
      <c r="I190" s="1">
        <v>2</v>
      </c>
      <c r="J190" s="1">
        <v>0</v>
      </c>
      <c r="K190" s="1">
        <v>-62.9</v>
      </c>
      <c r="L190" s="1">
        <v>28.4</v>
      </c>
      <c r="M190" s="1">
        <v>1559.289</v>
      </c>
      <c r="N190" s="1">
        <v>88.3</v>
      </c>
      <c r="O190" s="1">
        <v>8</v>
      </c>
      <c r="P190" s="1">
        <v>10</v>
      </c>
      <c r="Q190" s="1">
        <v>2.78</v>
      </c>
      <c r="R190" s="1">
        <v>68</v>
      </c>
      <c r="S190" s="1">
        <v>110</v>
      </c>
      <c r="T190" s="1">
        <v>147</v>
      </c>
      <c r="U190" s="1">
        <v>1358.173</v>
      </c>
      <c r="V190" s="1">
        <v>553.30999999999995</v>
      </c>
      <c r="W190" s="1">
        <v>752.85199999999998</v>
      </c>
      <c r="X190" s="1">
        <v>132.18100000000001</v>
      </c>
      <c r="Y190" s="1">
        <v>4.9400000000000004</v>
      </c>
      <c r="Z190" s="1">
        <v>8.0150000000000006</v>
      </c>
      <c r="AA190" s="1">
        <v>21.7</v>
      </c>
      <c r="AB190" s="1">
        <v>290.5</v>
      </c>
      <c r="AC190" s="1">
        <v>12480</v>
      </c>
      <c r="AD190" s="1">
        <v>3156</v>
      </c>
      <c r="AE190" s="1">
        <v>268</v>
      </c>
      <c r="AF190" s="1">
        <v>19</v>
      </c>
      <c r="AG190" s="1">
        <v>19</v>
      </c>
      <c r="AH190" s="1">
        <v>34.799999999999997</v>
      </c>
      <c r="AI190" s="1">
        <v>52</v>
      </c>
      <c r="AJ190" s="1">
        <v>13.2</v>
      </c>
      <c r="AK190" s="1">
        <v>79.7</v>
      </c>
      <c r="AL190" s="1">
        <v>31.9</v>
      </c>
      <c r="AM190" s="1">
        <v>8</v>
      </c>
      <c r="AN190" s="1">
        <v>0</v>
      </c>
      <c r="AO190" s="1">
        <v>0</v>
      </c>
      <c r="AP190" s="1" t="s">
        <v>266</v>
      </c>
      <c r="AQ190" s="1" t="s">
        <v>267</v>
      </c>
      <c r="AR190" s="1" t="s">
        <v>268</v>
      </c>
    </row>
    <row r="191" spans="1:44" x14ac:dyDescent="0.2">
      <c r="A191" s="1" t="s">
        <v>69</v>
      </c>
      <c r="B191" s="1" t="s">
        <v>265</v>
      </c>
      <c r="C191" s="1">
        <v>-38.4</v>
      </c>
      <c r="D191" s="1">
        <v>470347</v>
      </c>
      <c r="E191" s="1">
        <v>5975940</v>
      </c>
      <c r="F191" s="1">
        <v>0</v>
      </c>
      <c r="G191" s="1">
        <v>-0.6</v>
      </c>
      <c r="H191" s="1">
        <v>0</v>
      </c>
      <c r="I191" s="1">
        <v>2</v>
      </c>
      <c r="J191" s="1">
        <v>0</v>
      </c>
      <c r="K191" s="1">
        <v>-63.6</v>
      </c>
      <c r="L191" s="1">
        <v>25.2</v>
      </c>
      <c r="M191" s="1">
        <v>1662.922</v>
      </c>
      <c r="N191" s="1">
        <v>89</v>
      </c>
      <c r="O191" s="1">
        <v>8</v>
      </c>
      <c r="P191" s="1">
        <v>10</v>
      </c>
      <c r="Q191" s="1">
        <v>2.46</v>
      </c>
      <c r="R191" s="1">
        <v>68</v>
      </c>
      <c r="S191" s="1">
        <v>110</v>
      </c>
      <c r="T191" s="1">
        <v>147</v>
      </c>
      <c r="U191" s="1">
        <v>1295.279</v>
      </c>
      <c r="V191" s="1">
        <v>483.80500000000001</v>
      </c>
      <c r="W191" s="1">
        <v>752.85199999999998</v>
      </c>
      <c r="X191" s="1">
        <v>132.18100000000001</v>
      </c>
      <c r="Y191" s="1">
        <v>4.9400000000000004</v>
      </c>
      <c r="Z191" s="1">
        <v>8.0150000000000006</v>
      </c>
      <c r="AA191" s="1">
        <v>21.7</v>
      </c>
      <c r="AB191" s="1">
        <v>290.5</v>
      </c>
      <c r="AC191" s="1">
        <v>12522</v>
      </c>
      <c r="AD191" s="1">
        <v>3397</v>
      </c>
      <c r="AE191" s="1">
        <v>268</v>
      </c>
      <c r="AF191" s="1">
        <v>15</v>
      </c>
      <c r="AG191" s="1">
        <v>15</v>
      </c>
      <c r="AH191" s="1">
        <v>32.9</v>
      </c>
      <c r="AI191" s="1">
        <v>54.1</v>
      </c>
      <c r="AJ191" s="1">
        <v>12.9</v>
      </c>
      <c r="AK191" s="1">
        <v>83.9</v>
      </c>
      <c r="AL191" s="1">
        <v>31.9</v>
      </c>
      <c r="AM191" s="1">
        <v>8</v>
      </c>
      <c r="AN191" s="1">
        <v>0</v>
      </c>
      <c r="AO191" s="1">
        <v>0</v>
      </c>
      <c r="AP191" s="1" t="s">
        <v>266</v>
      </c>
      <c r="AQ191" s="1" t="s">
        <v>267</v>
      </c>
      <c r="AR191" s="1" t="s">
        <v>268</v>
      </c>
    </row>
    <row r="192" spans="1:44" x14ac:dyDescent="0.2">
      <c r="A192" s="1" t="s">
        <v>16</v>
      </c>
      <c r="B192" s="1" t="s">
        <v>271</v>
      </c>
      <c r="C192" s="1">
        <v>-36.700000000000003</v>
      </c>
      <c r="D192" s="1">
        <v>471760</v>
      </c>
      <c r="E192" s="1">
        <v>5975245</v>
      </c>
      <c r="F192" s="1">
        <v>0</v>
      </c>
      <c r="G192" s="1">
        <v>-0.7</v>
      </c>
      <c r="H192" s="1">
        <v>0</v>
      </c>
      <c r="I192" s="1">
        <v>2</v>
      </c>
      <c r="J192" s="1">
        <v>0</v>
      </c>
      <c r="K192" s="1">
        <v>-71.099999999999994</v>
      </c>
      <c r="L192" s="1">
        <v>34.4</v>
      </c>
      <c r="M192" s="1">
        <v>1822.8019999999999</v>
      </c>
      <c r="N192" s="1">
        <v>96.5</v>
      </c>
      <c r="O192" s="1">
        <v>8</v>
      </c>
      <c r="P192" s="1">
        <v>10</v>
      </c>
      <c r="Q192" s="1">
        <v>3.37</v>
      </c>
      <c r="R192" s="1">
        <v>68</v>
      </c>
      <c r="S192" s="1">
        <v>110</v>
      </c>
      <c r="T192" s="1">
        <v>147</v>
      </c>
      <c r="U192" s="1">
        <v>1419.837</v>
      </c>
      <c r="V192" s="1">
        <v>489.51</v>
      </c>
      <c r="W192" s="1">
        <v>752.85199999999998</v>
      </c>
      <c r="X192" s="1">
        <v>132.18100000000001</v>
      </c>
      <c r="Y192" s="1">
        <v>4.9400000000000004</v>
      </c>
      <c r="Z192" s="1">
        <v>8.0150000000000006</v>
      </c>
      <c r="AA192" s="1">
        <v>21.7</v>
      </c>
      <c r="AB192" s="1">
        <v>290.5</v>
      </c>
      <c r="AC192" s="1">
        <v>12989</v>
      </c>
      <c r="AD192" s="1">
        <v>3291</v>
      </c>
      <c r="AE192" s="1">
        <v>268</v>
      </c>
      <c r="AF192" s="1">
        <v>24.6</v>
      </c>
      <c r="AG192" s="1">
        <v>24.6</v>
      </c>
      <c r="AH192" s="1">
        <v>30</v>
      </c>
      <c r="AI192" s="1">
        <v>58.2</v>
      </c>
      <c r="AJ192" s="1">
        <v>11.8</v>
      </c>
      <c r="AK192" s="1">
        <v>84.2</v>
      </c>
      <c r="AL192" s="1">
        <v>31.9</v>
      </c>
      <c r="AM192" s="1">
        <v>8</v>
      </c>
      <c r="AN192" s="1">
        <v>0</v>
      </c>
      <c r="AO192" s="1">
        <v>0</v>
      </c>
      <c r="AP192" s="1" t="s">
        <v>266</v>
      </c>
      <c r="AQ192" s="1" t="s">
        <v>267</v>
      </c>
      <c r="AR192" s="1" t="s">
        <v>268</v>
      </c>
    </row>
    <row r="193" spans="1:44" x14ac:dyDescent="0.2">
      <c r="A193" s="1" t="s">
        <v>54</v>
      </c>
      <c r="B193" s="1" t="s">
        <v>265</v>
      </c>
      <c r="C193" s="1">
        <v>-37.4</v>
      </c>
      <c r="D193" s="1">
        <v>449575.5</v>
      </c>
      <c r="E193" s="1">
        <v>5979545.4000000004</v>
      </c>
      <c r="F193" s="1">
        <v>0</v>
      </c>
      <c r="G193" s="1">
        <v>-0.7</v>
      </c>
      <c r="H193" s="1">
        <v>0</v>
      </c>
      <c r="I193" s="1">
        <v>2</v>
      </c>
      <c r="J193" s="1">
        <v>0</v>
      </c>
      <c r="K193" s="1">
        <v>-64.5</v>
      </c>
      <c r="L193" s="1">
        <v>27.1</v>
      </c>
      <c r="M193" s="1">
        <v>1677.104</v>
      </c>
      <c r="N193" s="1">
        <v>89.9</v>
      </c>
      <c r="O193" s="1">
        <v>8</v>
      </c>
      <c r="P193" s="1">
        <v>10</v>
      </c>
      <c r="Q193" s="1">
        <v>2.64</v>
      </c>
      <c r="R193" s="1">
        <v>68</v>
      </c>
      <c r="S193" s="1">
        <v>110</v>
      </c>
      <c r="T193" s="1">
        <v>147</v>
      </c>
      <c r="U193" s="1">
        <v>1357.595</v>
      </c>
      <c r="V193" s="1">
        <v>427.709</v>
      </c>
      <c r="W193" s="1">
        <v>752.85199999999998</v>
      </c>
      <c r="X193" s="1">
        <v>132.18100000000001</v>
      </c>
      <c r="Y193" s="1">
        <v>4.9400000000000004</v>
      </c>
      <c r="Z193" s="1">
        <v>8.0150000000000006</v>
      </c>
      <c r="AA193" s="1">
        <v>21.7</v>
      </c>
      <c r="AB193" s="1">
        <v>290.5</v>
      </c>
      <c r="AC193" s="1">
        <v>12578</v>
      </c>
      <c r="AD193" s="1">
        <v>3335</v>
      </c>
      <c r="AE193" s="1">
        <v>268</v>
      </c>
      <c r="AF193" s="1">
        <v>17</v>
      </c>
      <c r="AG193" s="1">
        <v>17</v>
      </c>
      <c r="AH193" s="1">
        <v>32.799999999999997</v>
      </c>
      <c r="AI193" s="1">
        <v>54.3</v>
      </c>
      <c r="AJ193" s="1">
        <v>12.9</v>
      </c>
      <c r="AK193" s="1">
        <v>83.8</v>
      </c>
      <c r="AL193" s="1">
        <v>31.9</v>
      </c>
      <c r="AM193" s="1">
        <v>8</v>
      </c>
      <c r="AN193" s="1">
        <v>0</v>
      </c>
      <c r="AO193" s="1">
        <v>0</v>
      </c>
      <c r="AP193" s="1" t="s">
        <v>266</v>
      </c>
      <c r="AQ193" s="1" t="s">
        <v>267</v>
      </c>
      <c r="AR193" s="1" t="s">
        <v>268</v>
      </c>
    </row>
    <row r="194" spans="1:44" x14ac:dyDescent="0.2">
      <c r="A194" s="1" t="s">
        <v>194</v>
      </c>
      <c r="B194" s="1" t="s">
        <v>265</v>
      </c>
      <c r="C194" s="1">
        <v>-46.6</v>
      </c>
      <c r="D194" s="1">
        <v>453391</v>
      </c>
      <c r="E194" s="1">
        <v>5979850</v>
      </c>
      <c r="F194" s="1">
        <v>0</v>
      </c>
      <c r="G194" s="1">
        <v>-0.7</v>
      </c>
      <c r="H194" s="1">
        <v>0</v>
      </c>
      <c r="I194" s="1">
        <v>2</v>
      </c>
      <c r="J194" s="1">
        <v>0</v>
      </c>
      <c r="K194" s="1">
        <v>-78.8</v>
      </c>
      <c r="L194" s="1">
        <v>32.200000000000003</v>
      </c>
      <c r="M194" s="1">
        <v>2224.1889999999999</v>
      </c>
      <c r="N194" s="1">
        <v>104.2</v>
      </c>
      <c r="O194" s="1">
        <v>8</v>
      </c>
      <c r="P194" s="1">
        <v>11</v>
      </c>
      <c r="Q194" s="1">
        <v>2.8635999999999999</v>
      </c>
      <c r="R194" s="1">
        <v>70</v>
      </c>
      <c r="S194" s="1">
        <v>117</v>
      </c>
      <c r="T194" s="1">
        <v>149</v>
      </c>
      <c r="U194" s="1">
        <v>1643.2670000000001</v>
      </c>
      <c r="V194" s="1">
        <v>403.10399999999998</v>
      </c>
      <c r="W194" s="1">
        <v>752.85199999999998</v>
      </c>
      <c r="X194" s="1">
        <v>132.18100000000001</v>
      </c>
      <c r="Y194" s="1">
        <v>4.9400000000000004</v>
      </c>
      <c r="Z194" s="1">
        <v>8.0150000000000006</v>
      </c>
      <c r="AA194" s="1">
        <v>21.7</v>
      </c>
      <c r="AB194" s="1">
        <v>290.5</v>
      </c>
      <c r="AC194" s="1">
        <v>13831</v>
      </c>
      <c r="AD194" s="1">
        <v>4086</v>
      </c>
      <c r="AE194" s="1">
        <v>268</v>
      </c>
      <c r="AF194" s="1">
        <v>23</v>
      </c>
      <c r="AG194" s="1">
        <v>23</v>
      </c>
      <c r="AH194" s="1">
        <v>26.6</v>
      </c>
      <c r="AI194" s="1">
        <v>58.9</v>
      </c>
      <c r="AJ194" s="1">
        <v>14.6</v>
      </c>
      <c r="AK194" s="1">
        <v>89.3</v>
      </c>
      <c r="AL194" s="1">
        <v>31.9</v>
      </c>
      <c r="AM194" s="1">
        <v>8</v>
      </c>
      <c r="AN194" s="1">
        <v>0</v>
      </c>
      <c r="AO194" s="1">
        <v>0</v>
      </c>
      <c r="AP194" s="1" t="s">
        <v>270</v>
      </c>
      <c r="AQ194" s="1" t="s">
        <v>267</v>
      </c>
      <c r="AR194" s="1" t="s">
        <v>268</v>
      </c>
    </row>
    <row r="195" spans="1:44" x14ac:dyDescent="0.2">
      <c r="A195" s="1" t="s">
        <v>9</v>
      </c>
      <c r="B195" s="1" t="s">
        <v>265</v>
      </c>
      <c r="C195" s="1">
        <v>-47.9</v>
      </c>
      <c r="D195" s="1">
        <v>454519.4</v>
      </c>
      <c r="E195" s="1">
        <v>5979707.2999999998</v>
      </c>
      <c r="F195" s="1">
        <v>0</v>
      </c>
      <c r="G195" s="1">
        <v>-0.7</v>
      </c>
      <c r="H195" s="1">
        <v>0</v>
      </c>
      <c r="I195" s="1">
        <v>2</v>
      </c>
      <c r="J195" s="1">
        <v>0</v>
      </c>
      <c r="K195" s="1">
        <v>-79.599999999999994</v>
      </c>
      <c r="L195" s="1">
        <v>31.7</v>
      </c>
      <c r="M195" s="1">
        <v>2258.44</v>
      </c>
      <c r="N195" s="1">
        <v>105</v>
      </c>
      <c r="O195" s="1">
        <v>8</v>
      </c>
      <c r="P195" s="1">
        <v>11</v>
      </c>
      <c r="Q195" s="1">
        <v>2.8182</v>
      </c>
      <c r="R195" s="1">
        <v>72</v>
      </c>
      <c r="S195" s="1">
        <v>117</v>
      </c>
      <c r="T195" s="1">
        <v>149</v>
      </c>
      <c r="U195" s="1">
        <v>1643.153</v>
      </c>
      <c r="V195" s="1">
        <v>369.21300000000002</v>
      </c>
      <c r="W195" s="1">
        <v>752.85199999999998</v>
      </c>
      <c r="X195" s="1">
        <v>132.18100000000001</v>
      </c>
      <c r="Y195" s="1">
        <v>4.9400000000000004</v>
      </c>
      <c r="Z195" s="1">
        <v>8.0150000000000006</v>
      </c>
      <c r="AA195" s="1">
        <v>21.7</v>
      </c>
      <c r="AB195" s="1">
        <v>290.5</v>
      </c>
      <c r="AC195" s="1">
        <v>13885</v>
      </c>
      <c r="AD195" s="1">
        <v>4175</v>
      </c>
      <c r="AE195" s="1">
        <v>268</v>
      </c>
      <c r="AF195" s="1">
        <v>23</v>
      </c>
      <c r="AG195" s="1">
        <v>23</v>
      </c>
      <c r="AH195" s="1">
        <v>26.5</v>
      </c>
      <c r="AI195" s="1">
        <v>59</v>
      </c>
      <c r="AJ195" s="1">
        <v>14.5</v>
      </c>
      <c r="AK195" s="1">
        <v>89.9</v>
      </c>
      <c r="AL195" s="1">
        <v>31.9</v>
      </c>
      <c r="AM195" s="1">
        <v>8</v>
      </c>
      <c r="AN195" s="1">
        <v>0</v>
      </c>
      <c r="AO195" s="1">
        <v>0</v>
      </c>
      <c r="AP195" s="1" t="s">
        <v>270</v>
      </c>
      <c r="AQ195" s="1" t="s">
        <v>267</v>
      </c>
      <c r="AR195" s="1" t="s">
        <v>268</v>
      </c>
    </row>
    <row r="196" spans="1:44" x14ac:dyDescent="0.2">
      <c r="A196" s="1" t="s">
        <v>195</v>
      </c>
      <c r="B196" s="1" t="s">
        <v>265</v>
      </c>
      <c r="C196" s="1">
        <v>-45.3</v>
      </c>
      <c r="D196" s="1">
        <v>455740</v>
      </c>
      <c r="E196" s="1">
        <v>5979350</v>
      </c>
      <c r="F196" s="1">
        <v>0</v>
      </c>
      <c r="G196" s="1">
        <v>-0.7</v>
      </c>
      <c r="H196" s="1">
        <v>0</v>
      </c>
      <c r="I196" s="1">
        <v>2</v>
      </c>
      <c r="J196" s="1">
        <v>0</v>
      </c>
      <c r="K196" s="1">
        <v>-79.099999999999994</v>
      </c>
      <c r="L196" s="1">
        <v>33.799999999999997</v>
      </c>
      <c r="M196" s="1">
        <v>2201.9459999999999</v>
      </c>
      <c r="N196" s="1">
        <v>104.5</v>
      </c>
      <c r="O196" s="1">
        <v>8</v>
      </c>
      <c r="P196" s="1">
        <v>11</v>
      </c>
      <c r="Q196" s="1">
        <v>3.0091000000000001</v>
      </c>
      <c r="R196" s="1">
        <v>70</v>
      </c>
      <c r="S196" s="1">
        <v>117</v>
      </c>
      <c r="T196" s="1">
        <v>149</v>
      </c>
      <c r="U196" s="1">
        <v>1643.4169999999999</v>
      </c>
      <c r="V196" s="1">
        <v>369.125</v>
      </c>
      <c r="W196" s="1">
        <v>752.85199999999998</v>
      </c>
      <c r="X196" s="1">
        <v>132.18100000000001</v>
      </c>
      <c r="Y196" s="1">
        <v>4.9400000000000004</v>
      </c>
      <c r="Z196" s="1">
        <v>8.0150000000000006</v>
      </c>
      <c r="AA196" s="1">
        <v>21.7</v>
      </c>
      <c r="AB196" s="1">
        <v>290.5</v>
      </c>
      <c r="AC196" s="1">
        <v>13852</v>
      </c>
      <c r="AD196" s="1">
        <v>3997</v>
      </c>
      <c r="AE196" s="1">
        <v>268</v>
      </c>
      <c r="AF196" s="1">
        <v>24.6</v>
      </c>
      <c r="AG196" s="1">
        <v>24.6</v>
      </c>
      <c r="AH196" s="1">
        <v>27</v>
      </c>
      <c r="AI196" s="1">
        <v>58.2</v>
      </c>
      <c r="AJ196" s="1">
        <v>14.8</v>
      </c>
      <c r="AK196" s="1">
        <v>88.3</v>
      </c>
      <c r="AL196" s="1">
        <v>31.9</v>
      </c>
      <c r="AM196" s="1">
        <v>8</v>
      </c>
      <c r="AN196" s="1">
        <v>0</v>
      </c>
      <c r="AO196" s="1">
        <v>0</v>
      </c>
      <c r="AP196" s="1" t="s">
        <v>270</v>
      </c>
      <c r="AQ196" s="1" t="s">
        <v>267</v>
      </c>
      <c r="AR196" s="1" t="s">
        <v>268</v>
      </c>
    </row>
    <row r="197" spans="1:44" x14ac:dyDescent="0.2">
      <c r="A197" s="1" t="s">
        <v>191</v>
      </c>
      <c r="B197" s="1" t="s">
        <v>265</v>
      </c>
      <c r="C197" s="1">
        <v>-47.9</v>
      </c>
      <c r="D197" s="1">
        <v>456904.3</v>
      </c>
      <c r="E197" s="1">
        <v>5979110.2000000002</v>
      </c>
      <c r="F197" s="1">
        <v>0</v>
      </c>
      <c r="G197" s="1">
        <v>-0.6</v>
      </c>
      <c r="H197" s="1">
        <v>0</v>
      </c>
      <c r="I197" s="1">
        <v>2</v>
      </c>
      <c r="J197" s="1">
        <v>0</v>
      </c>
      <c r="K197" s="1">
        <v>-81.7</v>
      </c>
      <c r="L197" s="1">
        <v>33.799999999999997</v>
      </c>
      <c r="M197" s="1">
        <v>2346.0909999999999</v>
      </c>
      <c r="N197" s="1">
        <v>107.1</v>
      </c>
      <c r="O197" s="1">
        <v>8</v>
      </c>
      <c r="P197" s="1">
        <v>11</v>
      </c>
      <c r="Q197" s="1">
        <v>3.0182000000000002</v>
      </c>
      <c r="R197" s="1">
        <v>70</v>
      </c>
      <c r="S197" s="1">
        <v>117</v>
      </c>
      <c r="T197" s="1">
        <v>149</v>
      </c>
      <c r="U197" s="1">
        <v>1711.489</v>
      </c>
      <c r="V197" s="1">
        <v>403.06599999999997</v>
      </c>
      <c r="W197" s="1">
        <v>752.85199999999998</v>
      </c>
      <c r="X197" s="1">
        <v>132.18100000000001</v>
      </c>
      <c r="Y197" s="1">
        <v>4.9400000000000004</v>
      </c>
      <c r="Z197" s="1">
        <v>8.0150000000000006</v>
      </c>
      <c r="AA197" s="1">
        <v>21.7</v>
      </c>
      <c r="AB197" s="1">
        <v>290.5</v>
      </c>
      <c r="AC197" s="1">
        <v>14029</v>
      </c>
      <c r="AD197" s="1">
        <v>4174</v>
      </c>
      <c r="AE197" s="1">
        <v>268</v>
      </c>
      <c r="AF197" s="1">
        <v>24.6</v>
      </c>
      <c r="AG197" s="1">
        <v>24.6</v>
      </c>
      <c r="AH197" s="1">
        <v>25.1</v>
      </c>
      <c r="AI197" s="1">
        <v>61.1</v>
      </c>
      <c r="AJ197" s="1">
        <v>13.7</v>
      </c>
      <c r="AK197" s="1">
        <v>91.1</v>
      </c>
      <c r="AL197" s="1">
        <v>31.9</v>
      </c>
      <c r="AM197" s="1">
        <v>8</v>
      </c>
      <c r="AN197" s="1">
        <v>0</v>
      </c>
      <c r="AO197" s="1">
        <v>0</v>
      </c>
      <c r="AP197" s="1" t="s">
        <v>270</v>
      </c>
      <c r="AQ197" s="1" t="s">
        <v>267</v>
      </c>
      <c r="AR197" s="1" t="s">
        <v>268</v>
      </c>
    </row>
    <row r="198" spans="1:44" x14ac:dyDescent="0.2">
      <c r="A198" s="1" t="s">
        <v>20</v>
      </c>
      <c r="B198" s="1" t="s">
        <v>265</v>
      </c>
      <c r="C198" s="1">
        <v>-37.200000000000003</v>
      </c>
      <c r="D198" s="1">
        <v>459587</v>
      </c>
      <c r="E198" s="1">
        <v>5976500</v>
      </c>
      <c r="F198" s="1">
        <v>0</v>
      </c>
      <c r="G198" s="1">
        <v>-0.6</v>
      </c>
      <c r="H198" s="1">
        <v>0</v>
      </c>
      <c r="I198" s="1">
        <v>2</v>
      </c>
      <c r="J198" s="1">
        <v>0</v>
      </c>
      <c r="K198" s="1">
        <v>-67.7</v>
      </c>
      <c r="L198" s="1">
        <v>30.5</v>
      </c>
      <c r="M198" s="1">
        <v>1732.3879999999999</v>
      </c>
      <c r="N198" s="1">
        <v>93.1</v>
      </c>
      <c r="O198" s="1">
        <v>8</v>
      </c>
      <c r="P198" s="1">
        <v>10</v>
      </c>
      <c r="Q198" s="1">
        <v>2.99</v>
      </c>
      <c r="R198" s="1">
        <v>68</v>
      </c>
      <c r="S198" s="1">
        <v>110</v>
      </c>
      <c r="T198" s="1">
        <v>147</v>
      </c>
      <c r="U198" s="1">
        <v>1419.9870000000001</v>
      </c>
      <c r="V198" s="1">
        <v>483.81799999999998</v>
      </c>
      <c r="W198" s="1">
        <v>752.85199999999998</v>
      </c>
      <c r="X198" s="1">
        <v>132.18100000000001</v>
      </c>
      <c r="Y198" s="1">
        <v>4.9400000000000004</v>
      </c>
      <c r="Z198" s="1">
        <v>8.0150000000000006</v>
      </c>
      <c r="AA198" s="1">
        <v>21.7</v>
      </c>
      <c r="AB198" s="1">
        <v>290.5</v>
      </c>
      <c r="AC198" s="1">
        <v>12777</v>
      </c>
      <c r="AD198" s="1">
        <v>3322</v>
      </c>
      <c r="AE198" s="1">
        <v>268</v>
      </c>
      <c r="AF198" s="1">
        <v>21</v>
      </c>
      <c r="AG198" s="1">
        <v>21</v>
      </c>
      <c r="AH198" s="1">
        <v>31.7</v>
      </c>
      <c r="AI198" s="1">
        <v>55.8</v>
      </c>
      <c r="AJ198" s="1">
        <v>12.5</v>
      </c>
      <c r="AK198" s="1">
        <v>83.3</v>
      </c>
      <c r="AL198" s="1">
        <v>31.9</v>
      </c>
      <c r="AM198" s="1">
        <v>8</v>
      </c>
      <c r="AN198" s="1">
        <v>0</v>
      </c>
      <c r="AO198" s="1">
        <v>0</v>
      </c>
      <c r="AP198" s="1" t="s">
        <v>266</v>
      </c>
      <c r="AQ198" s="1" t="s">
        <v>267</v>
      </c>
      <c r="AR198" s="1" t="s">
        <v>268</v>
      </c>
    </row>
    <row r="199" spans="1:44" x14ac:dyDescent="0.2">
      <c r="A199" s="1" t="s">
        <v>113</v>
      </c>
      <c r="B199" s="1" t="s">
        <v>265</v>
      </c>
      <c r="C199" s="1">
        <v>-36.200000000000003</v>
      </c>
      <c r="D199" s="1">
        <v>462643</v>
      </c>
      <c r="E199" s="1">
        <v>5974930</v>
      </c>
      <c r="F199" s="1">
        <v>0</v>
      </c>
      <c r="G199" s="1">
        <v>-0.6</v>
      </c>
      <c r="H199" s="1">
        <v>0</v>
      </c>
      <c r="I199" s="1">
        <v>2</v>
      </c>
      <c r="J199" s="1">
        <v>0</v>
      </c>
      <c r="K199" s="1">
        <v>-62</v>
      </c>
      <c r="L199" s="1">
        <v>25.8</v>
      </c>
      <c r="M199" s="1">
        <v>1589.5329999999999</v>
      </c>
      <c r="N199" s="1">
        <v>87.4</v>
      </c>
      <c r="O199" s="1">
        <v>8</v>
      </c>
      <c r="P199" s="1">
        <v>10</v>
      </c>
      <c r="Q199" s="1">
        <v>2.52</v>
      </c>
      <c r="R199" s="1">
        <v>68</v>
      </c>
      <c r="S199" s="1">
        <v>110</v>
      </c>
      <c r="T199" s="1">
        <v>147</v>
      </c>
      <c r="U199" s="1">
        <v>1295.492</v>
      </c>
      <c r="V199" s="1">
        <v>484.33300000000003</v>
      </c>
      <c r="W199" s="1">
        <v>752.85199999999998</v>
      </c>
      <c r="X199" s="1">
        <v>132.18100000000001</v>
      </c>
      <c r="Y199" s="1">
        <v>4.9400000000000004</v>
      </c>
      <c r="Z199" s="1">
        <v>8.0150000000000006</v>
      </c>
      <c r="AA199" s="1">
        <v>21.7</v>
      </c>
      <c r="AB199" s="1">
        <v>290.5</v>
      </c>
      <c r="AC199" s="1">
        <v>12423</v>
      </c>
      <c r="AD199" s="1">
        <v>3261</v>
      </c>
      <c r="AE199" s="1">
        <v>268</v>
      </c>
      <c r="AF199" s="1">
        <v>17</v>
      </c>
      <c r="AG199" s="1">
        <v>17</v>
      </c>
      <c r="AH199" s="1">
        <v>34.5</v>
      </c>
      <c r="AI199" s="1">
        <v>52</v>
      </c>
      <c r="AJ199" s="1">
        <v>13.5</v>
      </c>
      <c r="AK199" s="1">
        <v>82</v>
      </c>
      <c r="AL199" s="1">
        <v>31.9</v>
      </c>
      <c r="AM199" s="1">
        <v>8</v>
      </c>
      <c r="AN199" s="1">
        <v>0</v>
      </c>
      <c r="AO199" s="1">
        <v>0</v>
      </c>
      <c r="AP199" s="1" t="s">
        <v>266</v>
      </c>
      <c r="AQ199" s="1" t="s">
        <v>267</v>
      </c>
      <c r="AR199" s="1" t="s">
        <v>268</v>
      </c>
    </row>
    <row r="200" spans="1:44" x14ac:dyDescent="0.2">
      <c r="A200" s="1" t="s">
        <v>60</v>
      </c>
      <c r="B200" s="1" t="s">
        <v>265</v>
      </c>
      <c r="C200" s="1">
        <v>-37.200000000000003</v>
      </c>
      <c r="D200" s="1">
        <v>465366</v>
      </c>
      <c r="E200" s="1">
        <v>5973962</v>
      </c>
      <c r="F200" s="1">
        <v>0</v>
      </c>
      <c r="G200" s="1">
        <v>-0.7</v>
      </c>
      <c r="H200" s="1">
        <v>0</v>
      </c>
      <c r="I200" s="1">
        <v>2</v>
      </c>
      <c r="J200" s="1">
        <v>0</v>
      </c>
      <c r="K200" s="1">
        <v>-64.8</v>
      </c>
      <c r="L200" s="1">
        <v>27.6</v>
      </c>
      <c r="M200" s="1">
        <v>1643.0840000000001</v>
      </c>
      <c r="N200" s="1">
        <v>90.2</v>
      </c>
      <c r="O200" s="1">
        <v>8</v>
      </c>
      <c r="P200" s="1">
        <v>10</v>
      </c>
      <c r="Q200" s="1">
        <v>2.69</v>
      </c>
      <c r="R200" s="1">
        <v>68</v>
      </c>
      <c r="S200" s="1">
        <v>110</v>
      </c>
      <c r="T200" s="1">
        <v>147</v>
      </c>
      <c r="U200" s="1">
        <v>1357.8340000000001</v>
      </c>
      <c r="V200" s="1">
        <v>458.73500000000001</v>
      </c>
      <c r="W200" s="1">
        <v>752.85199999999998</v>
      </c>
      <c r="X200" s="1">
        <v>132.18100000000001</v>
      </c>
      <c r="Y200" s="1">
        <v>4.9400000000000004</v>
      </c>
      <c r="Z200" s="1">
        <v>8.0150000000000006</v>
      </c>
      <c r="AA200" s="1">
        <v>21.7</v>
      </c>
      <c r="AB200" s="1">
        <v>290.5</v>
      </c>
      <c r="AC200" s="1">
        <v>12598</v>
      </c>
      <c r="AD200" s="1">
        <v>3323</v>
      </c>
      <c r="AE200" s="1">
        <v>268</v>
      </c>
      <c r="AF200" s="1">
        <v>19</v>
      </c>
      <c r="AG200" s="1">
        <v>19</v>
      </c>
      <c r="AH200" s="1">
        <v>33.4</v>
      </c>
      <c r="AI200" s="1">
        <v>53.4</v>
      </c>
      <c r="AJ200" s="1">
        <v>13.2</v>
      </c>
      <c r="AK200" s="1">
        <v>81.900000000000006</v>
      </c>
      <c r="AL200" s="1">
        <v>31.9</v>
      </c>
      <c r="AM200" s="1">
        <v>8</v>
      </c>
      <c r="AN200" s="1">
        <v>0</v>
      </c>
      <c r="AO200" s="1">
        <v>0</v>
      </c>
      <c r="AP200" s="1" t="s">
        <v>266</v>
      </c>
      <c r="AQ200" s="1" t="s">
        <v>267</v>
      </c>
      <c r="AR200" s="1" t="s">
        <v>268</v>
      </c>
    </row>
    <row r="201" spans="1:44" x14ac:dyDescent="0.2">
      <c r="A201" s="1" t="s">
        <v>122</v>
      </c>
      <c r="B201" s="1" t="s">
        <v>265</v>
      </c>
      <c r="C201" s="1">
        <v>-36.299999999999997</v>
      </c>
      <c r="D201" s="1">
        <v>467767.1</v>
      </c>
      <c r="E201" s="1">
        <v>5973480</v>
      </c>
      <c r="F201" s="1">
        <v>0</v>
      </c>
      <c r="G201" s="1">
        <v>-0.7</v>
      </c>
      <c r="H201" s="1">
        <v>0</v>
      </c>
      <c r="I201" s="1">
        <v>2</v>
      </c>
      <c r="J201" s="1">
        <v>0</v>
      </c>
      <c r="K201" s="1">
        <v>-60.9</v>
      </c>
      <c r="L201" s="1">
        <v>24.6</v>
      </c>
      <c r="M201" s="1">
        <v>1561.7639999999999</v>
      </c>
      <c r="N201" s="1">
        <v>86.3</v>
      </c>
      <c r="O201" s="1">
        <v>8</v>
      </c>
      <c r="P201" s="1">
        <v>10</v>
      </c>
      <c r="Q201" s="1">
        <v>2.39</v>
      </c>
      <c r="R201" s="1">
        <v>68</v>
      </c>
      <c r="S201" s="1">
        <v>110</v>
      </c>
      <c r="T201" s="1">
        <v>147</v>
      </c>
      <c r="U201" s="1">
        <v>1295.5429999999999</v>
      </c>
      <c r="V201" s="1">
        <v>546.16</v>
      </c>
      <c r="W201" s="1">
        <v>752.85199999999998</v>
      </c>
      <c r="X201" s="1">
        <v>132.18100000000001</v>
      </c>
      <c r="Y201" s="1">
        <v>4.9400000000000004</v>
      </c>
      <c r="Z201" s="1">
        <v>8.0150000000000006</v>
      </c>
      <c r="AA201" s="1">
        <v>21.7</v>
      </c>
      <c r="AB201" s="1">
        <v>290.5</v>
      </c>
      <c r="AC201" s="1">
        <v>12355</v>
      </c>
      <c r="AD201" s="1">
        <v>3267</v>
      </c>
      <c r="AE201" s="1">
        <v>268</v>
      </c>
      <c r="AF201" s="1">
        <v>15</v>
      </c>
      <c r="AG201" s="1">
        <v>15</v>
      </c>
      <c r="AH201" s="1">
        <v>35.1</v>
      </c>
      <c r="AI201" s="1">
        <v>51.4</v>
      </c>
      <c r="AJ201" s="1">
        <v>13.6</v>
      </c>
      <c r="AK201" s="1">
        <v>81.7</v>
      </c>
      <c r="AL201" s="1">
        <v>31.9</v>
      </c>
      <c r="AM201" s="1">
        <v>8</v>
      </c>
      <c r="AN201" s="1">
        <v>0</v>
      </c>
      <c r="AO201" s="1">
        <v>0</v>
      </c>
      <c r="AP201" s="1" t="s">
        <v>266</v>
      </c>
      <c r="AQ201" s="1" t="s">
        <v>267</v>
      </c>
      <c r="AR201" s="1" t="s">
        <v>268</v>
      </c>
    </row>
    <row r="202" spans="1:44" x14ac:dyDescent="0.2">
      <c r="A202" s="1" t="s">
        <v>180</v>
      </c>
      <c r="B202" s="1" t="s">
        <v>265</v>
      </c>
      <c r="C202" s="1">
        <v>-39.6</v>
      </c>
      <c r="D202" s="1">
        <v>467708.3</v>
      </c>
      <c r="E202" s="1">
        <v>5976896.9000000004</v>
      </c>
      <c r="F202" s="1">
        <v>0</v>
      </c>
      <c r="G202" s="1">
        <v>-0.6</v>
      </c>
      <c r="H202" s="1">
        <v>0</v>
      </c>
      <c r="I202" s="1">
        <v>2</v>
      </c>
      <c r="J202" s="1">
        <v>0</v>
      </c>
      <c r="K202" s="1">
        <v>-68.099999999999994</v>
      </c>
      <c r="L202" s="1">
        <v>28.5</v>
      </c>
      <c r="M202" s="1">
        <v>1756.6869999999999</v>
      </c>
      <c r="N202" s="1">
        <v>93.5</v>
      </c>
      <c r="O202" s="1">
        <v>8</v>
      </c>
      <c r="P202" s="1">
        <v>10.5</v>
      </c>
      <c r="Q202" s="1">
        <v>2.6570999999999998</v>
      </c>
      <c r="R202" s="1">
        <v>72</v>
      </c>
      <c r="S202" s="1">
        <v>112</v>
      </c>
      <c r="T202" s="1">
        <v>146</v>
      </c>
      <c r="U202" s="1">
        <v>1406.133</v>
      </c>
      <c r="V202" s="1">
        <v>486.65800000000002</v>
      </c>
      <c r="W202" s="1">
        <v>752.85199999999998</v>
      </c>
      <c r="X202" s="1">
        <v>132.18100000000001</v>
      </c>
      <c r="Y202" s="1">
        <v>4.9400000000000004</v>
      </c>
      <c r="Z202" s="1">
        <v>8.0150000000000006</v>
      </c>
      <c r="AA202" s="1">
        <v>21.7</v>
      </c>
      <c r="AB202" s="1">
        <v>290.5</v>
      </c>
      <c r="AC202" s="1">
        <v>12957</v>
      </c>
      <c r="AD202" s="1">
        <v>3545</v>
      </c>
      <c r="AE202" s="1">
        <v>268</v>
      </c>
      <c r="AF202" s="1">
        <v>19</v>
      </c>
      <c r="AG202" s="1">
        <v>19</v>
      </c>
      <c r="AH202" s="1">
        <v>32.9</v>
      </c>
      <c r="AI202" s="1">
        <v>52.2</v>
      </c>
      <c r="AJ202" s="1">
        <v>14.9</v>
      </c>
      <c r="AK202" s="1">
        <v>82.3</v>
      </c>
      <c r="AL202" s="1">
        <v>31.9</v>
      </c>
      <c r="AM202" s="1">
        <v>8</v>
      </c>
      <c r="AN202" s="1">
        <v>0</v>
      </c>
      <c r="AO202" s="1">
        <v>0</v>
      </c>
      <c r="AP202" s="1" t="s">
        <v>270</v>
      </c>
      <c r="AQ202" s="1" t="s">
        <v>267</v>
      </c>
      <c r="AR202" s="1" t="s">
        <v>268</v>
      </c>
    </row>
    <row r="203" spans="1:44" x14ac:dyDescent="0.2">
      <c r="A203" s="1" t="s">
        <v>35</v>
      </c>
      <c r="B203" s="1" t="s">
        <v>271</v>
      </c>
      <c r="C203" s="1">
        <v>-38.9</v>
      </c>
      <c r="D203" s="1">
        <v>469144</v>
      </c>
      <c r="E203" s="1">
        <v>5976260</v>
      </c>
      <c r="F203" s="1">
        <v>0</v>
      </c>
      <c r="G203" s="1">
        <v>-0.7</v>
      </c>
      <c r="H203" s="1">
        <v>0</v>
      </c>
      <c r="I203" s="1">
        <v>2</v>
      </c>
      <c r="J203" s="1">
        <v>0</v>
      </c>
      <c r="K203" s="1">
        <v>-65.8</v>
      </c>
      <c r="L203" s="1">
        <v>26.9</v>
      </c>
      <c r="M203" s="1">
        <v>1696.9</v>
      </c>
      <c r="N203" s="1">
        <v>91.2</v>
      </c>
      <c r="O203" s="1">
        <v>8</v>
      </c>
      <c r="P203" s="1">
        <v>10</v>
      </c>
      <c r="Q203" s="1">
        <v>2.62</v>
      </c>
      <c r="R203" s="1">
        <v>68</v>
      </c>
      <c r="S203" s="1">
        <v>110</v>
      </c>
      <c r="T203" s="1">
        <v>147</v>
      </c>
      <c r="U203" s="1">
        <v>1419.962</v>
      </c>
      <c r="V203" s="1">
        <v>490.07600000000002</v>
      </c>
      <c r="W203" s="1">
        <v>752.85199999999998</v>
      </c>
      <c r="X203" s="1">
        <v>132.18100000000001</v>
      </c>
      <c r="Y203" s="1">
        <v>4.9400000000000004</v>
      </c>
      <c r="Z203" s="1">
        <v>8.0150000000000006</v>
      </c>
      <c r="AA203" s="1">
        <v>21.7</v>
      </c>
      <c r="AB203" s="1">
        <v>290.5</v>
      </c>
      <c r="AC203" s="1">
        <v>12659</v>
      </c>
      <c r="AD203" s="1">
        <v>3428</v>
      </c>
      <c r="AE203" s="1">
        <v>268</v>
      </c>
      <c r="AF203" s="1">
        <v>17</v>
      </c>
      <c r="AG203" s="1">
        <v>17</v>
      </c>
      <c r="AH203" s="1">
        <v>32.5</v>
      </c>
      <c r="AI203" s="1">
        <v>54.5</v>
      </c>
      <c r="AJ203" s="1">
        <v>13.1</v>
      </c>
      <c r="AK203" s="1">
        <v>83.5</v>
      </c>
      <c r="AL203" s="1">
        <v>31.9</v>
      </c>
      <c r="AM203" s="1">
        <v>8</v>
      </c>
      <c r="AN203" s="1">
        <v>0</v>
      </c>
      <c r="AO203" s="1">
        <v>0</v>
      </c>
      <c r="AP203" s="1" t="s">
        <v>266</v>
      </c>
      <c r="AQ203" s="1" t="s">
        <v>267</v>
      </c>
      <c r="AR203" s="1" t="s">
        <v>268</v>
      </c>
    </row>
    <row r="204" spans="1:44" x14ac:dyDescent="0.2">
      <c r="A204" s="1" t="s">
        <v>169</v>
      </c>
      <c r="B204" s="1" t="s">
        <v>265</v>
      </c>
      <c r="C204" s="1">
        <v>-43</v>
      </c>
      <c r="D204" s="1">
        <v>448850</v>
      </c>
      <c r="E204" s="1">
        <v>5980700</v>
      </c>
      <c r="F204" s="1">
        <v>0</v>
      </c>
      <c r="G204" s="1">
        <v>-0.6</v>
      </c>
      <c r="H204" s="1">
        <v>0</v>
      </c>
      <c r="I204" s="1">
        <v>2</v>
      </c>
      <c r="J204" s="1">
        <v>0</v>
      </c>
      <c r="K204" s="1">
        <v>-71.7</v>
      </c>
      <c r="L204" s="1">
        <v>28.7</v>
      </c>
      <c r="M204" s="1">
        <v>1869.6769999999999</v>
      </c>
      <c r="N204" s="1">
        <v>97.1</v>
      </c>
      <c r="O204" s="1">
        <v>8</v>
      </c>
      <c r="P204" s="1">
        <v>10.5</v>
      </c>
      <c r="Q204" s="1">
        <v>2.6762000000000001</v>
      </c>
      <c r="R204" s="1">
        <v>72</v>
      </c>
      <c r="S204" s="1">
        <v>112</v>
      </c>
      <c r="T204" s="1">
        <v>146</v>
      </c>
      <c r="U204" s="1">
        <v>1471.3150000000001</v>
      </c>
      <c r="V204" s="1">
        <v>492.42</v>
      </c>
      <c r="W204" s="1">
        <v>752.85199999999998</v>
      </c>
      <c r="X204" s="1">
        <v>132.18100000000001</v>
      </c>
      <c r="Y204" s="1">
        <v>4.9400000000000004</v>
      </c>
      <c r="Z204" s="1">
        <v>8.0150000000000006</v>
      </c>
      <c r="AA204" s="1">
        <v>21.7</v>
      </c>
      <c r="AB204" s="1">
        <v>290.5</v>
      </c>
      <c r="AC204" s="1">
        <v>13191</v>
      </c>
      <c r="AD204" s="1">
        <v>3766</v>
      </c>
      <c r="AE204" s="1">
        <v>268</v>
      </c>
      <c r="AF204" s="1">
        <v>19</v>
      </c>
      <c r="AG204" s="1">
        <v>19</v>
      </c>
      <c r="AH204" s="1">
        <v>32.1</v>
      </c>
      <c r="AI204" s="1">
        <v>53.4</v>
      </c>
      <c r="AJ204" s="1">
        <v>14.5</v>
      </c>
      <c r="AK204" s="1">
        <v>84.2</v>
      </c>
      <c r="AL204" s="1">
        <v>31.9</v>
      </c>
      <c r="AM204" s="1">
        <v>8</v>
      </c>
      <c r="AN204" s="1">
        <v>0</v>
      </c>
      <c r="AO204" s="1">
        <v>0</v>
      </c>
      <c r="AP204" s="1" t="s">
        <v>270</v>
      </c>
      <c r="AQ204" s="1" t="s">
        <v>267</v>
      </c>
      <c r="AR204" s="1" t="s">
        <v>268</v>
      </c>
    </row>
    <row r="205" spans="1:44" x14ac:dyDescent="0.2">
      <c r="A205" s="1" t="s">
        <v>206</v>
      </c>
      <c r="B205" s="1" t="s">
        <v>271</v>
      </c>
      <c r="C205" s="1">
        <v>-44.6</v>
      </c>
      <c r="D205" s="1">
        <v>449855</v>
      </c>
      <c r="E205" s="1">
        <v>5980770</v>
      </c>
      <c r="F205" s="1">
        <v>0</v>
      </c>
      <c r="G205" s="1">
        <v>-0.6</v>
      </c>
      <c r="H205" s="1">
        <v>0</v>
      </c>
      <c r="I205" s="1">
        <v>2</v>
      </c>
      <c r="J205" s="1">
        <v>0</v>
      </c>
      <c r="K205" s="1">
        <v>-74.099999999999994</v>
      </c>
      <c r="L205" s="1">
        <v>29.5</v>
      </c>
      <c r="M205" s="1">
        <v>1977.1980000000001</v>
      </c>
      <c r="N205" s="1">
        <v>99.5</v>
      </c>
      <c r="O205" s="1">
        <v>8</v>
      </c>
      <c r="P205" s="1">
        <v>11</v>
      </c>
      <c r="Q205" s="1">
        <v>2.6273</v>
      </c>
      <c r="R205" s="1">
        <v>70</v>
      </c>
      <c r="S205" s="1">
        <v>117</v>
      </c>
      <c r="T205" s="1">
        <v>149</v>
      </c>
      <c r="U205" s="1">
        <v>1575.509</v>
      </c>
      <c r="V205" s="1">
        <v>507.06599999999997</v>
      </c>
      <c r="W205" s="1">
        <v>752.85199999999998</v>
      </c>
      <c r="X205" s="1">
        <v>132.18100000000001</v>
      </c>
      <c r="Y205" s="1">
        <v>4.9400000000000004</v>
      </c>
      <c r="Z205" s="1">
        <v>8.0150000000000006</v>
      </c>
      <c r="AA205" s="1">
        <v>21.7</v>
      </c>
      <c r="AB205" s="1">
        <v>290.5</v>
      </c>
      <c r="AC205" s="1">
        <v>13512</v>
      </c>
      <c r="AD205" s="1">
        <v>3950</v>
      </c>
      <c r="AE205" s="1">
        <v>268</v>
      </c>
      <c r="AF205" s="1">
        <v>21</v>
      </c>
      <c r="AG205" s="1">
        <v>21</v>
      </c>
      <c r="AH205" s="1">
        <v>30.1</v>
      </c>
      <c r="AI205" s="1">
        <v>53.6</v>
      </c>
      <c r="AJ205" s="1">
        <v>16.399999999999999</v>
      </c>
      <c r="AK205" s="1">
        <v>84.3</v>
      </c>
      <c r="AL205" s="1">
        <v>31.9</v>
      </c>
      <c r="AM205" s="1">
        <v>8</v>
      </c>
      <c r="AN205" s="1">
        <v>0</v>
      </c>
      <c r="AO205" s="1">
        <v>0</v>
      </c>
      <c r="AP205" s="1" t="s">
        <v>270</v>
      </c>
      <c r="AQ205" s="1" t="s">
        <v>267</v>
      </c>
      <c r="AR205" s="1" t="s">
        <v>268</v>
      </c>
    </row>
    <row r="206" spans="1:44" x14ac:dyDescent="0.2">
      <c r="A206" s="1" t="s">
        <v>36</v>
      </c>
      <c r="B206" s="1" t="s">
        <v>271</v>
      </c>
      <c r="C206" s="1">
        <v>-37.9</v>
      </c>
      <c r="D206" s="1">
        <v>458833</v>
      </c>
      <c r="E206" s="1">
        <v>5977710</v>
      </c>
      <c r="F206" s="1">
        <v>0</v>
      </c>
      <c r="G206" s="1">
        <v>-0.6</v>
      </c>
      <c r="H206" s="1">
        <v>0</v>
      </c>
      <c r="I206" s="1">
        <v>2</v>
      </c>
      <c r="J206" s="1">
        <v>0</v>
      </c>
      <c r="K206" s="1">
        <v>-65.2</v>
      </c>
      <c r="L206" s="1">
        <v>27.3</v>
      </c>
      <c r="M206" s="1">
        <v>1707.502</v>
      </c>
      <c r="N206" s="1">
        <v>90.6</v>
      </c>
      <c r="O206" s="1">
        <v>8</v>
      </c>
      <c r="P206" s="1">
        <v>10</v>
      </c>
      <c r="Q206" s="1">
        <v>2.67</v>
      </c>
      <c r="R206" s="1">
        <v>68</v>
      </c>
      <c r="S206" s="1">
        <v>110</v>
      </c>
      <c r="T206" s="1">
        <v>147</v>
      </c>
      <c r="U206" s="1">
        <v>1357.4949999999999</v>
      </c>
      <c r="V206" s="1">
        <v>514.65599999999995</v>
      </c>
      <c r="W206" s="1">
        <v>752.85199999999998</v>
      </c>
      <c r="X206" s="1">
        <v>132.18100000000001</v>
      </c>
      <c r="Y206" s="1">
        <v>4.9400000000000004</v>
      </c>
      <c r="Z206" s="1">
        <v>8.0150000000000006</v>
      </c>
      <c r="AA206" s="1">
        <v>21.7</v>
      </c>
      <c r="AB206" s="1">
        <v>290.5</v>
      </c>
      <c r="AC206" s="1">
        <v>12621</v>
      </c>
      <c r="AD206" s="1">
        <v>3366</v>
      </c>
      <c r="AE206" s="1">
        <v>268</v>
      </c>
      <c r="AF206" s="1">
        <v>17</v>
      </c>
      <c r="AG206" s="1">
        <v>17</v>
      </c>
      <c r="AH206" s="1">
        <v>32</v>
      </c>
      <c r="AI206" s="1">
        <v>55.7</v>
      </c>
      <c r="AJ206" s="1">
        <v>12.3</v>
      </c>
      <c r="AK206" s="1">
        <v>84.4</v>
      </c>
      <c r="AL206" s="1">
        <v>31.9</v>
      </c>
      <c r="AM206" s="1">
        <v>8</v>
      </c>
      <c r="AN206" s="1">
        <v>0</v>
      </c>
      <c r="AO206" s="1">
        <v>0</v>
      </c>
      <c r="AP206" s="1" t="s">
        <v>266</v>
      </c>
      <c r="AQ206" s="1" t="s">
        <v>267</v>
      </c>
      <c r="AR206" s="1" t="s">
        <v>268</v>
      </c>
    </row>
    <row r="207" spans="1:44" x14ac:dyDescent="0.2">
      <c r="A207" s="1" t="s">
        <v>65</v>
      </c>
      <c r="B207" s="1" t="s">
        <v>265</v>
      </c>
      <c r="C207" s="1">
        <v>-35.6</v>
      </c>
      <c r="D207" s="1">
        <v>461834.6</v>
      </c>
      <c r="E207" s="1">
        <v>5976226.5999999996</v>
      </c>
      <c r="F207" s="1">
        <v>0</v>
      </c>
      <c r="G207" s="1">
        <v>-0.6</v>
      </c>
      <c r="H207" s="1">
        <v>0</v>
      </c>
      <c r="I207" s="1">
        <v>2</v>
      </c>
      <c r="J207" s="1">
        <v>0</v>
      </c>
      <c r="K207" s="1">
        <v>-64.599999999999994</v>
      </c>
      <c r="L207" s="1">
        <v>29</v>
      </c>
      <c r="M207" s="1">
        <v>1634.9469999999999</v>
      </c>
      <c r="N207" s="1">
        <v>90</v>
      </c>
      <c r="O207" s="1">
        <v>8</v>
      </c>
      <c r="P207" s="1">
        <v>10</v>
      </c>
      <c r="Q207" s="1">
        <v>2.84</v>
      </c>
      <c r="R207" s="1">
        <v>68</v>
      </c>
      <c r="S207" s="1">
        <v>110</v>
      </c>
      <c r="T207" s="1">
        <v>147</v>
      </c>
      <c r="U207" s="1">
        <v>1357.8589999999999</v>
      </c>
      <c r="V207" s="1">
        <v>546.70000000000005</v>
      </c>
      <c r="W207" s="1">
        <v>752.85199999999998</v>
      </c>
      <c r="X207" s="1">
        <v>132.18100000000001</v>
      </c>
      <c r="Y207" s="1">
        <v>4.9400000000000004</v>
      </c>
      <c r="Z207" s="1">
        <v>8.0150000000000006</v>
      </c>
      <c r="AA207" s="1">
        <v>21.7</v>
      </c>
      <c r="AB207" s="1">
        <v>290.5</v>
      </c>
      <c r="AC207" s="1">
        <v>12585</v>
      </c>
      <c r="AD207" s="1">
        <v>3223</v>
      </c>
      <c r="AE207" s="1">
        <v>268</v>
      </c>
      <c r="AF207" s="1">
        <v>19</v>
      </c>
      <c r="AG207" s="1">
        <v>19</v>
      </c>
      <c r="AH207" s="1">
        <v>33.6</v>
      </c>
      <c r="AI207" s="1">
        <v>53.1</v>
      </c>
      <c r="AJ207" s="1">
        <v>13.3</v>
      </c>
      <c r="AK207" s="1">
        <v>81.8</v>
      </c>
      <c r="AL207" s="1">
        <v>31.9</v>
      </c>
      <c r="AM207" s="1">
        <v>8</v>
      </c>
      <c r="AN207" s="1">
        <v>0</v>
      </c>
      <c r="AO207" s="1">
        <v>0</v>
      </c>
      <c r="AP207" s="1" t="s">
        <v>266</v>
      </c>
      <c r="AQ207" s="1" t="s">
        <v>267</v>
      </c>
      <c r="AR207" s="1" t="s">
        <v>268</v>
      </c>
    </row>
    <row r="208" spans="1:44" x14ac:dyDescent="0.2">
      <c r="A208" s="1" t="s">
        <v>56</v>
      </c>
      <c r="B208" s="1" t="s">
        <v>265</v>
      </c>
      <c r="C208" s="1">
        <v>-37.299999999999997</v>
      </c>
      <c r="D208" s="1">
        <v>464330.2</v>
      </c>
      <c r="E208" s="1">
        <v>5975626</v>
      </c>
      <c r="F208" s="1">
        <v>0</v>
      </c>
      <c r="G208" s="1">
        <v>-0.6</v>
      </c>
      <c r="H208" s="1">
        <v>0</v>
      </c>
      <c r="I208" s="1">
        <v>2</v>
      </c>
      <c r="J208" s="1">
        <v>0</v>
      </c>
      <c r="K208" s="1">
        <v>-64.400000000000006</v>
      </c>
      <c r="L208" s="1">
        <v>27.1</v>
      </c>
      <c r="M208" s="1">
        <v>1662.0709999999999</v>
      </c>
      <c r="N208" s="1">
        <v>89.8</v>
      </c>
      <c r="O208" s="1">
        <v>8</v>
      </c>
      <c r="P208" s="1">
        <v>10</v>
      </c>
      <c r="Q208" s="1">
        <v>2.65</v>
      </c>
      <c r="R208" s="1">
        <v>68</v>
      </c>
      <c r="S208" s="1">
        <v>110</v>
      </c>
      <c r="T208" s="1">
        <v>147</v>
      </c>
      <c r="U208" s="1">
        <v>1357.683</v>
      </c>
      <c r="V208" s="1">
        <v>427.75900000000001</v>
      </c>
      <c r="W208" s="1">
        <v>752.85199999999998</v>
      </c>
      <c r="X208" s="1">
        <v>132.18100000000001</v>
      </c>
      <c r="Y208" s="1">
        <v>4.9400000000000004</v>
      </c>
      <c r="Z208" s="1">
        <v>8.0150000000000006</v>
      </c>
      <c r="AA208" s="1">
        <v>21.7</v>
      </c>
      <c r="AB208" s="1">
        <v>290.5</v>
      </c>
      <c r="AC208" s="1">
        <v>12572</v>
      </c>
      <c r="AD208" s="1">
        <v>3329</v>
      </c>
      <c r="AE208" s="1">
        <v>268</v>
      </c>
      <c r="AF208" s="1">
        <v>17</v>
      </c>
      <c r="AG208" s="1">
        <v>17</v>
      </c>
      <c r="AH208" s="1">
        <v>33</v>
      </c>
      <c r="AI208" s="1">
        <v>54.1</v>
      </c>
      <c r="AJ208" s="1">
        <v>12.9</v>
      </c>
      <c r="AK208" s="1">
        <v>83.1</v>
      </c>
      <c r="AL208" s="1">
        <v>31.9</v>
      </c>
      <c r="AM208" s="1">
        <v>8</v>
      </c>
      <c r="AN208" s="1">
        <v>0</v>
      </c>
      <c r="AO208" s="1">
        <v>0</v>
      </c>
      <c r="AP208" s="1" t="s">
        <v>266</v>
      </c>
      <c r="AQ208" s="1" t="s">
        <v>267</v>
      </c>
      <c r="AR208" s="1" t="s">
        <v>268</v>
      </c>
    </row>
    <row r="209" spans="1:44" x14ac:dyDescent="0.2">
      <c r="A209" s="1" t="s">
        <v>73</v>
      </c>
      <c r="B209" s="1" t="s">
        <v>265</v>
      </c>
      <c r="C209" s="1">
        <v>-36.200000000000003</v>
      </c>
      <c r="D209" s="1">
        <v>466870.1</v>
      </c>
      <c r="E209" s="1">
        <v>5974920</v>
      </c>
      <c r="F209" s="1">
        <v>0</v>
      </c>
      <c r="G209" s="1">
        <v>-0.6</v>
      </c>
      <c r="H209" s="1">
        <v>0</v>
      </c>
      <c r="I209" s="1">
        <v>2</v>
      </c>
      <c r="J209" s="1">
        <v>0</v>
      </c>
      <c r="K209" s="1">
        <v>-63.7</v>
      </c>
      <c r="L209" s="1">
        <v>27.5</v>
      </c>
      <c r="M209" s="1">
        <v>1628.86</v>
      </c>
      <c r="N209" s="1">
        <v>89.1</v>
      </c>
      <c r="O209" s="1">
        <v>8</v>
      </c>
      <c r="P209" s="1">
        <v>10</v>
      </c>
      <c r="Q209" s="1">
        <v>2.69</v>
      </c>
      <c r="R209" s="1">
        <v>68</v>
      </c>
      <c r="S209" s="1">
        <v>110</v>
      </c>
      <c r="T209" s="1">
        <v>147</v>
      </c>
      <c r="U209" s="1">
        <v>1295.5170000000001</v>
      </c>
      <c r="V209" s="1">
        <v>583.43100000000004</v>
      </c>
      <c r="W209" s="1">
        <v>752.85199999999998</v>
      </c>
      <c r="X209" s="1">
        <v>132.18100000000001</v>
      </c>
      <c r="Y209" s="1">
        <v>4.9400000000000004</v>
      </c>
      <c r="Z209" s="1">
        <v>8.0150000000000006</v>
      </c>
      <c r="AA209" s="1">
        <v>21.7</v>
      </c>
      <c r="AB209" s="1">
        <v>290.5</v>
      </c>
      <c r="AC209" s="1">
        <v>12529</v>
      </c>
      <c r="AD209" s="1">
        <v>3261</v>
      </c>
      <c r="AE209" s="1">
        <v>268</v>
      </c>
      <c r="AF209" s="1">
        <v>19</v>
      </c>
      <c r="AG209" s="1">
        <v>19</v>
      </c>
      <c r="AH209" s="1">
        <v>33.6</v>
      </c>
      <c r="AI209" s="1">
        <v>53.3</v>
      </c>
      <c r="AJ209" s="1">
        <v>13.1</v>
      </c>
      <c r="AK209" s="1">
        <v>82.3</v>
      </c>
      <c r="AL209" s="1">
        <v>31.9</v>
      </c>
      <c r="AM209" s="1">
        <v>8</v>
      </c>
      <c r="AN209" s="1">
        <v>0</v>
      </c>
      <c r="AO209" s="1">
        <v>0</v>
      </c>
      <c r="AP209" s="1" t="s">
        <v>266</v>
      </c>
      <c r="AQ209" s="1" t="s">
        <v>267</v>
      </c>
      <c r="AR209" s="1" t="s">
        <v>268</v>
      </c>
    </row>
    <row r="210" spans="1:44" x14ac:dyDescent="0.2">
      <c r="A210" s="1" t="s">
        <v>86</v>
      </c>
      <c r="B210" s="1" t="s">
        <v>265</v>
      </c>
      <c r="C210" s="1">
        <v>-36.799999999999997</v>
      </c>
      <c r="D210" s="1">
        <v>461034.5</v>
      </c>
      <c r="E210" s="1">
        <v>5977526.5999999996</v>
      </c>
      <c r="F210" s="1">
        <v>0</v>
      </c>
      <c r="G210" s="1">
        <v>-0.6</v>
      </c>
      <c r="H210" s="1">
        <v>0</v>
      </c>
      <c r="I210" s="1">
        <v>2</v>
      </c>
      <c r="J210" s="1">
        <v>0</v>
      </c>
      <c r="K210" s="1">
        <v>-62.9</v>
      </c>
      <c r="L210" s="1">
        <v>26.1</v>
      </c>
      <c r="M210" s="1">
        <v>1625.8789999999999</v>
      </c>
      <c r="N210" s="1">
        <v>88.3</v>
      </c>
      <c r="O210" s="1">
        <v>8</v>
      </c>
      <c r="P210" s="1">
        <v>10</v>
      </c>
      <c r="Q210" s="1">
        <v>2.5499999999999998</v>
      </c>
      <c r="R210" s="1">
        <v>68</v>
      </c>
      <c r="S210" s="1">
        <v>110</v>
      </c>
      <c r="T210" s="1">
        <v>147</v>
      </c>
      <c r="U210" s="1">
        <v>1295.4169999999999</v>
      </c>
      <c r="V210" s="1">
        <v>483.85599999999999</v>
      </c>
      <c r="W210" s="1">
        <v>752.85199999999998</v>
      </c>
      <c r="X210" s="1">
        <v>132.18100000000001</v>
      </c>
      <c r="Y210" s="1">
        <v>4.9400000000000004</v>
      </c>
      <c r="Z210" s="1">
        <v>8.0150000000000006</v>
      </c>
      <c r="AA210" s="1">
        <v>21.7</v>
      </c>
      <c r="AB210" s="1">
        <v>290.5</v>
      </c>
      <c r="AC210" s="1">
        <v>12479</v>
      </c>
      <c r="AD210" s="1">
        <v>3298</v>
      </c>
      <c r="AE210" s="1">
        <v>268</v>
      </c>
      <c r="AF210" s="1">
        <v>17</v>
      </c>
      <c r="AG210" s="1">
        <v>17</v>
      </c>
      <c r="AH210" s="1">
        <v>33.700000000000003</v>
      </c>
      <c r="AI210" s="1">
        <v>53.2</v>
      </c>
      <c r="AJ210" s="1">
        <v>13.1</v>
      </c>
      <c r="AK210" s="1">
        <v>82.9</v>
      </c>
      <c r="AL210" s="1">
        <v>31.9</v>
      </c>
      <c r="AM210" s="1">
        <v>8</v>
      </c>
      <c r="AN210" s="1">
        <v>0</v>
      </c>
      <c r="AO210" s="1">
        <v>0</v>
      </c>
      <c r="AP210" s="1" t="s">
        <v>266</v>
      </c>
      <c r="AQ210" s="1" t="s">
        <v>267</v>
      </c>
      <c r="AR210" s="1" t="s">
        <v>268</v>
      </c>
    </row>
    <row r="211" spans="1:44" x14ac:dyDescent="0.2">
      <c r="A211" s="1" t="s">
        <v>28</v>
      </c>
      <c r="B211" s="1" t="s">
        <v>265</v>
      </c>
      <c r="C211" s="1">
        <v>-37</v>
      </c>
      <c r="D211" s="1">
        <v>463381</v>
      </c>
      <c r="E211" s="1">
        <v>5977131</v>
      </c>
      <c r="F211" s="1">
        <v>0</v>
      </c>
      <c r="G211" s="1">
        <v>-0.6</v>
      </c>
      <c r="H211" s="1">
        <v>0</v>
      </c>
      <c r="I211" s="1">
        <v>2</v>
      </c>
      <c r="J211" s="1">
        <v>0</v>
      </c>
      <c r="K211" s="1">
        <v>-67.400000000000006</v>
      </c>
      <c r="L211" s="1">
        <v>30.4</v>
      </c>
      <c r="M211" s="1">
        <v>1703.9659999999999</v>
      </c>
      <c r="N211" s="1">
        <v>92.8</v>
      </c>
      <c r="O211" s="1">
        <v>8</v>
      </c>
      <c r="P211" s="1">
        <v>10</v>
      </c>
      <c r="Q211" s="1">
        <v>2.98</v>
      </c>
      <c r="R211" s="1">
        <v>68</v>
      </c>
      <c r="S211" s="1">
        <v>110</v>
      </c>
      <c r="T211" s="1">
        <v>147</v>
      </c>
      <c r="U211" s="1">
        <v>1420.1379999999999</v>
      </c>
      <c r="V211" s="1">
        <v>490.06299999999999</v>
      </c>
      <c r="W211" s="1">
        <v>752.85199999999998</v>
      </c>
      <c r="X211" s="1">
        <v>132.18100000000001</v>
      </c>
      <c r="Y211" s="1">
        <v>4.9400000000000004</v>
      </c>
      <c r="Z211" s="1">
        <v>8.0150000000000006</v>
      </c>
      <c r="AA211" s="1">
        <v>21.7</v>
      </c>
      <c r="AB211" s="1">
        <v>290.5</v>
      </c>
      <c r="AC211" s="1">
        <v>12759</v>
      </c>
      <c r="AD211" s="1">
        <v>3310</v>
      </c>
      <c r="AE211" s="1">
        <v>268</v>
      </c>
      <c r="AF211" s="1">
        <v>21</v>
      </c>
      <c r="AG211" s="1">
        <v>21</v>
      </c>
      <c r="AH211" s="1">
        <v>32.1</v>
      </c>
      <c r="AI211" s="1">
        <v>55.3</v>
      </c>
      <c r="AJ211" s="1">
        <v>12.5</v>
      </c>
      <c r="AK211" s="1">
        <v>82.3</v>
      </c>
      <c r="AL211" s="1">
        <v>31.9</v>
      </c>
      <c r="AM211" s="1">
        <v>8</v>
      </c>
      <c r="AN211" s="1">
        <v>0</v>
      </c>
      <c r="AO211" s="1">
        <v>0</v>
      </c>
      <c r="AP211" s="1" t="s">
        <v>266</v>
      </c>
      <c r="AQ211" s="1" t="s">
        <v>267</v>
      </c>
      <c r="AR211" s="1" t="s">
        <v>268</v>
      </c>
    </row>
    <row r="212" spans="1:44" x14ac:dyDescent="0.2">
      <c r="A212" s="1" t="s">
        <v>105</v>
      </c>
      <c r="B212" s="1" t="s">
        <v>265</v>
      </c>
      <c r="C212" s="1">
        <v>-36.200000000000003</v>
      </c>
      <c r="D212" s="1">
        <v>465971</v>
      </c>
      <c r="E212" s="1">
        <v>5976363.7999999998</v>
      </c>
      <c r="F212" s="1">
        <v>0</v>
      </c>
      <c r="G212" s="1">
        <v>-0.7</v>
      </c>
      <c r="H212" s="1">
        <v>0</v>
      </c>
      <c r="I212" s="1">
        <v>2</v>
      </c>
      <c r="J212" s="1">
        <v>0</v>
      </c>
      <c r="K212" s="1">
        <v>-62.3</v>
      </c>
      <c r="L212" s="1">
        <v>26.1</v>
      </c>
      <c r="M212" s="1">
        <v>1589.6659999999999</v>
      </c>
      <c r="N212" s="1">
        <v>87.7</v>
      </c>
      <c r="O212" s="1">
        <v>8</v>
      </c>
      <c r="P212" s="1">
        <v>10</v>
      </c>
      <c r="Q212" s="1">
        <v>2.54</v>
      </c>
      <c r="R212" s="1">
        <v>68</v>
      </c>
      <c r="S212" s="1">
        <v>110</v>
      </c>
      <c r="T212" s="1">
        <v>147</v>
      </c>
      <c r="U212" s="1">
        <v>1295.5550000000001</v>
      </c>
      <c r="V212" s="1">
        <v>484.346</v>
      </c>
      <c r="W212" s="1">
        <v>752.85199999999998</v>
      </c>
      <c r="X212" s="1">
        <v>132.18100000000001</v>
      </c>
      <c r="Y212" s="1">
        <v>4.9400000000000004</v>
      </c>
      <c r="Z212" s="1">
        <v>8.0150000000000006</v>
      </c>
      <c r="AA212" s="1">
        <v>21.7</v>
      </c>
      <c r="AB212" s="1">
        <v>290.5</v>
      </c>
      <c r="AC212" s="1">
        <v>12442</v>
      </c>
      <c r="AD212" s="1">
        <v>3261</v>
      </c>
      <c r="AE212" s="1">
        <v>268</v>
      </c>
      <c r="AF212" s="1">
        <v>17</v>
      </c>
      <c r="AG212" s="1">
        <v>17</v>
      </c>
      <c r="AH212" s="1">
        <v>34.5</v>
      </c>
      <c r="AI212" s="1">
        <v>52.2</v>
      </c>
      <c r="AJ212" s="1">
        <v>13.3</v>
      </c>
      <c r="AK212" s="1">
        <v>81.7</v>
      </c>
      <c r="AL212" s="1">
        <v>31.9</v>
      </c>
      <c r="AM212" s="1">
        <v>8</v>
      </c>
      <c r="AN212" s="1">
        <v>0</v>
      </c>
      <c r="AO212" s="1">
        <v>0</v>
      </c>
      <c r="AP212" s="1" t="s">
        <v>266</v>
      </c>
      <c r="AQ212" s="1" t="s">
        <v>267</v>
      </c>
      <c r="AR212" s="1" t="s">
        <v>268</v>
      </c>
    </row>
    <row r="213" spans="1:44" x14ac:dyDescent="0.2">
      <c r="A213" s="1" t="s">
        <v>197</v>
      </c>
      <c r="B213" s="1" t="s">
        <v>271</v>
      </c>
      <c r="C213" s="1">
        <v>-47.4</v>
      </c>
      <c r="D213" s="1">
        <v>459183.4</v>
      </c>
      <c r="E213" s="1">
        <v>5978868.5</v>
      </c>
      <c r="F213" s="1">
        <v>0</v>
      </c>
      <c r="G213" s="1">
        <v>-0.6</v>
      </c>
      <c r="H213" s="1">
        <v>0</v>
      </c>
      <c r="I213" s="1">
        <v>2</v>
      </c>
      <c r="J213" s="1">
        <v>0</v>
      </c>
      <c r="K213" s="1">
        <v>-78.900000000000006</v>
      </c>
      <c r="L213" s="1">
        <v>31.5</v>
      </c>
      <c r="M213" s="1">
        <v>2194.145</v>
      </c>
      <c r="N213" s="1">
        <v>104.3</v>
      </c>
      <c r="O213" s="1">
        <v>8</v>
      </c>
      <c r="P213" s="1">
        <v>11</v>
      </c>
      <c r="Q213" s="1">
        <v>2.8090999999999999</v>
      </c>
      <c r="R213" s="1">
        <v>70</v>
      </c>
      <c r="S213" s="1">
        <v>117</v>
      </c>
      <c r="T213" s="1">
        <v>149</v>
      </c>
      <c r="U213" s="1">
        <v>1643.4549999999999</v>
      </c>
      <c r="V213" s="1">
        <v>403.17899999999997</v>
      </c>
      <c r="W213" s="1">
        <v>752.85199999999998</v>
      </c>
      <c r="X213" s="1">
        <v>132.18100000000001</v>
      </c>
      <c r="Y213" s="1">
        <v>4.9400000000000004</v>
      </c>
      <c r="Z213" s="1">
        <v>8.0150000000000006</v>
      </c>
      <c r="AA213" s="1">
        <v>21.7</v>
      </c>
      <c r="AB213" s="1">
        <v>290.5</v>
      </c>
      <c r="AC213" s="1">
        <v>13839</v>
      </c>
      <c r="AD213" s="1">
        <v>4141</v>
      </c>
      <c r="AE213" s="1">
        <v>268</v>
      </c>
      <c r="AF213" s="1">
        <v>23</v>
      </c>
      <c r="AG213" s="1">
        <v>23</v>
      </c>
      <c r="AH213" s="1">
        <v>27.2</v>
      </c>
      <c r="AI213" s="1">
        <v>58</v>
      </c>
      <c r="AJ213" s="1">
        <v>14.8</v>
      </c>
      <c r="AK213" s="1">
        <v>88.2</v>
      </c>
      <c r="AL213" s="1">
        <v>31.9</v>
      </c>
      <c r="AM213" s="1">
        <v>8</v>
      </c>
      <c r="AN213" s="1">
        <v>0</v>
      </c>
      <c r="AO213" s="1">
        <v>0</v>
      </c>
      <c r="AP213" s="1" t="s">
        <v>270</v>
      </c>
      <c r="AQ213" s="1" t="s">
        <v>267</v>
      </c>
      <c r="AR213" s="1" t="s">
        <v>268</v>
      </c>
    </row>
    <row r="214" spans="1:44" x14ac:dyDescent="0.2">
      <c r="A214" s="1" t="s">
        <v>202</v>
      </c>
      <c r="B214" s="1" t="s">
        <v>271</v>
      </c>
      <c r="C214" s="1">
        <v>-45</v>
      </c>
      <c r="D214" s="1">
        <v>460226</v>
      </c>
      <c r="E214" s="1">
        <v>5978827</v>
      </c>
      <c r="F214" s="1">
        <v>0</v>
      </c>
      <c r="G214" s="1">
        <v>-0.7</v>
      </c>
      <c r="H214" s="1">
        <v>0</v>
      </c>
      <c r="I214" s="1">
        <v>2</v>
      </c>
      <c r="J214" s="1">
        <v>0</v>
      </c>
      <c r="K214" s="1">
        <v>-75.5</v>
      </c>
      <c r="L214" s="1">
        <v>30.5</v>
      </c>
      <c r="M214" s="1">
        <v>2033.2090000000001</v>
      </c>
      <c r="N214" s="1">
        <v>100.9</v>
      </c>
      <c r="O214" s="1">
        <v>8</v>
      </c>
      <c r="P214" s="1">
        <v>11</v>
      </c>
      <c r="Q214" s="1">
        <v>2.7090999999999998</v>
      </c>
      <c r="R214" s="1">
        <v>70</v>
      </c>
      <c r="S214" s="1">
        <v>117</v>
      </c>
      <c r="T214" s="1">
        <v>149</v>
      </c>
      <c r="U214" s="1">
        <v>1575.2950000000001</v>
      </c>
      <c r="V214" s="1">
        <v>472.45800000000003</v>
      </c>
      <c r="W214" s="1">
        <v>752.85199999999998</v>
      </c>
      <c r="X214" s="1">
        <v>132.18100000000001</v>
      </c>
      <c r="Y214" s="1">
        <v>4.9400000000000004</v>
      </c>
      <c r="Z214" s="1">
        <v>8.0150000000000006</v>
      </c>
      <c r="AA214" s="1">
        <v>21.7</v>
      </c>
      <c r="AB214" s="1">
        <v>290.5</v>
      </c>
      <c r="AC214" s="1">
        <v>13607</v>
      </c>
      <c r="AD214" s="1">
        <v>3977</v>
      </c>
      <c r="AE214" s="1">
        <v>268</v>
      </c>
      <c r="AF214" s="1">
        <v>21</v>
      </c>
      <c r="AG214" s="1">
        <v>21</v>
      </c>
      <c r="AH214" s="1">
        <v>29.9</v>
      </c>
      <c r="AI214" s="1">
        <v>53.9</v>
      </c>
      <c r="AJ214" s="1">
        <v>16.100000000000001</v>
      </c>
      <c r="AK214" s="1">
        <v>85.4</v>
      </c>
      <c r="AL214" s="1">
        <v>31.9</v>
      </c>
      <c r="AM214" s="1">
        <v>8</v>
      </c>
      <c r="AN214" s="1">
        <v>0</v>
      </c>
      <c r="AO214" s="1">
        <v>0</v>
      </c>
      <c r="AP214" s="1" t="s">
        <v>270</v>
      </c>
      <c r="AQ214" s="1" t="s">
        <v>267</v>
      </c>
      <c r="AR214" s="1" t="s">
        <v>268</v>
      </c>
    </row>
    <row r="215" spans="1:44" x14ac:dyDescent="0.2">
      <c r="A215" s="1" t="s">
        <v>170</v>
      </c>
      <c r="B215" s="1" t="s">
        <v>271</v>
      </c>
      <c r="C215" s="1">
        <v>-41.3</v>
      </c>
      <c r="D215" s="1">
        <v>461327.3</v>
      </c>
      <c r="E215" s="1">
        <v>5978735</v>
      </c>
      <c r="F215" s="1">
        <v>0</v>
      </c>
      <c r="G215" s="1">
        <v>-0.7</v>
      </c>
      <c r="H215" s="1">
        <v>0</v>
      </c>
      <c r="I215" s="1">
        <v>2</v>
      </c>
      <c r="J215" s="1">
        <v>0</v>
      </c>
      <c r="K215" s="1">
        <v>-70.5</v>
      </c>
      <c r="L215" s="1">
        <v>29.2</v>
      </c>
      <c r="M215" s="1">
        <v>1833.9169999999999</v>
      </c>
      <c r="N215" s="1">
        <v>95.9</v>
      </c>
      <c r="O215" s="1">
        <v>8</v>
      </c>
      <c r="P215" s="1">
        <v>10.5</v>
      </c>
      <c r="Q215" s="1">
        <v>2.7143000000000002</v>
      </c>
      <c r="R215" s="1">
        <v>72</v>
      </c>
      <c r="S215" s="1">
        <v>112</v>
      </c>
      <c r="T215" s="1">
        <v>146</v>
      </c>
      <c r="U215" s="1">
        <v>1471.415</v>
      </c>
      <c r="V215" s="1">
        <v>427.012</v>
      </c>
      <c r="W215" s="1">
        <v>752.85199999999998</v>
      </c>
      <c r="X215" s="1">
        <v>132.18100000000001</v>
      </c>
      <c r="Y215" s="1">
        <v>4.9400000000000004</v>
      </c>
      <c r="Z215" s="1">
        <v>8.0150000000000006</v>
      </c>
      <c r="AA215" s="1">
        <v>21.7</v>
      </c>
      <c r="AB215" s="1">
        <v>290.5</v>
      </c>
      <c r="AC215" s="1">
        <v>13113</v>
      </c>
      <c r="AD215" s="1">
        <v>3655</v>
      </c>
      <c r="AE215" s="1">
        <v>268</v>
      </c>
      <c r="AF215" s="1">
        <v>19</v>
      </c>
      <c r="AG215" s="1">
        <v>19</v>
      </c>
      <c r="AH215" s="1">
        <v>32.4</v>
      </c>
      <c r="AI215" s="1">
        <v>52.9</v>
      </c>
      <c r="AJ215" s="1">
        <v>14.7</v>
      </c>
      <c r="AK215" s="1">
        <v>83.7</v>
      </c>
      <c r="AL215" s="1">
        <v>31.9</v>
      </c>
      <c r="AM215" s="1">
        <v>8</v>
      </c>
      <c r="AN215" s="1">
        <v>0</v>
      </c>
      <c r="AO215" s="1">
        <v>0</v>
      </c>
      <c r="AP215" s="1" t="s">
        <v>270</v>
      </c>
      <c r="AQ215" s="1" t="s">
        <v>267</v>
      </c>
      <c r="AR215" s="1" t="s">
        <v>268</v>
      </c>
    </row>
    <row r="216" spans="1:44" x14ac:dyDescent="0.2">
      <c r="A216" s="1" t="s">
        <v>167</v>
      </c>
      <c r="B216" s="1" t="s">
        <v>271</v>
      </c>
      <c r="C216" s="1">
        <v>-41.1</v>
      </c>
      <c r="D216" s="1">
        <v>462445</v>
      </c>
      <c r="E216" s="1">
        <v>5978650</v>
      </c>
      <c r="F216" s="1">
        <v>0</v>
      </c>
      <c r="G216" s="1">
        <v>-0.6</v>
      </c>
      <c r="H216" s="1">
        <v>0</v>
      </c>
      <c r="I216" s="1">
        <v>2</v>
      </c>
      <c r="J216" s="1">
        <v>0</v>
      </c>
      <c r="K216" s="1">
        <v>-72.7</v>
      </c>
      <c r="L216" s="1">
        <v>31.6</v>
      </c>
      <c r="M216" s="1">
        <v>1895.3779999999999</v>
      </c>
      <c r="N216" s="1">
        <v>98.1</v>
      </c>
      <c r="O216" s="1">
        <v>8</v>
      </c>
      <c r="P216" s="1">
        <v>10.5</v>
      </c>
      <c r="Q216" s="1">
        <v>2.9523999999999999</v>
      </c>
      <c r="R216" s="1">
        <v>72</v>
      </c>
      <c r="S216" s="1">
        <v>112</v>
      </c>
      <c r="T216" s="1">
        <v>146</v>
      </c>
      <c r="U216" s="1">
        <v>1471.2639999999999</v>
      </c>
      <c r="V216" s="1">
        <v>460.45100000000002</v>
      </c>
      <c r="W216" s="1">
        <v>752.85199999999998</v>
      </c>
      <c r="X216" s="1">
        <v>132.18100000000001</v>
      </c>
      <c r="Y216" s="1">
        <v>4.9400000000000004</v>
      </c>
      <c r="Z216" s="1">
        <v>8.0150000000000006</v>
      </c>
      <c r="AA216" s="1">
        <v>21.7</v>
      </c>
      <c r="AB216" s="1">
        <v>290.5</v>
      </c>
      <c r="AC216" s="1">
        <v>13257</v>
      </c>
      <c r="AD216" s="1">
        <v>3642</v>
      </c>
      <c r="AE216" s="1">
        <v>268</v>
      </c>
      <c r="AF216" s="1">
        <v>23</v>
      </c>
      <c r="AG216" s="1">
        <v>23</v>
      </c>
      <c r="AH216" s="1">
        <v>31.8</v>
      </c>
      <c r="AI216" s="1">
        <v>53.7</v>
      </c>
      <c r="AJ216" s="1">
        <v>14.5</v>
      </c>
      <c r="AK216" s="1">
        <v>84.4</v>
      </c>
      <c r="AL216" s="1">
        <v>31.9</v>
      </c>
      <c r="AM216" s="1">
        <v>8</v>
      </c>
      <c r="AN216" s="1">
        <v>0</v>
      </c>
      <c r="AO216" s="1">
        <v>0</v>
      </c>
      <c r="AP216" s="1" t="s">
        <v>270</v>
      </c>
      <c r="AQ216" s="1" t="s">
        <v>267</v>
      </c>
      <c r="AR216" s="1" t="s">
        <v>268</v>
      </c>
    </row>
    <row r="217" spans="1:44" x14ac:dyDescent="0.2">
      <c r="A217" s="1" t="s">
        <v>198</v>
      </c>
      <c r="B217" s="1" t="s">
        <v>271</v>
      </c>
      <c r="C217" s="1">
        <v>-44.1</v>
      </c>
      <c r="D217" s="1">
        <v>463471</v>
      </c>
      <c r="E217" s="1">
        <v>5978680</v>
      </c>
      <c r="F217" s="1">
        <v>0</v>
      </c>
      <c r="G217" s="1">
        <v>-0.6</v>
      </c>
      <c r="H217" s="1">
        <v>0</v>
      </c>
      <c r="I217" s="1">
        <v>2</v>
      </c>
      <c r="J217" s="1">
        <v>0</v>
      </c>
      <c r="K217" s="1">
        <v>-79</v>
      </c>
      <c r="L217" s="1">
        <v>34.9</v>
      </c>
      <c r="M217" s="1">
        <v>2143.424</v>
      </c>
      <c r="N217" s="1">
        <v>104.4</v>
      </c>
      <c r="O217" s="1">
        <v>8</v>
      </c>
      <c r="P217" s="1">
        <v>11</v>
      </c>
      <c r="Q217" s="1">
        <v>3.1181999999999999</v>
      </c>
      <c r="R217" s="1">
        <v>70</v>
      </c>
      <c r="S217" s="1">
        <v>117</v>
      </c>
      <c r="T217" s="1">
        <v>149</v>
      </c>
      <c r="U217" s="1">
        <v>1643.732</v>
      </c>
      <c r="V217" s="1">
        <v>369.22500000000002</v>
      </c>
      <c r="W217" s="1">
        <v>752.85199999999998</v>
      </c>
      <c r="X217" s="1">
        <v>132.18100000000001</v>
      </c>
      <c r="Y217" s="1">
        <v>4.9400000000000004</v>
      </c>
      <c r="Z217" s="1">
        <v>8.0150000000000006</v>
      </c>
      <c r="AA217" s="1">
        <v>21.7</v>
      </c>
      <c r="AB217" s="1">
        <v>290.5</v>
      </c>
      <c r="AC217" s="1">
        <v>13847</v>
      </c>
      <c r="AD217" s="1">
        <v>3915</v>
      </c>
      <c r="AE217" s="1">
        <v>268</v>
      </c>
      <c r="AF217" s="1">
        <v>24.6</v>
      </c>
      <c r="AG217" s="1">
        <v>24.6</v>
      </c>
      <c r="AH217" s="1">
        <v>28</v>
      </c>
      <c r="AI217" s="1">
        <v>56.9</v>
      </c>
      <c r="AJ217" s="1">
        <v>15.2</v>
      </c>
      <c r="AK217" s="1">
        <v>86.4</v>
      </c>
      <c r="AL217" s="1">
        <v>31.9</v>
      </c>
      <c r="AM217" s="1">
        <v>8</v>
      </c>
      <c r="AN217" s="1">
        <v>0</v>
      </c>
      <c r="AO217" s="1">
        <v>0</v>
      </c>
      <c r="AP217" s="1" t="s">
        <v>270</v>
      </c>
      <c r="AQ217" s="1" t="s">
        <v>267</v>
      </c>
      <c r="AR217" s="1" t="s">
        <v>268</v>
      </c>
    </row>
    <row r="218" spans="1:44" x14ac:dyDescent="0.2">
      <c r="A218" s="1" t="s">
        <v>207</v>
      </c>
      <c r="B218" s="1" t="s">
        <v>271</v>
      </c>
      <c r="C218" s="1">
        <v>-41.4</v>
      </c>
      <c r="D218" s="1">
        <v>464883</v>
      </c>
      <c r="E218" s="1">
        <v>5978110</v>
      </c>
      <c r="F218" s="1">
        <v>0</v>
      </c>
      <c r="G218" s="1">
        <v>-0.7</v>
      </c>
      <c r="H218" s="1">
        <v>0</v>
      </c>
      <c r="I218" s="1">
        <v>2</v>
      </c>
      <c r="J218" s="1">
        <v>0</v>
      </c>
      <c r="K218" s="1">
        <v>-74.3</v>
      </c>
      <c r="L218" s="1">
        <v>32.9</v>
      </c>
      <c r="M218" s="1">
        <v>1953.7429999999999</v>
      </c>
      <c r="N218" s="1">
        <v>99.7</v>
      </c>
      <c r="O218" s="1">
        <v>8</v>
      </c>
      <c r="P218" s="1">
        <v>11</v>
      </c>
      <c r="Q218" s="1">
        <v>2.9272999999999998</v>
      </c>
      <c r="R218" s="1">
        <v>70</v>
      </c>
      <c r="S218" s="1">
        <v>117</v>
      </c>
      <c r="T218" s="1">
        <v>149</v>
      </c>
      <c r="U218" s="1">
        <v>1575.6969999999999</v>
      </c>
      <c r="V218" s="1">
        <v>438.46600000000001</v>
      </c>
      <c r="W218" s="1">
        <v>752.85199999999998</v>
      </c>
      <c r="X218" s="1">
        <v>132.18100000000001</v>
      </c>
      <c r="Y218" s="1">
        <v>4.9400000000000004</v>
      </c>
      <c r="Z218" s="1">
        <v>8.0150000000000006</v>
      </c>
      <c r="AA218" s="1">
        <v>21.7</v>
      </c>
      <c r="AB218" s="1">
        <v>290.5</v>
      </c>
      <c r="AC218" s="1">
        <v>13526</v>
      </c>
      <c r="AD218" s="1">
        <v>3731</v>
      </c>
      <c r="AE218" s="1">
        <v>268</v>
      </c>
      <c r="AF218" s="1">
        <v>23</v>
      </c>
      <c r="AG218" s="1">
        <v>23</v>
      </c>
      <c r="AH218" s="1">
        <v>29.7</v>
      </c>
      <c r="AI218" s="1">
        <v>54</v>
      </c>
      <c r="AJ218" s="1">
        <v>16.3</v>
      </c>
      <c r="AK218" s="1">
        <v>83</v>
      </c>
      <c r="AL218" s="1">
        <v>31.9</v>
      </c>
      <c r="AM218" s="1">
        <v>8</v>
      </c>
      <c r="AN218" s="1">
        <v>0</v>
      </c>
      <c r="AO218" s="1">
        <v>0</v>
      </c>
      <c r="AP218" s="1" t="s">
        <v>270</v>
      </c>
      <c r="AQ218" s="1" t="s">
        <v>267</v>
      </c>
      <c r="AR218" s="1" t="s">
        <v>268</v>
      </c>
    </row>
    <row r="219" spans="1:44" x14ac:dyDescent="0.2">
      <c r="A219" s="1" t="s">
        <v>171</v>
      </c>
      <c r="B219" s="1" t="s">
        <v>271</v>
      </c>
      <c r="C219" s="1">
        <v>-40.700000000000003</v>
      </c>
      <c r="D219" s="1">
        <v>466255</v>
      </c>
      <c r="E219" s="1">
        <v>5977572</v>
      </c>
      <c r="F219" s="1">
        <v>0</v>
      </c>
      <c r="G219" s="1">
        <v>-0.6</v>
      </c>
      <c r="H219" s="1">
        <v>0</v>
      </c>
      <c r="I219" s="1">
        <v>2</v>
      </c>
      <c r="J219" s="1">
        <v>0</v>
      </c>
      <c r="K219" s="1">
        <v>-70.8</v>
      </c>
      <c r="L219" s="1">
        <v>30.1</v>
      </c>
      <c r="M219" s="1">
        <v>1838.4380000000001</v>
      </c>
      <c r="N219" s="1">
        <v>96.2</v>
      </c>
      <c r="O219" s="1">
        <v>8</v>
      </c>
      <c r="P219" s="1">
        <v>10.5</v>
      </c>
      <c r="Q219" s="1">
        <v>2.8094999999999999</v>
      </c>
      <c r="R219" s="1">
        <v>72</v>
      </c>
      <c r="S219" s="1">
        <v>112</v>
      </c>
      <c r="T219" s="1">
        <v>146</v>
      </c>
      <c r="U219" s="1">
        <v>1471.415</v>
      </c>
      <c r="V219" s="1">
        <v>459.99799999999999</v>
      </c>
      <c r="W219" s="1">
        <v>752.85199999999998</v>
      </c>
      <c r="X219" s="1">
        <v>132.18100000000001</v>
      </c>
      <c r="Y219" s="1">
        <v>4.9400000000000004</v>
      </c>
      <c r="Z219" s="1">
        <v>8.0150000000000006</v>
      </c>
      <c r="AA219" s="1">
        <v>21.7</v>
      </c>
      <c r="AB219" s="1">
        <v>290.5</v>
      </c>
      <c r="AC219" s="1">
        <v>13133</v>
      </c>
      <c r="AD219" s="1">
        <v>3616</v>
      </c>
      <c r="AE219" s="1">
        <v>268</v>
      </c>
      <c r="AF219" s="1">
        <v>21</v>
      </c>
      <c r="AG219" s="1">
        <v>21</v>
      </c>
      <c r="AH219" s="1">
        <v>32.299999999999997</v>
      </c>
      <c r="AI219" s="1">
        <v>53</v>
      </c>
      <c r="AJ219" s="1">
        <v>14.7</v>
      </c>
      <c r="AK219" s="1">
        <v>83.6</v>
      </c>
      <c r="AL219" s="1">
        <v>31.9</v>
      </c>
      <c r="AM219" s="1">
        <v>8</v>
      </c>
      <c r="AN219" s="1">
        <v>0</v>
      </c>
      <c r="AO219" s="1">
        <v>0</v>
      </c>
      <c r="AP219" s="1" t="s">
        <v>270</v>
      </c>
      <c r="AQ219" s="1" t="s">
        <v>267</v>
      </c>
      <c r="AR219" s="1" t="s">
        <v>268</v>
      </c>
    </row>
    <row r="221" spans="1:44" x14ac:dyDescent="0.2">
      <c r="A221" s="1" t="s">
        <v>273</v>
      </c>
      <c r="B221" s="1" t="s">
        <v>274</v>
      </c>
    </row>
    <row r="225" spans="1:20" x14ac:dyDescent="0.2">
      <c r="A225" s="1" t="s">
        <v>275</v>
      </c>
    </row>
    <row r="226" spans="1:20" x14ac:dyDescent="0.2">
      <c r="A226" s="1" t="s">
        <v>276</v>
      </c>
      <c r="B226" s="1" t="s">
        <v>277</v>
      </c>
      <c r="C226" s="1" t="s">
        <v>278</v>
      </c>
      <c r="D226" s="1" t="s">
        <v>279</v>
      </c>
      <c r="E226" s="1" t="s">
        <v>280</v>
      </c>
      <c r="F226" s="1" t="s">
        <v>281</v>
      </c>
      <c r="G226" s="1" t="s">
        <v>282</v>
      </c>
      <c r="H226" s="1" t="s">
        <v>283</v>
      </c>
      <c r="I226" s="1" t="s">
        <v>284</v>
      </c>
      <c r="J226" s="1" t="s">
        <v>285</v>
      </c>
      <c r="K226" s="1" t="s">
        <v>286</v>
      </c>
      <c r="L226" s="1" t="s">
        <v>287</v>
      </c>
      <c r="M226" s="1" t="s">
        <v>288</v>
      </c>
      <c r="N226" s="1" t="s">
        <v>289</v>
      </c>
      <c r="O226" s="1" t="s">
        <v>290</v>
      </c>
      <c r="P226" s="1" t="s">
        <v>291</v>
      </c>
      <c r="Q226" s="1" t="s">
        <v>292</v>
      </c>
      <c r="R226" s="1" t="s">
        <v>293</v>
      </c>
      <c r="S226" s="1" t="s">
        <v>294</v>
      </c>
      <c r="T226" s="1" t="s">
        <v>295</v>
      </c>
    </row>
    <row r="227" spans="1:20" x14ac:dyDescent="0.2">
      <c r="A227" s="1" t="s">
        <v>296</v>
      </c>
      <c r="B227" s="1" t="s">
        <v>296</v>
      </c>
      <c r="C227" s="1" t="s">
        <v>296</v>
      </c>
      <c r="D227" s="1" t="s">
        <v>296</v>
      </c>
      <c r="E227" s="1" t="s">
        <v>296</v>
      </c>
      <c r="F227" s="1" t="s">
        <v>296</v>
      </c>
      <c r="G227" s="1" t="s">
        <v>296</v>
      </c>
      <c r="H227" s="1" t="s">
        <v>296</v>
      </c>
      <c r="I227" s="1" t="s">
        <v>296</v>
      </c>
      <c r="J227" s="1" t="s">
        <v>296</v>
      </c>
      <c r="K227" s="1" t="s">
        <v>296</v>
      </c>
      <c r="L227" s="1" t="s">
        <v>296</v>
      </c>
      <c r="M227" s="1" t="s">
        <v>296</v>
      </c>
      <c r="N227" s="1" t="s">
        <v>297</v>
      </c>
      <c r="O227" s="1" t="s">
        <v>296</v>
      </c>
      <c r="P227" s="1" t="s">
        <v>296</v>
      </c>
      <c r="Q227" s="1" t="s">
        <v>296</v>
      </c>
      <c r="R227" s="1" t="s">
        <v>296</v>
      </c>
      <c r="S227" s="1" t="s">
        <v>296</v>
      </c>
      <c r="T227" s="1" t="s">
        <v>296</v>
      </c>
    </row>
    <row r="228" spans="1:20" x14ac:dyDescent="0.2">
      <c r="A228" s="1" t="s">
        <v>341</v>
      </c>
      <c r="B228" s="1" t="s">
        <v>299</v>
      </c>
      <c r="G228" s="1" t="s">
        <v>300</v>
      </c>
      <c r="H228" s="1" t="s">
        <v>355</v>
      </c>
      <c r="I228" s="1" t="s">
        <v>467</v>
      </c>
      <c r="K228" s="1" t="s">
        <v>356</v>
      </c>
      <c r="N228" s="1">
        <v>93214</v>
      </c>
      <c r="O228" s="1" t="s">
        <v>442</v>
      </c>
    </row>
    <row r="229" spans="1:20" x14ac:dyDescent="0.2">
      <c r="A229" s="1" t="s">
        <v>399</v>
      </c>
      <c r="B229" s="1" t="s">
        <v>299</v>
      </c>
      <c r="C229" s="1" t="s">
        <v>400</v>
      </c>
      <c r="D229" s="1" t="s">
        <v>314</v>
      </c>
      <c r="E229" s="1" t="s">
        <v>401</v>
      </c>
      <c r="G229" s="1" t="s">
        <v>402</v>
      </c>
      <c r="H229" s="1" t="s">
        <v>403</v>
      </c>
      <c r="I229" s="1" t="s">
        <v>468</v>
      </c>
      <c r="K229" s="1" t="s">
        <v>404</v>
      </c>
      <c r="L229" s="1" t="s">
        <v>405</v>
      </c>
      <c r="N229" s="1">
        <v>72704</v>
      </c>
      <c r="O229" s="1" t="s">
        <v>469</v>
      </c>
    </row>
    <row r="230" spans="1:20" x14ac:dyDescent="0.2">
      <c r="A230" s="1" t="s">
        <v>298</v>
      </c>
      <c r="B230" s="1" t="s">
        <v>299</v>
      </c>
      <c r="G230" s="1" t="s">
        <v>300</v>
      </c>
      <c r="H230" s="1" t="s">
        <v>301</v>
      </c>
      <c r="I230" s="1" t="s">
        <v>406</v>
      </c>
      <c r="K230" s="1" t="s">
        <v>302</v>
      </c>
      <c r="N230" s="1">
        <v>65739</v>
      </c>
      <c r="O230" s="1" t="s">
        <v>303</v>
      </c>
    </row>
    <row r="231" spans="1:20" x14ac:dyDescent="0.2">
      <c r="A231" s="1" t="s">
        <v>304</v>
      </c>
      <c r="B231" s="1" t="s">
        <v>299</v>
      </c>
      <c r="G231" s="1" t="s">
        <v>300</v>
      </c>
      <c r="H231" s="1" t="s">
        <v>407</v>
      </c>
      <c r="I231" s="1" t="s">
        <v>408</v>
      </c>
      <c r="K231" s="1" t="s">
        <v>409</v>
      </c>
      <c r="N231" s="1">
        <v>95044</v>
      </c>
      <c r="O231" s="1" t="s">
        <v>410</v>
      </c>
    </row>
    <row r="232" spans="1:20" x14ac:dyDescent="0.2">
      <c r="A232" s="1" t="s">
        <v>305</v>
      </c>
      <c r="B232" s="1" t="s">
        <v>299</v>
      </c>
      <c r="G232" s="1" t="s">
        <v>300</v>
      </c>
      <c r="I232" s="1" t="s">
        <v>411</v>
      </c>
      <c r="K232" s="1" t="s">
        <v>306</v>
      </c>
      <c r="N232" s="1">
        <v>87029</v>
      </c>
      <c r="O232" s="1" t="s">
        <v>307</v>
      </c>
    </row>
    <row r="233" spans="1:20" x14ac:dyDescent="0.2">
      <c r="A233" s="1" t="s">
        <v>304</v>
      </c>
      <c r="B233" s="1" t="s">
        <v>299</v>
      </c>
      <c r="G233" s="1" t="s">
        <v>300</v>
      </c>
      <c r="H233" s="1" t="s">
        <v>308</v>
      </c>
      <c r="I233" s="1" t="s">
        <v>412</v>
      </c>
      <c r="K233" s="1" t="s">
        <v>309</v>
      </c>
      <c r="N233" s="1">
        <v>203025</v>
      </c>
      <c r="O233" s="1" t="s">
        <v>310</v>
      </c>
    </row>
    <row r="234" spans="1:20" x14ac:dyDescent="0.2">
      <c r="A234" s="1" t="s">
        <v>311</v>
      </c>
      <c r="B234" s="1" t="s">
        <v>312</v>
      </c>
      <c r="C234" s="1" t="s">
        <v>313</v>
      </c>
      <c r="D234" s="1" t="s">
        <v>314</v>
      </c>
      <c r="E234" s="1" t="s">
        <v>315</v>
      </c>
      <c r="G234" s="1" t="s">
        <v>316</v>
      </c>
      <c r="H234" s="1" t="s">
        <v>317</v>
      </c>
      <c r="I234" s="1" t="s">
        <v>413</v>
      </c>
      <c r="K234" s="1" t="s">
        <v>318</v>
      </c>
      <c r="L234" s="1" t="s">
        <v>319</v>
      </c>
      <c r="N234" s="1">
        <v>8625664</v>
      </c>
      <c r="O234" s="1" t="s">
        <v>320</v>
      </c>
    </row>
    <row r="235" spans="1:20" x14ac:dyDescent="0.2">
      <c r="A235" s="1" t="s">
        <v>298</v>
      </c>
      <c r="B235" s="1" t="s">
        <v>299</v>
      </c>
      <c r="G235" s="1" t="s">
        <v>300</v>
      </c>
      <c r="H235" s="1" t="s">
        <v>301</v>
      </c>
      <c r="I235" s="1" t="s">
        <v>414</v>
      </c>
      <c r="K235" s="1" t="s">
        <v>302</v>
      </c>
      <c r="N235" s="1">
        <v>24369</v>
      </c>
      <c r="O235" s="1" t="s">
        <v>321</v>
      </c>
      <c r="Q235" s="1" t="s">
        <v>322</v>
      </c>
      <c r="R235" s="1" t="s">
        <v>323</v>
      </c>
      <c r="S235" s="1" t="s">
        <v>324</v>
      </c>
      <c r="T235" s="1" t="s">
        <v>325</v>
      </c>
    </row>
    <row r="236" spans="1:20" x14ac:dyDescent="0.2">
      <c r="A236" s="1" t="s">
        <v>326</v>
      </c>
      <c r="B236" s="1" t="s">
        <v>299</v>
      </c>
      <c r="G236" s="1" t="s">
        <v>300</v>
      </c>
      <c r="H236" s="1" t="s">
        <v>327</v>
      </c>
      <c r="I236" s="1" t="s">
        <v>415</v>
      </c>
      <c r="K236" s="1" t="s">
        <v>328</v>
      </c>
      <c r="N236" s="1">
        <v>42254</v>
      </c>
      <c r="O236" s="1" t="s">
        <v>329</v>
      </c>
      <c r="Q236" s="1" t="s">
        <v>330</v>
      </c>
      <c r="R236" s="1" t="s">
        <v>331</v>
      </c>
      <c r="S236" s="1" t="s">
        <v>278</v>
      </c>
      <c r="T236" s="1" t="s">
        <v>332</v>
      </c>
    </row>
    <row r="237" spans="1:20" x14ac:dyDescent="0.2">
      <c r="A237" s="1" t="s">
        <v>326</v>
      </c>
      <c r="B237" s="1" t="s">
        <v>299</v>
      </c>
      <c r="G237" s="1" t="s">
        <v>300</v>
      </c>
      <c r="I237" s="1" t="s">
        <v>416</v>
      </c>
      <c r="K237" s="1" t="s">
        <v>328</v>
      </c>
      <c r="N237" s="1">
        <v>22177</v>
      </c>
      <c r="O237" s="1" t="s">
        <v>333</v>
      </c>
      <c r="Q237" s="1" t="s">
        <v>334</v>
      </c>
      <c r="R237" s="1" t="s">
        <v>335</v>
      </c>
      <c r="S237" s="1" t="s">
        <v>324</v>
      </c>
      <c r="T237" s="1" t="s">
        <v>336</v>
      </c>
    </row>
    <row r="238" spans="1:20" x14ac:dyDescent="0.2">
      <c r="I238" s="1" t="s">
        <v>417</v>
      </c>
      <c r="N238" s="1">
        <v>23409</v>
      </c>
      <c r="O238" s="1" t="s">
        <v>337</v>
      </c>
      <c r="Q238" s="1" t="s">
        <v>338</v>
      </c>
      <c r="R238" s="1" t="s">
        <v>339</v>
      </c>
      <c r="S238" s="1" t="s">
        <v>278</v>
      </c>
      <c r="T238" s="1" t="s">
        <v>340</v>
      </c>
    </row>
    <row r="239" spans="1:20" x14ac:dyDescent="0.2">
      <c r="A239" s="1" t="s">
        <v>341</v>
      </c>
      <c r="B239" s="1" t="s">
        <v>299</v>
      </c>
      <c r="G239" s="1" t="s">
        <v>300</v>
      </c>
      <c r="I239" s="1" t="s">
        <v>418</v>
      </c>
      <c r="K239" s="1" t="s">
        <v>342</v>
      </c>
      <c r="N239" s="1">
        <v>37068</v>
      </c>
      <c r="O239" s="1" t="s">
        <v>343</v>
      </c>
      <c r="Q239" s="1" t="s">
        <v>344</v>
      </c>
      <c r="R239" s="1" t="s">
        <v>345</v>
      </c>
      <c r="S239" s="1" t="s">
        <v>278</v>
      </c>
      <c r="T239" s="1" t="s">
        <v>346</v>
      </c>
    </row>
    <row r="240" spans="1:20" x14ac:dyDescent="0.2">
      <c r="A240" s="1" t="s">
        <v>326</v>
      </c>
      <c r="B240" s="1" t="s">
        <v>299</v>
      </c>
      <c r="G240" s="1" t="s">
        <v>300</v>
      </c>
      <c r="I240" s="1" t="s">
        <v>419</v>
      </c>
      <c r="K240" s="1" t="s">
        <v>328</v>
      </c>
      <c r="N240" s="1">
        <v>81252</v>
      </c>
      <c r="O240" s="1" t="s">
        <v>347</v>
      </c>
      <c r="Q240" s="1" t="s">
        <v>348</v>
      </c>
      <c r="R240" s="1" t="s">
        <v>349</v>
      </c>
      <c r="S240" s="1" t="s">
        <v>278</v>
      </c>
      <c r="T240" s="1" t="s">
        <v>350</v>
      </c>
    </row>
    <row r="241" spans="1:20" x14ac:dyDescent="0.2">
      <c r="I241" s="1" t="s">
        <v>420</v>
      </c>
      <c r="N241" s="1">
        <v>35472</v>
      </c>
      <c r="O241" s="1" t="s">
        <v>351</v>
      </c>
      <c r="Q241" s="1" t="s">
        <v>352</v>
      </c>
      <c r="R241" s="1" t="s">
        <v>353</v>
      </c>
      <c r="S241" s="1" t="s">
        <v>278</v>
      </c>
      <c r="T241" s="1" t="s">
        <v>354</v>
      </c>
    </row>
    <row r="242" spans="1:20" x14ac:dyDescent="0.2">
      <c r="I242" s="1" t="s">
        <v>421</v>
      </c>
      <c r="N242" s="1">
        <v>1396150</v>
      </c>
      <c r="O242" s="1" t="s">
        <v>357</v>
      </c>
    </row>
    <row r="243" spans="1:20" x14ac:dyDescent="0.2">
      <c r="I243" s="1" t="s">
        <v>422</v>
      </c>
      <c r="K243" s="1" t="s">
        <v>358</v>
      </c>
      <c r="N243" s="1">
        <v>8815305</v>
      </c>
      <c r="O243" s="1" t="s">
        <v>359</v>
      </c>
    </row>
    <row r="244" spans="1:20" x14ac:dyDescent="0.2">
      <c r="I244" s="1" t="s">
        <v>423</v>
      </c>
      <c r="K244" s="1" t="s">
        <v>360</v>
      </c>
      <c r="N244" s="1">
        <v>8110612</v>
      </c>
      <c r="O244" s="1" t="s">
        <v>361</v>
      </c>
    </row>
    <row r="245" spans="1:20" x14ac:dyDescent="0.2">
      <c r="A245" s="1" t="s">
        <v>362</v>
      </c>
      <c r="G245" s="1" t="s">
        <v>363</v>
      </c>
      <c r="I245" s="1" t="s">
        <v>424</v>
      </c>
      <c r="K245" s="1" t="s">
        <v>364</v>
      </c>
      <c r="N245" s="1">
        <v>34735</v>
      </c>
      <c r="O245" s="1" t="s">
        <v>365</v>
      </c>
    </row>
    <row r="246" spans="1:20" x14ac:dyDescent="0.2">
      <c r="A246" s="1" t="s">
        <v>326</v>
      </c>
      <c r="B246" s="1" t="s">
        <v>299</v>
      </c>
      <c r="G246" s="1" t="s">
        <v>300</v>
      </c>
      <c r="I246" s="1" t="s">
        <v>470</v>
      </c>
      <c r="K246" s="1" t="s">
        <v>328</v>
      </c>
      <c r="N246" s="1">
        <v>59643</v>
      </c>
      <c r="O246" s="1" t="s">
        <v>446</v>
      </c>
    </row>
    <row r="247" spans="1:20" x14ac:dyDescent="0.2">
      <c r="A247" s="1" t="s">
        <v>399</v>
      </c>
      <c r="B247" s="1" t="s">
        <v>312</v>
      </c>
      <c r="F247" s="1" t="s">
        <v>425</v>
      </c>
      <c r="G247" s="1" t="s">
        <v>366</v>
      </c>
      <c r="H247" s="1" t="s">
        <v>426</v>
      </c>
      <c r="I247" s="1" t="s">
        <v>471</v>
      </c>
      <c r="K247" s="1" t="s">
        <v>427</v>
      </c>
      <c r="L247" s="1" t="s">
        <v>367</v>
      </c>
      <c r="N247" s="1">
        <v>155648</v>
      </c>
      <c r="O247" s="1" t="s">
        <v>448</v>
      </c>
    </row>
  </sheetData>
  <pageMargins left="0.75" right="0.75" top="1" bottom="1" header="0.5" footer="0.5"/>
  <pageSetup orientation="portrait" horizontalDpi="300" verticalDpi="300"/>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9F11B-99FC-4F42-9B71-28FDE5908268}">
  <sheetPr codeName="Sheet2"/>
  <dimension ref="B2:F27"/>
  <sheetViews>
    <sheetView workbookViewId="0">
      <selection activeCell="F27" sqref="F27"/>
    </sheetView>
  </sheetViews>
  <sheetFormatPr defaultRowHeight="12.75" x14ac:dyDescent="0.2"/>
  <cols>
    <col min="6" max="6" width="9.140625" style="4"/>
  </cols>
  <sheetData>
    <row r="2" spans="2:5" x14ac:dyDescent="0.2">
      <c r="B2" t="s">
        <v>3</v>
      </c>
      <c r="C2" t="s">
        <v>0</v>
      </c>
    </row>
    <row r="3" spans="2:5" x14ac:dyDescent="0.2">
      <c r="B3" t="s">
        <v>4</v>
      </c>
      <c r="C3" t="s">
        <v>5</v>
      </c>
    </row>
    <row r="4" spans="2:5" x14ac:dyDescent="0.2">
      <c r="B4" t="s">
        <v>7</v>
      </c>
      <c r="C4" t="s">
        <v>6</v>
      </c>
    </row>
    <row r="5" spans="2:5" x14ac:dyDescent="0.2">
      <c r="B5" t="s">
        <v>8</v>
      </c>
      <c r="C5" t="s">
        <v>9</v>
      </c>
    </row>
    <row r="6" spans="2:5" x14ac:dyDescent="0.2">
      <c r="B6" t="s">
        <v>10</v>
      </c>
      <c r="C6" t="s">
        <v>11</v>
      </c>
    </row>
    <row r="7" spans="2:5" x14ac:dyDescent="0.2">
      <c r="B7" t="s">
        <v>12</v>
      </c>
      <c r="C7" t="s">
        <v>13</v>
      </c>
    </row>
    <row r="8" spans="2:5" x14ac:dyDescent="0.2">
      <c r="B8" t="s">
        <v>14</v>
      </c>
      <c r="C8" t="s">
        <v>15</v>
      </c>
    </row>
    <row r="10" spans="2:5" x14ac:dyDescent="0.2">
      <c r="C10" t="s">
        <v>1</v>
      </c>
      <c r="D10" t="s">
        <v>2</v>
      </c>
      <c r="E10" t="s">
        <v>381</v>
      </c>
    </row>
    <row r="11" spans="2:5" x14ac:dyDescent="0.2">
      <c r="B11" t="s">
        <v>3</v>
      </c>
      <c r="C11">
        <v>-6.5</v>
      </c>
      <c r="D11">
        <v>-17.928999999999998</v>
      </c>
      <c r="E11">
        <v>-174.99340000000001</v>
      </c>
    </row>
    <row r="12" spans="2:5" x14ac:dyDescent="0.2">
      <c r="B12" t="s">
        <v>4</v>
      </c>
      <c r="C12">
        <v>-6.5</v>
      </c>
      <c r="D12">
        <v>-20.786000000000001</v>
      </c>
      <c r="E12">
        <v>-174.996500069999</v>
      </c>
    </row>
    <row r="13" spans="2:5" x14ac:dyDescent="0.2">
      <c r="B13" t="s">
        <v>7</v>
      </c>
      <c r="C13">
        <v>-6.5</v>
      </c>
      <c r="D13">
        <v>-23.643000000000001</v>
      </c>
      <c r="E13">
        <v>-174.99854167881901</v>
      </c>
    </row>
    <row r="14" spans="2:5" x14ac:dyDescent="0.2">
      <c r="B14" t="s">
        <v>8</v>
      </c>
      <c r="C14">
        <v>-6.5</v>
      </c>
      <c r="D14">
        <v>-23.643000000000001</v>
      </c>
      <c r="E14">
        <v>-174.99854167881901</v>
      </c>
    </row>
    <row r="15" spans="2:5" x14ac:dyDescent="0.2">
      <c r="B15" t="s">
        <v>10</v>
      </c>
      <c r="C15">
        <v>-6.5</v>
      </c>
      <c r="D15">
        <v>-17.928999999999998</v>
      </c>
      <c r="E15">
        <v>-174.99340000000001</v>
      </c>
    </row>
    <row r="16" spans="2:5" x14ac:dyDescent="0.2">
      <c r="B16" t="s">
        <v>12</v>
      </c>
      <c r="C16">
        <v>-6.5</v>
      </c>
      <c r="D16">
        <v>-17.928999999999998</v>
      </c>
      <c r="E16">
        <v>-174.99340000000001</v>
      </c>
    </row>
    <row r="17" spans="2:5" x14ac:dyDescent="0.2">
      <c r="B17" t="s">
        <v>14</v>
      </c>
      <c r="C17">
        <v>-6.5</v>
      </c>
      <c r="D17">
        <v>-17.928999999999998</v>
      </c>
      <c r="E17">
        <v>-174.99340000000001</v>
      </c>
    </row>
    <row r="27" spans="2:5" s="4" customFormat="1" x14ac:dyDescent="0.2"/>
  </sheetData>
  <pageMargins left="0.7" right="0.7" top="0.75" bottom="0.75" header="0.3" footer="0.3"/>
  <headerFooter>
    <oddHeader>&amp;R&amp;"Arial Black"&amp;10&amp;K4099DA INTERNAL&amp;1#_x000D_</oddHeader>
  </headerFooter>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F5364-E463-4FC0-A94C-AD25786F5170}">
  <sheetPr codeName="Sheet3"/>
  <dimension ref="A1:U219"/>
  <sheetViews>
    <sheetView zoomScale="85" zoomScaleNormal="85" workbookViewId="0">
      <pane ySplit="18" topLeftCell="A19" activePane="bottomLeft" state="frozen"/>
      <selection pane="bottomLeft" activeCell="O28" sqref="O28"/>
    </sheetView>
  </sheetViews>
  <sheetFormatPr defaultRowHeight="12.75" x14ac:dyDescent="0.2"/>
  <cols>
    <col min="1" max="1" width="2.42578125" style="11" bestFit="1" customWidth="1"/>
    <col min="2" max="2" width="9" style="11" bestFit="1" customWidth="1"/>
    <col min="3" max="3" width="12" style="11" bestFit="1" customWidth="1"/>
    <col min="4" max="4" width="13.5703125" style="11" bestFit="1" customWidth="1"/>
    <col min="5" max="5" width="8.5703125" style="11" bestFit="1" customWidth="1"/>
    <col min="6" max="6" width="8.28515625" style="11" bestFit="1" customWidth="1"/>
    <col min="7" max="7" width="8.28515625" style="11" customWidth="1"/>
    <col min="8" max="8" width="9.28515625" style="11" bestFit="1" customWidth="1"/>
    <col min="9" max="9" width="7" style="11" bestFit="1" customWidth="1"/>
    <col min="10" max="10" width="11.42578125" style="11" bestFit="1" customWidth="1"/>
    <col min="11" max="11" width="7.85546875" style="11" bestFit="1" customWidth="1"/>
    <col min="12" max="13" width="14.5703125" style="11" bestFit="1" customWidth="1"/>
    <col min="14" max="14" width="13.7109375" style="11" bestFit="1" customWidth="1"/>
    <col min="15" max="15" width="10.7109375" style="4" customWidth="1"/>
    <col min="16" max="16" width="12.140625" style="11" customWidth="1"/>
    <col min="17" max="17" width="13.140625" style="11" customWidth="1"/>
    <col min="18" max="16384" width="9.140625" style="11"/>
  </cols>
  <sheetData>
    <row r="1" spans="2:19" x14ac:dyDescent="0.2">
      <c r="B1" s="11" t="s">
        <v>371</v>
      </c>
      <c r="C1" s="11">
        <v>25.4</v>
      </c>
      <c r="D1" s="11" t="s">
        <v>372</v>
      </c>
    </row>
    <row r="2" spans="2:19" x14ac:dyDescent="0.2">
      <c r="Q2" s="14" t="s">
        <v>383</v>
      </c>
      <c r="R2" s="15">
        <f ca="1">COUNTIF($R$20:$R$219,$Q2)</f>
        <v>0</v>
      </c>
    </row>
    <row r="3" spans="2:19" x14ac:dyDescent="0.2">
      <c r="B3" s="11" t="s">
        <v>449</v>
      </c>
      <c r="C3" s="11" t="s">
        <v>473</v>
      </c>
      <c r="N3" s="16">
        <f ca="1">MIN(N$20:N$219)</f>
        <v>17.029000000000003</v>
      </c>
      <c r="O3" s="22">
        <f ca="1">MIN(O$20:O$219)</f>
        <v>5.313999999999993</v>
      </c>
      <c r="P3" s="16">
        <f>MIN(P$20:P$219)</f>
        <v>11.885948890643892</v>
      </c>
      <c r="Q3" s="17" t="s">
        <v>2</v>
      </c>
      <c r="R3" s="18">
        <f ca="1">COUNTIF($R$20:$R$219,$Q3)</f>
        <v>0</v>
      </c>
      <c r="S3" s="11">
        <f ca="1">MIN(S$20:S$219)</f>
        <v>8.899999999999995</v>
      </c>
    </row>
    <row r="4" spans="2:19" x14ac:dyDescent="0.2">
      <c r="N4" s="16">
        <f ca="1">MAX(N$20:N$219)</f>
        <v>28.4</v>
      </c>
      <c r="O4" s="22">
        <f ca="1">MAX(O$20:O$219)</f>
        <v>16.471000000000004</v>
      </c>
      <c r="P4" s="16">
        <f>MAX(P$20:P$219)</f>
        <v>23.25709999999998</v>
      </c>
      <c r="Q4" s="19" t="s">
        <v>384</v>
      </c>
      <c r="R4" s="20">
        <f ca="1">COUNTIF($R$20:$R$219,$Q4)</f>
        <v>200</v>
      </c>
      <c r="S4" s="11">
        <f ca="1">MAX(S$20:S$219)</f>
        <v>8.9000000000000057</v>
      </c>
    </row>
    <row r="5" spans="2:19" x14ac:dyDescent="0.2">
      <c r="D5" s="11" t="s">
        <v>476</v>
      </c>
    </row>
    <row r="18" spans="1:21" s="12" customFormat="1" ht="63.75" x14ac:dyDescent="0.2">
      <c r="C18" s="12" t="s">
        <v>368</v>
      </c>
      <c r="D18" s="12" t="s">
        <v>369</v>
      </c>
      <c r="E18" s="21" t="s">
        <v>236</v>
      </c>
      <c r="F18" s="21" t="s">
        <v>237</v>
      </c>
      <c r="G18" s="21" t="s">
        <v>381</v>
      </c>
      <c r="H18" s="21" t="s">
        <v>224</v>
      </c>
      <c r="I18" s="21" t="s">
        <v>235</v>
      </c>
      <c r="J18" s="21" t="s">
        <v>373</v>
      </c>
      <c r="K18" s="12" t="s">
        <v>375</v>
      </c>
      <c r="L18" s="21" t="s">
        <v>374</v>
      </c>
      <c r="M18" s="21" t="s">
        <v>233</v>
      </c>
      <c r="N18" s="21" t="s">
        <v>376</v>
      </c>
      <c r="O18" s="7" t="s">
        <v>377</v>
      </c>
      <c r="P18" s="12" t="s">
        <v>378</v>
      </c>
      <c r="Q18" s="12" t="s">
        <v>380</v>
      </c>
      <c r="R18" s="12" t="s">
        <v>379</v>
      </c>
      <c r="S18" s="12" t="s">
        <v>382</v>
      </c>
    </row>
    <row r="19" spans="1:21" x14ac:dyDescent="0.2">
      <c r="E19" s="8" t="s">
        <v>259</v>
      </c>
      <c r="F19" s="8" t="s">
        <v>259</v>
      </c>
      <c r="G19" s="8" t="s">
        <v>258</v>
      </c>
      <c r="H19" s="8" t="s">
        <v>370</v>
      </c>
      <c r="I19" s="8" t="s">
        <v>259</v>
      </c>
      <c r="J19" s="8" t="s">
        <v>259</v>
      </c>
      <c r="K19" s="8" t="s">
        <v>259</v>
      </c>
      <c r="L19" s="8" t="s">
        <v>259</v>
      </c>
      <c r="M19" s="8" t="s">
        <v>259</v>
      </c>
      <c r="N19" s="8" t="s">
        <v>259</v>
      </c>
      <c r="O19" s="3" t="s">
        <v>259</v>
      </c>
      <c r="P19" s="8" t="s">
        <v>259</v>
      </c>
      <c r="Q19" s="8" t="s">
        <v>259</v>
      </c>
      <c r="R19" s="8" t="s">
        <v>258</v>
      </c>
      <c r="S19" s="11" t="s">
        <v>259</v>
      </c>
    </row>
    <row r="20" spans="1:21" x14ac:dyDescent="0.2">
      <c r="A20" s="11" t="s">
        <v>7</v>
      </c>
      <c r="B20" s="11" t="s">
        <v>198</v>
      </c>
      <c r="C20" s="11">
        <f>_xlfn.XLOOKUP($A20,'Conical section geometry'!$B$11:$B$17,'Conical section geometry'!$C$11:$C$17,"XXXX",0,1)</f>
        <v>-6.5</v>
      </c>
      <c r="D20" s="11">
        <f>_xlfn.XLOOKUP($A20,'Conical section geometry'!$B$11:$B$17,'Conical section geometry'!$D$11:$D$17,"XXXX",0,1)</f>
        <v>-23.643000000000001</v>
      </c>
      <c r="E20" s="11" cm="1">
        <f t="array" aca="1" ref="E20" ca="1">_xlfn.XLOOKUP($B20,    INDIRECT("'" &amp; $C$3 &amp; "'!$A$20:$A$219"),    _xlfn.XLOOKUP(E$18,INDIRECT("'" &amp; $C$3 &amp; "'!$B$18:$X$18"), INDIRECT("'" &amp; $C$3 &amp; "'!$B$20:$X$219"),"XXXXX",0,1),    "XX",    0,    1)</f>
        <v>8</v>
      </c>
      <c r="F20" s="11" cm="1">
        <f t="array" aca="1" ref="F20" ca="1">_xlfn.XLOOKUP($B20,    INDIRECT("'" &amp; $C$3 &amp; "'!$A$20:$A$219"),    _xlfn.XLOOKUP(F$18,INDIRECT("'" &amp; $C$3 &amp; "'!$B$18:$X$18"), INDIRECT("'" &amp; $C$3 &amp; "'!$B$20:$X$219"),"XXXXX",0,1),    "XX",    0,    1)</f>
        <v>11</v>
      </c>
      <c r="G20" s="11">
        <f>_xlfn.XLOOKUP($A20,'Conical section geometry'!$B$11:$B$17,'Conical section geometry'!$E$11:$E$17,"XXXX",0,1)</f>
        <v>-174.99854167881901</v>
      </c>
      <c r="H20" s="11" cm="1">
        <f t="array" aca="1" ref="H20" ca="1">_xlfn.XLOOKUP($B20,    INDIRECT("'" &amp; $C$3 &amp; "'!$A$20:$A$219"),    _xlfn.XLOOKUP(H$18,INDIRECT("'" &amp; $C$3 &amp; "'!$B$18:$X$18"), INDIRECT("'" &amp; $C$3 &amp; "'!$B$20:$X$219"),"XXXXX",0,1),    "XX",    0,    1)</f>
        <v>-44.1</v>
      </c>
      <c r="I20" s="11" cm="1">
        <f t="array" aca="1" ref="I20" ca="1">_xlfn.XLOOKUP($B20,    INDIRECT("'" &amp; $C$3 &amp; "'!$A$20:$A$219"),    _xlfn.XLOOKUP(I$18,INDIRECT("'" &amp; $C$3 &amp; "'!$B$18:$X$18"), INDIRECT("'" &amp; $C$3 &amp; "'!$B$20:$X$219"),"XXXXX",0,1),    "XX",    0,    1)</f>
        <v>104.4</v>
      </c>
      <c r="J20" s="11">
        <f t="shared" ref="J20:J51" si="0">$C$1-$C20</f>
        <v>31.9</v>
      </c>
      <c r="K20" s="11">
        <f t="shared" ref="K20:K51" si="1">C$20-$D20</f>
        <v>17.143000000000001</v>
      </c>
      <c r="L20" s="11">
        <f t="shared" ref="L20:L51" si="2">$C$1-$D20</f>
        <v>49.042999999999999</v>
      </c>
      <c r="M20" s="11" cm="1">
        <f t="array" aca="1" ref="M20" ca="1">_xlfn.XLOOKUP($B20,    INDIRECT("'" &amp; $C$3 &amp; "'!$A$20:$A$219"),    _xlfn.XLOOKUP(M$18,INDIRECT("'" &amp; $C$3 &amp; "'!$B$18:$X$18"), INDIRECT("'" &amp; $C$3 &amp; "'!$B$20:$X$219"),"XXXXX",0,1),    "XX",    0,    1)</f>
        <v>34.9</v>
      </c>
      <c r="N20" s="11">
        <f t="shared" ref="N20:N51" ca="1" si="3">$I20-$J20-(-$H20)</f>
        <v>28.4</v>
      </c>
      <c r="O20" s="4">
        <f t="shared" ref="O20:O51" ca="1" si="4">$I20-$L20-(-$H20)</f>
        <v>11.257000000000005</v>
      </c>
      <c r="P20" s="11">
        <v>23.25709999999998</v>
      </c>
      <c r="Q20" s="11">
        <f t="shared" ref="Q20:Q51" ca="1" si="5">$I20-($P20+(ABS($H20)))</f>
        <v>37.042900000000031</v>
      </c>
      <c r="R20" s="11" t="str">
        <f t="shared" ref="R20:R51" ca="1" si="6">IF($Q20&lt;=$J20,"top",IF($Q20&lt;=$L20,"conical","bottom"))</f>
        <v>conical</v>
      </c>
      <c r="S20" s="13">
        <f t="shared" ref="S20:S51" ca="1" si="7">IF($R20="top",$E20,IF($R20="bottom",$F20,$E20-(($Q20-$J20)*$G20)/1000))</f>
        <v>8.9000000000000039</v>
      </c>
      <c r="T20" s="13"/>
      <c r="U20" s="11">
        <v>19.257066666666642</v>
      </c>
    </row>
    <row r="21" spans="1:21" x14ac:dyDescent="0.2">
      <c r="A21" s="11" t="s">
        <v>4</v>
      </c>
      <c r="B21" s="11" t="s">
        <v>168</v>
      </c>
      <c r="C21" s="11">
        <f>_xlfn.XLOOKUP($A21,'Conical section geometry'!$B$11:$B$17,'Conical section geometry'!$C$11:$C$17,"XXXX",0,1)</f>
        <v>-6.5</v>
      </c>
      <c r="D21" s="11">
        <f>_xlfn.XLOOKUP($A21,'Conical section geometry'!$B$11:$B$17,'Conical section geometry'!$D$11:$D$17,"XXXX",0,1)</f>
        <v>-20.786000000000001</v>
      </c>
      <c r="E21" s="11" cm="1">
        <f t="array" aca="1" ref="E21" ca="1">_xlfn.XLOOKUP($B21,    INDIRECT("'" &amp; $C$3 &amp; "'!$A$20:$A$219"),    _xlfn.XLOOKUP(E$18,INDIRECT("'" &amp; $C$3 &amp; "'!$B$18:$X$18"), INDIRECT("'" &amp; $C$3 &amp; "'!$B$20:$X$219"),"XXXXX",0,1),    "XX",    0,    1)</f>
        <v>8</v>
      </c>
      <c r="F21" s="11" cm="1">
        <f t="array" aca="1" ref="F21" ca="1">_xlfn.XLOOKUP($B21,    INDIRECT("'" &amp; $C$3 &amp; "'!$A$20:$A$219"),    _xlfn.XLOOKUP(F$18,INDIRECT("'" &amp; $C$3 &amp; "'!$B$18:$X$18"), INDIRECT("'" &amp; $C$3 &amp; "'!$B$20:$X$219"),"XXXXX",0,1),    "XX",    0,    1)</f>
        <v>10.5</v>
      </c>
      <c r="G21" s="11">
        <f>_xlfn.XLOOKUP($A21,'Conical section geometry'!$B$11:$B$17,'Conical section geometry'!$E$11:$E$17,"XXXX",0,1)</f>
        <v>-174.996500069999</v>
      </c>
      <c r="H21" s="11" cm="1">
        <f t="array" aca="1" ref="H21" ca="1">_xlfn.XLOOKUP($B21,    INDIRECT("'" &amp; $C$3 &amp; "'!$A$20:$A$219"),    _xlfn.XLOOKUP(H$18,INDIRECT("'" &amp; $C$3 &amp; "'!$B$18:$X$18"), INDIRECT("'" &amp; $C$3 &amp; "'!$B$20:$X$219"),"XXXXX",0,1),    "XX",    0,    1)</f>
        <v>-37.4</v>
      </c>
      <c r="I21" s="11" cm="1">
        <f t="array" aca="1" ref="I21" ca="1">_xlfn.XLOOKUP($B21,    INDIRECT("'" &amp; $C$3 &amp; "'!$A$20:$A$219"),    _xlfn.XLOOKUP(I$18,INDIRECT("'" &amp; $C$3 &amp; "'!$B$18:$X$18"), INDIRECT("'" &amp; $C$3 &amp; "'!$B$20:$X$219"),"XXXXX",0,1),    "XX",    0,    1)</f>
        <v>97.3</v>
      </c>
      <c r="J21" s="11">
        <f t="shared" si="0"/>
        <v>31.9</v>
      </c>
      <c r="K21" s="11">
        <f t="shared" si="1"/>
        <v>14.286000000000001</v>
      </c>
      <c r="L21" s="11">
        <f t="shared" si="2"/>
        <v>46.186</v>
      </c>
      <c r="M21" s="11" cm="1">
        <f t="array" aca="1" ref="M21" ca="1">_xlfn.XLOOKUP($B21,    INDIRECT("'" &amp; $C$3 &amp; "'!$A$20:$A$219"),    _xlfn.XLOOKUP(M$18,INDIRECT("'" &amp; $C$3 &amp; "'!$B$18:$X$18"), INDIRECT("'" &amp; $C$3 &amp; "'!$B$20:$X$219"),"XXXXX",0,1),    "XX",    0,    1)</f>
        <v>34.5</v>
      </c>
      <c r="N21" s="11">
        <f t="shared" ca="1" si="3"/>
        <v>28.000000000000007</v>
      </c>
      <c r="O21" s="4">
        <f t="shared" ca="1" si="4"/>
        <v>13.713999999999999</v>
      </c>
      <c r="P21" s="11">
        <v>22.857040000000008</v>
      </c>
      <c r="Q21" s="11">
        <f t="shared" ca="1" si="5"/>
        <v>37.042959999999994</v>
      </c>
      <c r="R21" s="11" t="str">
        <f t="shared" ca="1" si="6"/>
        <v>conical</v>
      </c>
      <c r="S21" s="13">
        <f t="shared" ca="1" si="7"/>
        <v>8.9000000000000021</v>
      </c>
      <c r="T21" s="13"/>
    </row>
    <row r="22" spans="1:21" x14ac:dyDescent="0.2">
      <c r="A22" s="11" t="s">
        <v>3</v>
      </c>
      <c r="B22" s="11" t="s">
        <v>16</v>
      </c>
      <c r="C22" s="11">
        <f>_xlfn.XLOOKUP($A22,'Conical section geometry'!$B$11:$B$17,'Conical section geometry'!$C$11:$C$17,"XXXX",0,1)</f>
        <v>-6.5</v>
      </c>
      <c r="D22" s="11">
        <f>_xlfn.XLOOKUP($A22,'Conical section geometry'!$B$11:$B$17,'Conical section geometry'!$D$11:$D$17,"XXXX",0,1)</f>
        <v>-17.928999999999998</v>
      </c>
      <c r="E22" s="11" cm="1">
        <f t="array" aca="1" ref="E22" ca="1">_xlfn.XLOOKUP($B22,    INDIRECT("'" &amp; $C$3 &amp; "'!$A$20:$A$219"),    _xlfn.XLOOKUP(E$18,INDIRECT("'" &amp; $C$3 &amp; "'!$B$18:$X$18"), INDIRECT("'" &amp; $C$3 &amp; "'!$B$20:$X$219"),"XXXXX",0,1),    "XX",    0,    1)</f>
        <v>8</v>
      </c>
      <c r="F22" s="11" cm="1">
        <f t="array" aca="1" ref="F22" ca="1">_xlfn.XLOOKUP($B22,    INDIRECT("'" &amp; $C$3 &amp; "'!$A$20:$A$219"),    _xlfn.XLOOKUP(F$18,INDIRECT("'" &amp; $C$3 &amp; "'!$B$18:$X$18"), INDIRECT("'" &amp; $C$3 &amp; "'!$B$20:$X$219"),"XXXXX",0,1),    "XX",    0,    1)</f>
        <v>10</v>
      </c>
      <c r="G22" s="11">
        <f>_xlfn.XLOOKUP($A22,'Conical section geometry'!$B$11:$B$17,'Conical section geometry'!$E$11:$E$17,"XXXX",0,1)</f>
        <v>-174.99340000000001</v>
      </c>
      <c r="H22" s="11" cm="1">
        <f t="array" aca="1" ref="H22" ca="1">_xlfn.XLOOKUP($B22,    INDIRECT("'" &amp; $C$3 &amp; "'!$A$20:$A$219"),    _xlfn.XLOOKUP(H$18,INDIRECT("'" &amp; $C$3 &amp; "'!$B$18:$X$18"), INDIRECT("'" &amp; $C$3 &amp; "'!$B$20:$X$219"),"XXXXX",0,1),    "XX",    0,    1)</f>
        <v>-36.700000000000003</v>
      </c>
      <c r="I22" s="11" cm="1">
        <f t="array" aca="1" ref="I22" ca="1">_xlfn.XLOOKUP($B22,    INDIRECT("'" &amp; $C$3 &amp; "'!$A$20:$A$219"),    _xlfn.XLOOKUP(I$18,INDIRECT("'" &amp; $C$3 &amp; "'!$B$18:$X$18"), INDIRECT("'" &amp; $C$3 &amp; "'!$B$20:$X$219"),"XXXXX",0,1),    "XX",    0,    1)</f>
        <v>96.5</v>
      </c>
      <c r="J22" s="11">
        <f t="shared" si="0"/>
        <v>31.9</v>
      </c>
      <c r="K22" s="11">
        <f t="shared" si="1"/>
        <v>11.428999999999998</v>
      </c>
      <c r="L22" s="11">
        <f t="shared" si="2"/>
        <v>43.328999999999994</v>
      </c>
      <c r="M22" s="11" cm="1">
        <f t="array" aca="1" ref="M22" ca="1">_xlfn.XLOOKUP($B22,    INDIRECT("'" &amp; $C$3 &amp; "'!$A$20:$A$219"),    _xlfn.XLOOKUP(M$18,INDIRECT("'" &amp; $C$3 &amp; "'!$B$18:$X$18"), INDIRECT("'" &amp; $C$3 &amp; "'!$B$20:$X$219"),"XXXXX",0,1),    "XX",    0,    1)</f>
        <v>34.4</v>
      </c>
      <c r="N22" s="11">
        <f t="shared" ca="1" si="3"/>
        <v>27.899999999999991</v>
      </c>
      <c r="O22" s="4">
        <f t="shared" ca="1" si="4"/>
        <v>16.471000000000004</v>
      </c>
      <c r="P22" s="11">
        <v>22.756948890643859</v>
      </c>
      <c r="Q22" s="11">
        <f t="shared" ca="1" si="5"/>
        <v>37.043051109356142</v>
      </c>
      <c r="R22" s="11" t="str">
        <f t="shared" ca="1" si="6"/>
        <v>conical</v>
      </c>
      <c r="S22" s="13">
        <f t="shared" ca="1" si="7"/>
        <v>8.9000000000000039</v>
      </c>
      <c r="T22" s="13"/>
    </row>
    <row r="23" spans="1:21" x14ac:dyDescent="0.2">
      <c r="A23" s="11" t="s">
        <v>3</v>
      </c>
      <c r="B23" s="11" t="s">
        <v>17</v>
      </c>
      <c r="C23" s="11">
        <f>_xlfn.XLOOKUP($A23,'Conical section geometry'!$B$11:$B$17,'Conical section geometry'!$C$11:$C$17,"XXXX",0,1)</f>
        <v>-6.5</v>
      </c>
      <c r="D23" s="11">
        <f>_xlfn.XLOOKUP($A23,'Conical section geometry'!$B$11:$B$17,'Conical section geometry'!$D$11:$D$17,"XXXX",0,1)</f>
        <v>-17.928999999999998</v>
      </c>
      <c r="E23" s="11" cm="1">
        <f t="array" aca="1" ref="E23" ca="1">_xlfn.XLOOKUP($B23,    INDIRECT("'" &amp; $C$3 &amp; "'!$A$20:$A$219"),    _xlfn.XLOOKUP(E$18,INDIRECT("'" &amp; $C$3 &amp; "'!$B$18:$X$18"), INDIRECT("'" &amp; $C$3 &amp; "'!$B$20:$X$219"),"XXXXX",0,1),    "XX",    0,    1)</f>
        <v>8</v>
      </c>
      <c r="F23" s="11" cm="1">
        <f t="array" aca="1" ref="F23" ca="1">_xlfn.XLOOKUP($B23,    INDIRECT("'" &amp; $C$3 &amp; "'!$A$20:$A$219"),    _xlfn.XLOOKUP(F$18,INDIRECT("'" &amp; $C$3 &amp; "'!$B$18:$X$18"), INDIRECT("'" &amp; $C$3 &amp; "'!$B$20:$X$219"),"XXXXX",0,1),    "XX",    0,    1)</f>
        <v>10</v>
      </c>
      <c r="G23" s="11">
        <f>_xlfn.XLOOKUP($A23,'Conical section geometry'!$B$11:$B$17,'Conical section geometry'!$E$11:$E$17,"XXXX",0,1)</f>
        <v>-174.99340000000001</v>
      </c>
      <c r="H23" s="11" cm="1">
        <f t="array" aca="1" ref="H23" ca="1">_xlfn.XLOOKUP($B23,    INDIRECT("'" &amp; $C$3 &amp; "'!$A$20:$A$219"),    _xlfn.XLOOKUP(H$18,INDIRECT("'" &amp; $C$3 &amp; "'!$B$18:$X$18"), INDIRECT("'" &amp; $C$3 &amp; "'!$B$20:$X$219"),"XXXXX",0,1),    "XX",    0,    1)</f>
        <v>-36.6</v>
      </c>
      <c r="I23" s="11" cm="1">
        <f t="array" aca="1" ref="I23" ca="1">_xlfn.XLOOKUP($B23,    INDIRECT("'" &amp; $C$3 &amp; "'!$A$20:$A$219"),    _xlfn.XLOOKUP(I$18,INDIRECT("'" &amp; $C$3 &amp; "'!$B$18:$X$18"), INDIRECT("'" &amp; $C$3 &amp; "'!$B$20:$X$219"),"XXXXX",0,1),    "XX",    0,    1)</f>
        <v>96.1</v>
      </c>
      <c r="J23" s="11">
        <f t="shared" si="0"/>
        <v>31.9</v>
      </c>
      <c r="K23" s="11">
        <f t="shared" si="1"/>
        <v>11.428999999999998</v>
      </c>
      <c r="L23" s="11">
        <f t="shared" si="2"/>
        <v>43.328999999999994</v>
      </c>
      <c r="M23" s="11" cm="1">
        <f t="array" aca="1" ref="M23" ca="1">_xlfn.XLOOKUP($B23,    INDIRECT("'" &amp; $C$3 &amp; "'!$A$20:$A$219"),    _xlfn.XLOOKUP(M$18,INDIRECT("'" &amp; $C$3 &amp; "'!$B$18:$X$18"), INDIRECT("'" &amp; $C$3 &amp; "'!$B$20:$X$219"),"XXXXX",0,1),    "XX",    0,    1)</f>
        <v>34.1</v>
      </c>
      <c r="N23" s="11">
        <f t="shared" ca="1" si="3"/>
        <v>27.599999999999987</v>
      </c>
      <c r="O23" s="4">
        <f t="shared" ca="1" si="4"/>
        <v>16.170999999999999</v>
      </c>
      <c r="P23" s="11">
        <v>22.456948890643879</v>
      </c>
      <c r="Q23" s="11">
        <f t="shared" ca="1" si="5"/>
        <v>37.043051109356114</v>
      </c>
      <c r="R23" s="11" t="str">
        <f t="shared" ca="1" si="6"/>
        <v>conical</v>
      </c>
      <c r="S23" s="13">
        <f t="shared" ca="1" si="7"/>
        <v>8.8999999999999986</v>
      </c>
      <c r="T23" s="13"/>
    </row>
    <row r="24" spans="1:21" x14ac:dyDescent="0.2">
      <c r="A24" s="11" t="s">
        <v>7</v>
      </c>
      <c r="B24" s="11" t="s">
        <v>191</v>
      </c>
      <c r="C24" s="11">
        <f>_xlfn.XLOOKUP($A24,'Conical section geometry'!$B$11:$B$17,'Conical section geometry'!$C$11:$C$17,"XXXX",0,1)</f>
        <v>-6.5</v>
      </c>
      <c r="D24" s="11">
        <f>_xlfn.XLOOKUP($A24,'Conical section geometry'!$B$11:$B$17,'Conical section geometry'!$D$11:$D$17,"XXXX",0,1)</f>
        <v>-23.643000000000001</v>
      </c>
      <c r="E24" s="11" cm="1">
        <f t="array" aca="1" ref="E24" ca="1">_xlfn.XLOOKUP($B24,    INDIRECT("'" &amp; $C$3 &amp; "'!$A$20:$A$219"),    _xlfn.XLOOKUP(E$18,INDIRECT("'" &amp; $C$3 &amp; "'!$B$18:$X$18"), INDIRECT("'" &amp; $C$3 &amp; "'!$B$20:$X$219"),"XXXXX",0,1),    "XX",    0,    1)</f>
        <v>8</v>
      </c>
      <c r="F24" s="11" cm="1">
        <f t="array" aca="1" ref="F24" ca="1">_xlfn.XLOOKUP($B24,    INDIRECT("'" &amp; $C$3 &amp; "'!$A$20:$A$219"),    _xlfn.XLOOKUP(F$18,INDIRECT("'" &amp; $C$3 &amp; "'!$B$18:$X$18"), INDIRECT("'" &amp; $C$3 &amp; "'!$B$20:$X$219"),"XXXXX",0,1),    "XX",    0,    1)</f>
        <v>11</v>
      </c>
      <c r="G24" s="11">
        <f>_xlfn.XLOOKUP($A24,'Conical section geometry'!$B$11:$B$17,'Conical section geometry'!$E$11:$E$17,"XXXX",0,1)</f>
        <v>-174.99854167881901</v>
      </c>
      <c r="H24" s="11" cm="1">
        <f t="array" aca="1" ref="H24" ca="1">_xlfn.XLOOKUP($B24,    INDIRECT("'" &amp; $C$3 &amp; "'!$A$20:$A$219"),    _xlfn.XLOOKUP(H$18,INDIRECT("'" &amp; $C$3 &amp; "'!$B$18:$X$18"), INDIRECT("'" &amp; $C$3 &amp; "'!$B$20:$X$219"),"XXXXX",0,1),    "XX",    0,    1)</f>
        <v>-47.9</v>
      </c>
      <c r="I24" s="11" cm="1">
        <f t="array" aca="1" ref="I24" ca="1">_xlfn.XLOOKUP($B24,    INDIRECT("'" &amp; $C$3 &amp; "'!$A$20:$A$219"),    _xlfn.XLOOKUP(I$18,INDIRECT("'" &amp; $C$3 &amp; "'!$B$18:$X$18"), INDIRECT("'" &amp; $C$3 &amp; "'!$B$20:$X$219"),"XXXXX",0,1),    "XX",    0,    1)</f>
        <v>107.1</v>
      </c>
      <c r="J24" s="11">
        <f t="shared" si="0"/>
        <v>31.9</v>
      </c>
      <c r="K24" s="11">
        <f t="shared" si="1"/>
        <v>17.143000000000001</v>
      </c>
      <c r="L24" s="11">
        <f t="shared" si="2"/>
        <v>49.042999999999999</v>
      </c>
      <c r="M24" s="11" cm="1">
        <f t="array" aca="1" ref="M24" ca="1">_xlfn.XLOOKUP($B24,    INDIRECT("'" &amp; $C$3 &amp; "'!$A$20:$A$219"),    _xlfn.XLOOKUP(M$18,INDIRECT("'" &amp; $C$3 &amp; "'!$B$18:$X$18"), INDIRECT("'" &amp; $C$3 &amp; "'!$B$20:$X$219"),"XXXXX",0,1),    "XX",    0,    1)</f>
        <v>33.799999999999997</v>
      </c>
      <c r="N24" s="11">
        <f t="shared" ca="1" si="3"/>
        <v>27.29999999999999</v>
      </c>
      <c r="O24" s="4">
        <f t="shared" ca="1" si="4"/>
        <v>10.156999999999996</v>
      </c>
      <c r="P24" s="11">
        <v>22.157099999999993</v>
      </c>
      <c r="Q24" s="11">
        <f t="shared" ca="1" si="5"/>
        <v>37.042900000000003</v>
      </c>
      <c r="R24" s="11" t="str">
        <f t="shared" ca="1" si="6"/>
        <v>conical</v>
      </c>
      <c r="S24" s="13">
        <f t="shared" ca="1" si="7"/>
        <v>8.8999999999999986</v>
      </c>
      <c r="T24" s="13"/>
    </row>
    <row r="25" spans="1:21" x14ac:dyDescent="0.2">
      <c r="A25" s="11" t="s">
        <v>7</v>
      </c>
      <c r="B25" s="11" t="s">
        <v>195</v>
      </c>
      <c r="C25" s="11">
        <f>_xlfn.XLOOKUP($A25,'Conical section geometry'!$B$11:$B$17,'Conical section geometry'!$C$11:$C$17,"XXXX",0,1)</f>
        <v>-6.5</v>
      </c>
      <c r="D25" s="11">
        <f>_xlfn.XLOOKUP($A25,'Conical section geometry'!$B$11:$B$17,'Conical section geometry'!$D$11:$D$17,"XXXX",0,1)</f>
        <v>-23.643000000000001</v>
      </c>
      <c r="E25" s="11" cm="1">
        <f t="array" aca="1" ref="E25" ca="1">_xlfn.XLOOKUP($B25,    INDIRECT("'" &amp; $C$3 &amp; "'!$A$20:$A$219"),    _xlfn.XLOOKUP(E$18,INDIRECT("'" &amp; $C$3 &amp; "'!$B$18:$X$18"), INDIRECT("'" &amp; $C$3 &amp; "'!$B$20:$X$219"),"XXXXX",0,1),    "XX",    0,    1)</f>
        <v>8</v>
      </c>
      <c r="F25" s="11" cm="1">
        <f t="array" aca="1" ref="F25" ca="1">_xlfn.XLOOKUP($B25,    INDIRECT("'" &amp; $C$3 &amp; "'!$A$20:$A$219"),    _xlfn.XLOOKUP(F$18,INDIRECT("'" &amp; $C$3 &amp; "'!$B$18:$X$18"), INDIRECT("'" &amp; $C$3 &amp; "'!$B$20:$X$219"),"XXXXX",0,1),    "XX",    0,    1)</f>
        <v>11</v>
      </c>
      <c r="G25" s="11">
        <f>_xlfn.XLOOKUP($A25,'Conical section geometry'!$B$11:$B$17,'Conical section geometry'!$E$11:$E$17,"XXXX",0,1)</f>
        <v>-174.99854167881901</v>
      </c>
      <c r="H25" s="11" cm="1">
        <f t="array" aca="1" ref="H25" ca="1">_xlfn.XLOOKUP($B25,    INDIRECT("'" &amp; $C$3 &amp; "'!$A$20:$A$219"),    _xlfn.XLOOKUP(H$18,INDIRECT("'" &amp; $C$3 &amp; "'!$B$18:$X$18"), INDIRECT("'" &amp; $C$3 &amp; "'!$B$20:$X$219"),"XXXXX",0,1),    "XX",    0,    1)</f>
        <v>-45.3</v>
      </c>
      <c r="I25" s="11" cm="1">
        <f t="array" aca="1" ref="I25" ca="1">_xlfn.XLOOKUP($B25,    INDIRECT("'" &amp; $C$3 &amp; "'!$A$20:$A$219"),    _xlfn.XLOOKUP(I$18,INDIRECT("'" &amp; $C$3 &amp; "'!$B$18:$X$18"), INDIRECT("'" &amp; $C$3 &amp; "'!$B$20:$X$219"),"XXXXX",0,1),    "XX",    0,    1)</f>
        <v>104.5</v>
      </c>
      <c r="J25" s="11">
        <f t="shared" si="0"/>
        <v>31.9</v>
      </c>
      <c r="K25" s="11">
        <f t="shared" si="1"/>
        <v>17.143000000000001</v>
      </c>
      <c r="L25" s="11">
        <f t="shared" si="2"/>
        <v>49.042999999999999</v>
      </c>
      <c r="M25" s="11" cm="1">
        <f t="array" aca="1" ref="M25" ca="1">_xlfn.XLOOKUP($B25,    INDIRECT("'" &amp; $C$3 &amp; "'!$A$20:$A$219"),    _xlfn.XLOOKUP(M$18,INDIRECT("'" &amp; $C$3 &amp; "'!$B$18:$X$18"), INDIRECT("'" &amp; $C$3 &amp; "'!$B$20:$X$219"),"XXXXX",0,1),    "XX",    0,    1)</f>
        <v>33.799999999999997</v>
      </c>
      <c r="N25" s="11">
        <f t="shared" ca="1" si="3"/>
        <v>27.299999999999997</v>
      </c>
      <c r="O25" s="4">
        <f t="shared" ca="1" si="4"/>
        <v>10.157000000000004</v>
      </c>
      <c r="P25" s="11">
        <v>22.1571</v>
      </c>
      <c r="Q25" s="11">
        <f t="shared" ca="1" si="5"/>
        <v>37.042900000000003</v>
      </c>
      <c r="R25" s="11" t="str">
        <f t="shared" ca="1" si="6"/>
        <v>conical</v>
      </c>
      <c r="S25" s="13">
        <f t="shared" ca="1" si="7"/>
        <v>8.8999999999999986</v>
      </c>
      <c r="T25" s="13"/>
    </row>
    <row r="26" spans="1:21" x14ac:dyDescent="0.2">
      <c r="A26" s="11" t="s">
        <v>4</v>
      </c>
      <c r="B26" s="11" t="s">
        <v>166</v>
      </c>
      <c r="C26" s="11">
        <f>_xlfn.XLOOKUP($A26,'Conical section geometry'!$B$11:$B$17,'Conical section geometry'!$C$11:$C$17,"XXXX",0,1)</f>
        <v>-6.5</v>
      </c>
      <c r="D26" s="11">
        <f>_xlfn.XLOOKUP($A26,'Conical section geometry'!$B$11:$B$17,'Conical section geometry'!$D$11:$D$17,"XXXX",0,1)</f>
        <v>-20.786000000000001</v>
      </c>
      <c r="E26" s="11" cm="1">
        <f t="array" aca="1" ref="E26" ca="1">_xlfn.XLOOKUP($B26,    INDIRECT("'" &amp; $C$3 &amp; "'!$A$20:$A$219"),    _xlfn.XLOOKUP(E$18,INDIRECT("'" &amp; $C$3 &amp; "'!$B$18:$X$18"), INDIRECT("'" &amp; $C$3 &amp; "'!$B$20:$X$219"),"XXXXX",0,1),    "XX",    0,    1)</f>
        <v>8</v>
      </c>
      <c r="F26" s="11" cm="1">
        <f t="array" aca="1" ref="F26" ca="1">_xlfn.XLOOKUP($B26,    INDIRECT("'" &amp; $C$3 &amp; "'!$A$20:$A$219"),    _xlfn.XLOOKUP(F$18,INDIRECT("'" &amp; $C$3 &amp; "'!$B$18:$X$18"), INDIRECT("'" &amp; $C$3 &amp; "'!$B$20:$X$219"),"XXXXX",0,1),    "XX",    0,    1)</f>
        <v>10.5</v>
      </c>
      <c r="G26" s="11">
        <f>_xlfn.XLOOKUP($A26,'Conical section geometry'!$B$11:$B$17,'Conical section geometry'!$E$11:$E$17,"XXXX",0,1)</f>
        <v>-174.996500069999</v>
      </c>
      <c r="H26" s="11" cm="1">
        <f t="array" aca="1" ref="H26" ca="1">_xlfn.XLOOKUP($B26,    INDIRECT("'" &amp; $C$3 &amp; "'!$A$20:$A$219"),    _xlfn.XLOOKUP(H$18,INDIRECT("'" &amp; $C$3 &amp; "'!$B$18:$X$18"), INDIRECT("'" &amp; $C$3 &amp; "'!$B$20:$X$219"),"XXXXX",0,1),    "XX",    0,    1)</f>
        <v>-41.9</v>
      </c>
      <c r="I26" s="11" cm="1">
        <f t="array" aca="1" ref="I26" ca="1">_xlfn.XLOOKUP($B26,    INDIRECT("'" &amp; $C$3 &amp; "'!$A$20:$A$219"),    _xlfn.XLOOKUP(I$18,INDIRECT("'" &amp; $C$3 &amp; "'!$B$18:$X$18"), INDIRECT("'" &amp; $C$3 &amp; "'!$B$20:$X$219"),"XXXXX",0,1),    "XX",    0,    1)</f>
        <v>101.1</v>
      </c>
      <c r="J26" s="11">
        <f t="shared" si="0"/>
        <v>31.9</v>
      </c>
      <c r="K26" s="11">
        <f t="shared" si="1"/>
        <v>14.286000000000001</v>
      </c>
      <c r="L26" s="11">
        <f t="shared" si="2"/>
        <v>46.186</v>
      </c>
      <c r="M26" s="11" cm="1">
        <f t="array" aca="1" ref="M26" ca="1">_xlfn.XLOOKUP($B26,    INDIRECT("'" &amp; $C$3 &amp; "'!$A$20:$A$219"),    _xlfn.XLOOKUP(M$18,INDIRECT("'" &amp; $C$3 &amp; "'!$B$18:$X$18"), INDIRECT("'" &amp; $C$3 &amp; "'!$B$20:$X$219"),"XXXXX",0,1),    "XX",    0,    1)</f>
        <v>33.799999999999997</v>
      </c>
      <c r="N26" s="11">
        <f t="shared" ca="1" si="3"/>
        <v>27.29999999999999</v>
      </c>
      <c r="O26" s="4">
        <f t="shared" ca="1" si="4"/>
        <v>13.013999999999996</v>
      </c>
      <c r="P26" s="11">
        <v>22.157040000000006</v>
      </c>
      <c r="Q26" s="11">
        <f t="shared" ca="1" si="5"/>
        <v>37.042959999999994</v>
      </c>
      <c r="R26" s="11" t="str">
        <f t="shared" ca="1" si="6"/>
        <v>conical</v>
      </c>
      <c r="S26" s="13">
        <f t="shared" ca="1" si="7"/>
        <v>8.9000000000000021</v>
      </c>
      <c r="T26" s="13"/>
    </row>
    <row r="27" spans="1:21" x14ac:dyDescent="0.2">
      <c r="A27" s="11" t="s">
        <v>7</v>
      </c>
      <c r="B27" s="11" t="s">
        <v>199</v>
      </c>
      <c r="C27" s="11">
        <f>_xlfn.XLOOKUP($A27,'Conical section geometry'!$B$11:$B$17,'Conical section geometry'!$C$11:$C$17,"XXXX",0,1)</f>
        <v>-6.5</v>
      </c>
      <c r="D27" s="11">
        <f>_xlfn.XLOOKUP($A27,'Conical section geometry'!$B$11:$B$17,'Conical section geometry'!$D$11:$D$17,"XXXX",0,1)</f>
        <v>-23.643000000000001</v>
      </c>
      <c r="E27" s="11" cm="1">
        <f t="array" aca="1" ref="E27" ca="1">_xlfn.XLOOKUP($B27,    INDIRECT("'" &amp; $C$3 &amp; "'!$A$20:$A$219"),    _xlfn.XLOOKUP(E$18,INDIRECT("'" &amp; $C$3 &amp; "'!$B$18:$X$18"), INDIRECT("'" &amp; $C$3 &amp; "'!$B$20:$X$219"),"XXXXX",0,1),    "XX",    0,    1)</f>
        <v>8</v>
      </c>
      <c r="F27" s="11" cm="1">
        <f t="array" aca="1" ref="F27" ca="1">_xlfn.XLOOKUP($B27,    INDIRECT("'" &amp; $C$3 &amp; "'!$A$20:$A$219"),    _xlfn.XLOOKUP(F$18,INDIRECT("'" &amp; $C$3 &amp; "'!$B$18:$X$18"), INDIRECT("'" &amp; $C$3 &amp; "'!$B$20:$X$219"),"XXXXX",0,1),    "XX",    0,    1)</f>
        <v>11</v>
      </c>
      <c r="G27" s="11">
        <f>_xlfn.XLOOKUP($A27,'Conical section geometry'!$B$11:$B$17,'Conical section geometry'!$E$11:$E$17,"XXXX",0,1)</f>
        <v>-174.99854167881901</v>
      </c>
      <c r="H27" s="11" cm="1">
        <f t="array" aca="1" ref="H27" ca="1">_xlfn.XLOOKUP($B27,    INDIRECT("'" &amp; $C$3 &amp; "'!$A$20:$A$219"),    _xlfn.XLOOKUP(H$18,INDIRECT("'" &amp; $C$3 &amp; "'!$B$18:$X$18"), INDIRECT("'" &amp; $C$3 &amp; "'!$B$20:$X$219"),"XXXXX",0,1),    "XX",    0,    1)</f>
        <v>-45.1</v>
      </c>
      <c r="I27" s="11" cm="1">
        <f t="array" aca="1" ref="I27" ca="1">_xlfn.XLOOKUP($B27,    INDIRECT("'" &amp; $C$3 &amp; "'!$A$20:$A$219"),    _xlfn.XLOOKUP(I$18,INDIRECT("'" &amp; $C$3 &amp; "'!$B$18:$X$18"), INDIRECT("'" &amp; $C$3 &amp; "'!$B$20:$X$219"),"XXXXX",0,1),    "XX",    0,    1)</f>
        <v>104.1</v>
      </c>
      <c r="J27" s="11">
        <f t="shared" si="0"/>
        <v>31.9</v>
      </c>
      <c r="K27" s="11">
        <f t="shared" si="1"/>
        <v>17.143000000000001</v>
      </c>
      <c r="L27" s="11">
        <f t="shared" si="2"/>
        <v>49.042999999999999</v>
      </c>
      <c r="M27" s="11" cm="1">
        <f t="array" aca="1" ref="M27" ca="1">_xlfn.XLOOKUP($B27,    INDIRECT("'" &amp; $C$3 &amp; "'!$A$20:$A$219"),    _xlfn.XLOOKUP(M$18,INDIRECT("'" &amp; $C$3 &amp; "'!$B$18:$X$18"), INDIRECT("'" &amp; $C$3 &amp; "'!$B$20:$X$219"),"XXXXX",0,1),    "XX",    0,    1)</f>
        <v>33.6</v>
      </c>
      <c r="N27" s="11">
        <f t="shared" ca="1" si="3"/>
        <v>27.099999999999987</v>
      </c>
      <c r="O27" s="4">
        <f t="shared" ca="1" si="4"/>
        <v>9.9569999999999936</v>
      </c>
      <c r="P27" s="11">
        <v>21.95709999999999</v>
      </c>
      <c r="Q27" s="11">
        <f t="shared" ca="1" si="5"/>
        <v>37.042900000000003</v>
      </c>
      <c r="R27" s="11" t="str">
        <f t="shared" ca="1" si="6"/>
        <v>conical</v>
      </c>
      <c r="S27" s="13">
        <f t="shared" ca="1" si="7"/>
        <v>8.8999999999999986</v>
      </c>
      <c r="T27" s="13"/>
    </row>
    <row r="28" spans="1:21" s="4" customFormat="1" x14ac:dyDescent="0.2">
      <c r="A28" s="4" t="s">
        <v>7</v>
      </c>
      <c r="B28" s="4" t="s">
        <v>211</v>
      </c>
      <c r="C28" s="4">
        <f>_xlfn.XLOOKUP($A28,'Conical section geometry'!$B$11:$B$17,'Conical section geometry'!$C$11:$C$17,"XXXX",0,1)</f>
        <v>-6.5</v>
      </c>
      <c r="D28" s="4">
        <f>_xlfn.XLOOKUP($A28,'Conical section geometry'!$B$11:$B$17,'Conical section geometry'!$D$11:$D$17,"XXXX",0,1)</f>
        <v>-23.643000000000001</v>
      </c>
      <c r="E28" s="4" cm="1">
        <f t="array" aca="1" ref="E28" ca="1">_xlfn.XLOOKUP($B28,    INDIRECT("'" &amp; $C$3 &amp; "'!$A$20:$A$219"),    _xlfn.XLOOKUP(E$18,INDIRECT("'" &amp; $C$3 &amp; "'!$B$18:$X$18"), INDIRECT("'" &amp; $C$3 &amp; "'!$B$20:$X$219"),"XXXXX",0,1),    "XX",    0,    1)</f>
        <v>8</v>
      </c>
      <c r="F28" s="4" cm="1">
        <f t="array" aca="1" ref="F28" ca="1">_xlfn.XLOOKUP($B28,    INDIRECT("'" &amp; $C$3 &amp; "'!$A$20:$A$219"),    _xlfn.XLOOKUP(F$18,INDIRECT("'" &amp; $C$3 &amp; "'!$B$18:$X$18"), INDIRECT("'" &amp; $C$3 &amp; "'!$B$20:$X$219"),"XXXXX",0,1),    "XX",    0,    1)</f>
        <v>11</v>
      </c>
      <c r="G28" s="4">
        <f>_xlfn.XLOOKUP($A28,'Conical section geometry'!$B$11:$B$17,'Conical section geometry'!$E$11:$E$17,"XXXX",0,1)</f>
        <v>-174.99854167881901</v>
      </c>
      <c r="H28" s="4" cm="1">
        <f t="array" aca="1" ref="H28" ca="1">_xlfn.XLOOKUP($B28,    INDIRECT("'" &amp; $C$3 &amp; "'!$A$20:$A$219"),    _xlfn.XLOOKUP(H$18,INDIRECT("'" &amp; $C$3 &amp; "'!$B$18:$X$18"), INDIRECT("'" &amp; $C$3 &amp; "'!$B$20:$X$219"),"XXXXX",0,1),    "XX",    0,    1)</f>
        <v>-39.1</v>
      </c>
      <c r="I28" s="4" cm="1">
        <f t="array" aca="1" ref="I28" ca="1">_xlfn.XLOOKUP($B28,    INDIRECT("'" &amp; $C$3 &amp; "'!$A$20:$A$219"),    _xlfn.XLOOKUP(I$18,INDIRECT("'" &amp; $C$3 &amp; "'!$B$18:$X$18"), INDIRECT("'" &amp; $C$3 &amp; "'!$B$20:$X$219"),"XXXXX",0,1),    "XX",    0,    1)</f>
        <v>98</v>
      </c>
      <c r="J28" s="4">
        <f t="shared" si="0"/>
        <v>31.9</v>
      </c>
      <c r="K28" s="4">
        <f t="shared" si="1"/>
        <v>17.143000000000001</v>
      </c>
      <c r="L28" s="4">
        <f t="shared" si="2"/>
        <v>49.042999999999999</v>
      </c>
      <c r="M28" s="4" cm="1">
        <f t="array" aca="1" ref="M28" ca="1">_xlfn.XLOOKUP($B28,    INDIRECT("'" &amp; $C$3 &amp; "'!$A$20:$A$219"),    _xlfn.XLOOKUP(M$18,INDIRECT("'" &amp; $C$3 &amp; "'!$B$18:$X$18"), INDIRECT("'" &amp; $C$3 &amp; "'!$B$20:$X$219"),"XXXXX",0,1),    "XX",    0,    1)</f>
        <v>33.5</v>
      </c>
      <c r="N28" s="4">
        <f t="shared" ca="1" si="3"/>
        <v>26.999999999999993</v>
      </c>
      <c r="O28" s="4">
        <f t="shared" ca="1" si="4"/>
        <v>9.8569999999999993</v>
      </c>
      <c r="P28" s="4">
        <v>21.857099999999978</v>
      </c>
      <c r="Q28" s="4">
        <f t="shared" ca="1" si="5"/>
        <v>37.042900000000017</v>
      </c>
      <c r="R28" s="4" t="str">
        <f t="shared" ca="1" si="6"/>
        <v>conical</v>
      </c>
      <c r="S28" s="5">
        <f t="shared" ca="1" si="7"/>
        <v>8.9000000000000021</v>
      </c>
      <c r="T28" s="5"/>
    </row>
    <row r="29" spans="1:21" x14ac:dyDescent="0.2">
      <c r="A29" s="11" t="s">
        <v>7</v>
      </c>
      <c r="B29" s="11" t="s">
        <v>200</v>
      </c>
      <c r="C29" s="11">
        <f>_xlfn.XLOOKUP($A29,'Conical section geometry'!$B$11:$B$17,'Conical section geometry'!$C$11:$C$17,"XXXX",0,1)</f>
        <v>-6.5</v>
      </c>
      <c r="D29" s="11">
        <f>_xlfn.XLOOKUP($A29,'Conical section geometry'!$B$11:$B$17,'Conical section geometry'!$D$11:$D$17,"XXXX",0,1)</f>
        <v>-23.643000000000001</v>
      </c>
      <c r="E29" s="11" cm="1">
        <f t="array" aca="1" ref="E29" ca="1">_xlfn.XLOOKUP($B29,    INDIRECT("'" &amp; $C$3 &amp; "'!$A$20:$A$219"),    _xlfn.XLOOKUP(E$18,INDIRECT("'" &amp; $C$3 &amp; "'!$B$18:$X$18"), INDIRECT("'" &amp; $C$3 &amp; "'!$B$20:$X$219"),"XXXXX",0,1),    "XX",    0,    1)</f>
        <v>8</v>
      </c>
      <c r="F29" s="11" cm="1">
        <f t="array" aca="1" ref="F29" ca="1">_xlfn.XLOOKUP($B29,    INDIRECT("'" &amp; $C$3 &amp; "'!$A$20:$A$219"),    _xlfn.XLOOKUP(F$18,INDIRECT("'" &amp; $C$3 &amp; "'!$B$18:$X$18"), INDIRECT("'" &amp; $C$3 &amp; "'!$B$20:$X$219"),"XXXXX",0,1),    "XX",    0,    1)</f>
        <v>11</v>
      </c>
      <c r="G29" s="11">
        <f>_xlfn.XLOOKUP($A29,'Conical section geometry'!$B$11:$B$17,'Conical section geometry'!$E$11:$E$17,"XXXX",0,1)</f>
        <v>-174.99854167881901</v>
      </c>
      <c r="H29" s="11" cm="1">
        <f t="array" aca="1" ref="H29" ca="1">_xlfn.XLOOKUP($B29,    INDIRECT("'" &amp; $C$3 &amp; "'!$A$20:$A$219"),    _xlfn.XLOOKUP(H$18,INDIRECT("'" &amp; $C$3 &amp; "'!$B$18:$X$18"), INDIRECT("'" &amp; $C$3 &amp; "'!$B$20:$X$219"),"XXXXX",0,1),    "XX",    0,    1)</f>
        <v>-44.5</v>
      </c>
      <c r="I29" s="11" cm="1">
        <f t="array" aca="1" ref="I29" ca="1">_xlfn.XLOOKUP($B29,    INDIRECT("'" &amp; $C$3 &amp; "'!$A$20:$A$219"),    _xlfn.XLOOKUP(I$18,INDIRECT("'" &amp; $C$3 &amp; "'!$B$18:$X$18"), INDIRECT("'" &amp; $C$3 &amp; "'!$B$20:$X$219"),"XXXXX",0,1),    "XX",    0,    1)</f>
        <v>103.1</v>
      </c>
      <c r="J29" s="11">
        <f t="shared" si="0"/>
        <v>31.9</v>
      </c>
      <c r="K29" s="11">
        <f t="shared" si="1"/>
        <v>17.143000000000001</v>
      </c>
      <c r="L29" s="11">
        <f t="shared" si="2"/>
        <v>49.042999999999999</v>
      </c>
      <c r="M29" s="11" cm="1">
        <f t="array" aca="1" ref="M29" ca="1">_xlfn.XLOOKUP($B29,    INDIRECT("'" &amp; $C$3 &amp; "'!$A$20:$A$219"),    _xlfn.XLOOKUP(M$18,INDIRECT("'" &amp; $C$3 &amp; "'!$B$18:$X$18"), INDIRECT("'" &amp; $C$3 &amp; "'!$B$20:$X$219"),"XXXXX",0,1),    "XX",    0,    1)</f>
        <v>33.200000000000003</v>
      </c>
      <c r="N29" s="11">
        <f t="shared" ca="1" si="3"/>
        <v>26.699999999999989</v>
      </c>
      <c r="O29" s="4">
        <f t="shared" ca="1" si="4"/>
        <v>9.5569999999999951</v>
      </c>
      <c r="P29" s="11">
        <v>21.557099999999963</v>
      </c>
      <c r="Q29" s="11">
        <f t="shared" ca="1" si="5"/>
        <v>37.042900000000031</v>
      </c>
      <c r="R29" s="11" t="str">
        <f t="shared" ca="1" si="6"/>
        <v>conical</v>
      </c>
      <c r="S29" s="13">
        <f t="shared" ca="1" si="7"/>
        <v>8.9000000000000039</v>
      </c>
      <c r="T29" s="13"/>
    </row>
    <row r="30" spans="1:21" x14ac:dyDescent="0.2">
      <c r="A30" s="11" t="s">
        <v>7</v>
      </c>
      <c r="B30" s="11" t="s">
        <v>201</v>
      </c>
      <c r="C30" s="11">
        <f>_xlfn.XLOOKUP($A30,'Conical section geometry'!$B$11:$B$17,'Conical section geometry'!$C$11:$C$17,"XXXX",0,1)</f>
        <v>-6.5</v>
      </c>
      <c r="D30" s="11">
        <f>_xlfn.XLOOKUP($A30,'Conical section geometry'!$B$11:$B$17,'Conical section geometry'!$D$11:$D$17,"XXXX",0,1)</f>
        <v>-23.643000000000001</v>
      </c>
      <c r="E30" s="11" cm="1">
        <f t="array" aca="1" ref="E30" ca="1">_xlfn.XLOOKUP($B30,    INDIRECT("'" &amp; $C$3 &amp; "'!$A$20:$A$219"),    _xlfn.XLOOKUP(E$18,INDIRECT("'" &amp; $C$3 &amp; "'!$B$18:$X$18"), INDIRECT("'" &amp; $C$3 &amp; "'!$B$20:$X$219"),"XXXXX",0,1),    "XX",    0,    1)</f>
        <v>8</v>
      </c>
      <c r="F30" s="11" cm="1">
        <f t="array" aca="1" ref="F30" ca="1">_xlfn.XLOOKUP($B30,    INDIRECT("'" &amp; $C$3 &amp; "'!$A$20:$A$219"),    _xlfn.XLOOKUP(F$18,INDIRECT("'" &amp; $C$3 &amp; "'!$B$18:$X$18"), INDIRECT("'" &amp; $C$3 &amp; "'!$B$20:$X$219"),"XXXXX",0,1),    "XX",    0,    1)</f>
        <v>11</v>
      </c>
      <c r="G30" s="11">
        <f>_xlfn.XLOOKUP($A30,'Conical section geometry'!$B$11:$B$17,'Conical section geometry'!$E$11:$E$17,"XXXX",0,1)</f>
        <v>-174.99854167881901</v>
      </c>
      <c r="H30" s="11" cm="1">
        <f t="array" aca="1" ref="H30" ca="1">_xlfn.XLOOKUP($B30,    INDIRECT("'" &amp; $C$3 &amp; "'!$A$20:$A$219"),    _xlfn.XLOOKUP(H$18,INDIRECT("'" &amp; $C$3 &amp; "'!$B$18:$X$18"), INDIRECT("'" &amp; $C$3 &amp; "'!$B$20:$X$219"),"XXXXX",0,1),    "XX",    0,    1)</f>
        <v>-43.5</v>
      </c>
      <c r="I30" s="11" cm="1">
        <f t="array" aca="1" ref="I30" ca="1">_xlfn.XLOOKUP($B30,    INDIRECT("'" &amp; $C$3 &amp; "'!$A$20:$A$219"),    _xlfn.XLOOKUP(I$18,INDIRECT("'" &amp; $C$3 &amp; "'!$B$18:$X$18"), INDIRECT("'" &amp; $C$3 &amp; "'!$B$20:$X$219"),"XXXXX",0,1),    "XX",    0,    1)</f>
        <v>101.9</v>
      </c>
      <c r="J30" s="11">
        <f t="shared" si="0"/>
        <v>31.9</v>
      </c>
      <c r="K30" s="11">
        <f t="shared" si="1"/>
        <v>17.143000000000001</v>
      </c>
      <c r="L30" s="11">
        <f t="shared" si="2"/>
        <v>49.042999999999999</v>
      </c>
      <c r="M30" s="11" cm="1">
        <f t="array" aca="1" ref="M30" ca="1">_xlfn.XLOOKUP($B30,    INDIRECT("'" &amp; $C$3 &amp; "'!$A$20:$A$219"),    _xlfn.XLOOKUP(M$18,INDIRECT("'" &amp; $C$3 &amp; "'!$B$18:$X$18"), INDIRECT("'" &amp; $C$3 &amp; "'!$B$20:$X$219"),"XXXXX",0,1),    "XX",    0,    1)</f>
        <v>33</v>
      </c>
      <c r="N30" s="11">
        <f t="shared" ca="1" si="3"/>
        <v>26.5</v>
      </c>
      <c r="O30" s="4">
        <f t="shared" ca="1" si="4"/>
        <v>9.3570000000000064</v>
      </c>
      <c r="P30" s="11">
        <v>21.357099999999999</v>
      </c>
      <c r="Q30" s="11">
        <f t="shared" ca="1" si="5"/>
        <v>37.042900000000003</v>
      </c>
      <c r="R30" s="11" t="str">
        <f t="shared" ca="1" si="6"/>
        <v>conical</v>
      </c>
      <c r="S30" s="13">
        <f t="shared" ca="1" si="7"/>
        <v>8.8999999999999986</v>
      </c>
      <c r="T30" s="13"/>
    </row>
    <row r="31" spans="1:21" x14ac:dyDescent="0.2">
      <c r="A31" s="11" t="s">
        <v>7</v>
      </c>
      <c r="B31" s="11" t="s">
        <v>209</v>
      </c>
      <c r="C31" s="11">
        <f>_xlfn.XLOOKUP($A31,'Conical section geometry'!$B$11:$B$17,'Conical section geometry'!$C$11:$C$17,"XXXX",0,1)</f>
        <v>-6.5</v>
      </c>
      <c r="D31" s="11">
        <f>_xlfn.XLOOKUP($A31,'Conical section geometry'!$B$11:$B$17,'Conical section geometry'!$D$11:$D$17,"XXXX",0,1)</f>
        <v>-23.643000000000001</v>
      </c>
      <c r="E31" s="11" cm="1">
        <f t="array" aca="1" ref="E31" ca="1">_xlfn.XLOOKUP($B31,    INDIRECT("'" &amp; $C$3 &amp; "'!$A$20:$A$219"),    _xlfn.XLOOKUP(E$18,INDIRECT("'" &amp; $C$3 &amp; "'!$B$18:$X$18"), INDIRECT("'" &amp; $C$3 &amp; "'!$B$20:$X$219"),"XXXXX",0,1),    "XX",    0,    1)</f>
        <v>8</v>
      </c>
      <c r="F31" s="11" cm="1">
        <f t="array" aca="1" ref="F31" ca="1">_xlfn.XLOOKUP($B31,    INDIRECT("'" &amp; $C$3 &amp; "'!$A$20:$A$219"),    _xlfn.XLOOKUP(F$18,INDIRECT("'" &amp; $C$3 &amp; "'!$B$18:$X$18"), INDIRECT("'" &amp; $C$3 &amp; "'!$B$20:$X$219"),"XXXXX",0,1),    "XX",    0,    1)</f>
        <v>11</v>
      </c>
      <c r="G31" s="11">
        <f>_xlfn.XLOOKUP($A31,'Conical section geometry'!$B$11:$B$17,'Conical section geometry'!$E$11:$E$17,"XXXX",0,1)</f>
        <v>-174.99854167881901</v>
      </c>
      <c r="H31" s="11" cm="1">
        <f t="array" aca="1" ref="H31" ca="1">_xlfn.XLOOKUP($B31,    INDIRECT("'" &amp; $C$3 &amp; "'!$A$20:$A$219"),    _xlfn.XLOOKUP(H$18,INDIRECT("'" &amp; $C$3 &amp; "'!$B$18:$X$18"), INDIRECT("'" &amp; $C$3 &amp; "'!$B$20:$X$219"),"XXXXX",0,1),    "XX",    0,    1)</f>
        <v>-40.799999999999997</v>
      </c>
      <c r="I31" s="11" cm="1">
        <f t="array" aca="1" ref="I31" ca="1">_xlfn.XLOOKUP($B31,    INDIRECT("'" &amp; $C$3 &amp; "'!$A$20:$A$219"),    _xlfn.XLOOKUP(I$18,INDIRECT("'" &amp; $C$3 &amp; "'!$B$18:$X$18"), INDIRECT("'" &amp; $C$3 &amp; "'!$B$20:$X$219"),"XXXXX",0,1),    "XX",    0,    1)</f>
        <v>99.2</v>
      </c>
      <c r="J31" s="11">
        <f t="shared" si="0"/>
        <v>31.9</v>
      </c>
      <c r="K31" s="11">
        <f t="shared" si="1"/>
        <v>17.143000000000001</v>
      </c>
      <c r="L31" s="11">
        <f t="shared" si="2"/>
        <v>49.042999999999999</v>
      </c>
      <c r="M31" s="11" cm="1">
        <f t="array" aca="1" ref="M31" ca="1">_xlfn.XLOOKUP($B31,    INDIRECT("'" &amp; $C$3 &amp; "'!$A$20:$A$219"),    _xlfn.XLOOKUP(M$18,INDIRECT("'" &amp; $C$3 &amp; "'!$B$18:$X$18"), INDIRECT("'" &amp; $C$3 &amp; "'!$B$20:$X$219"),"XXXXX",0,1),    "XX",    0,    1)</f>
        <v>33</v>
      </c>
      <c r="N31" s="11">
        <f t="shared" ca="1" si="3"/>
        <v>26.500000000000014</v>
      </c>
      <c r="O31" s="4">
        <f t="shared" ca="1" si="4"/>
        <v>9.3570000000000064</v>
      </c>
      <c r="P31" s="11">
        <v>21.357099999999999</v>
      </c>
      <c r="Q31" s="11">
        <f t="shared" ca="1" si="5"/>
        <v>37.042900000000003</v>
      </c>
      <c r="R31" s="11" t="str">
        <f t="shared" ca="1" si="6"/>
        <v>conical</v>
      </c>
      <c r="S31" s="13">
        <f t="shared" ca="1" si="7"/>
        <v>8.8999999999999986</v>
      </c>
      <c r="T31" s="13"/>
    </row>
    <row r="32" spans="1:21" x14ac:dyDescent="0.2">
      <c r="A32" s="11" t="s">
        <v>7</v>
      </c>
      <c r="B32" s="11" t="s">
        <v>189</v>
      </c>
      <c r="C32" s="11">
        <f>_xlfn.XLOOKUP($A32,'Conical section geometry'!$B$11:$B$17,'Conical section geometry'!$C$11:$C$17,"XXXX",0,1)</f>
        <v>-6.5</v>
      </c>
      <c r="D32" s="11">
        <f>_xlfn.XLOOKUP($A32,'Conical section geometry'!$B$11:$B$17,'Conical section geometry'!$D$11:$D$17,"XXXX",0,1)</f>
        <v>-23.643000000000001</v>
      </c>
      <c r="E32" s="11" cm="1">
        <f t="array" aca="1" ref="E32" ca="1">_xlfn.XLOOKUP($B32,    INDIRECT("'" &amp; $C$3 &amp; "'!$A$20:$A$219"),    _xlfn.XLOOKUP(E$18,INDIRECT("'" &amp; $C$3 &amp; "'!$B$18:$X$18"), INDIRECT("'" &amp; $C$3 &amp; "'!$B$20:$X$219"),"XXXXX",0,1),    "XX",    0,    1)</f>
        <v>8</v>
      </c>
      <c r="F32" s="11" cm="1">
        <f t="array" aca="1" ref="F32" ca="1">_xlfn.XLOOKUP($B32,    INDIRECT("'" &amp; $C$3 &amp; "'!$A$20:$A$219"),    _xlfn.XLOOKUP(F$18,INDIRECT("'" &amp; $C$3 &amp; "'!$B$18:$X$18"), INDIRECT("'" &amp; $C$3 &amp; "'!$B$20:$X$219"),"XXXXX",0,1),    "XX",    0,    1)</f>
        <v>11</v>
      </c>
      <c r="G32" s="11">
        <f>_xlfn.XLOOKUP($A32,'Conical section geometry'!$B$11:$B$17,'Conical section geometry'!$E$11:$E$17,"XXXX",0,1)</f>
        <v>-174.99854167881901</v>
      </c>
      <c r="H32" s="11" cm="1">
        <f t="array" aca="1" ref="H32" ca="1">_xlfn.XLOOKUP($B32,    INDIRECT("'" &amp; $C$3 &amp; "'!$A$20:$A$219"),    _xlfn.XLOOKUP(H$18,INDIRECT("'" &amp; $C$3 &amp; "'!$B$18:$X$18"), INDIRECT("'" &amp; $C$3 &amp; "'!$B$20:$X$219"),"XXXXX",0,1),    "XX",    0,    1)</f>
        <v>-39.5</v>
      </c>
      <c r="I32" s="11" cm="1">
        <f t="array" aca="1" ref="I32" ca="1">_xlfn.XLOOKUP($B32,    INDIRECT("'" &amp; $C$3 &amp; "'!$A$20:$A$219"),    _xlfn.XLOOKUP(I$18,INDIRECT("'" &amp; $C$3 &amp; "'!$B$18:$X$18"), INDIRECT("'" &amp; $C$3 &amp; "'!$B$20:$X$219"),"XXXXX",0,1),    "XX",    0,    1)</f>
        <v>97.9</v>
      </c>
      <c r="J32" s="11">
        <f t="shared" si="0"/>
        <v>31.9</v>
      </c>
      <c r="K32" s="11">
        <f t="shared" si="1"/>
        <v>17.143000000000001</v>
      </c>
      <c r="L32" s="11">
        <f t="shared" si="2"/>
        <v>49.042999999999999</v>
      </c>
      <c r="M32" s="11" cm="1">
        <f t="array" aca="1" ref="M32" ca="1">_xlfn.XLOOKUP($B32,    INDIRECT("'" &amp; $C$3 &amp; "'!$A$20:$A$219"),    _xlfn.XLOOKUP(M$18,INDIRECT("'" &amp; $C$3 &amp; "'!$B$18:$X$18"), INDIRECT("'" &amp; $C$3 &amp; "'!$B$20:$X$219"),"XXXXX",0,1),    "XX",    0,    1)</f>
        <v>33</v>
      </c>
      <c r="N32" s="11">
        <f t="shared" ca="1" si="3"/>
        <v>26.5</v>
      </c>
      <c r="O32" s="4">
        <f t="shared" ca="1" si="4"/>
        <v>9.3570000000000064</v>
      </c>
      <c r="P32" s="11">
        <v>21.357099999999999</v>
      </c>
      <c r="Q32" s="11">
        <f t="shared" ca="1" si="5"/>
        <v>37.042900000000003</v>
      </c>
      <c r="R32" s="11" t="str">
        <f t="shared" ca="1" si="6"/>
        <v>conical</v>
      </c>
      <c r="S32" s="13">
        <f t="shared" ca="1" si="7"/>
        <v>8.8999999999999986</v>
      </c>
      <c r="T32" s="13"/>
    </row>
    <row r="33" spans="1:20" x14ac:dyDescent="0.2">
      <c r="A33" s="11" t="s">
        <v>7</v>
      </c>
      <c r="B33" s="11" t="s">
        <v>207</v>
      </c>
      <c r="C33" s="11">
        <f>_xlfn.XLOOKUP($A33,'Conical section geometry'!$B$11:$B$17,'Conical section geometry'!$C$11:$C$17,"XXXX",0,1)</f>
        <v>-6.5</v>
      </c>
      <c r="D33" s="11">
        <f>_xlfn.XLOOKUP($A33,'Conical section geometry'!$B$11:$B$17,'Conical section geometry'!$D$11:$D$17,"XXXX",0,1)</f>
        <v>-23.643000000000001</v>
      </c>
      <c r="E33" s="11" cm="1">
        <f t="array" aca="1" ref="E33" ca="1">_xlfn.XLOOKUP($B33,    INDIRECT("'" &amp; $C$3 &amp; "'!$A$20:$A$219"),    _xlfn.XLOOKUP(E$18,INDIRECT("'" &amp; $C$3 &amp; "'!$B$18:$X$18"), INDIRECT("'" &amp; $C$3 &amp; "'!$B$20:$X$219"),"XXXXX",0,1),    "XX",    0,    1)</f>
        <v>8</v>
      </c>
      <c r="F33" s="11" cm="1">
        <f t="array" aca="1" ref="F33" ca="1">_xlfn.XLOOKUP($B33,    INDIRECT("'" &amp; $C$3 &amp; "'!$A$20:$A$219"),    _xlfn.XLOOKUP(F$18,INDIRECT("'" &amp; $C$3 &amp; "'!$B$18:$X$18"), INDIRECT("'" &amp; $C$3 &amp; "'!$B$20:$X$219"),"XXXXX",0,1),    "XX",    0,    1)</f>
        <v>11</v>
      </c>
      <c r="G33" s="11">
        <f>_xlfn.XLOOKUP($A33,'Conical section geometry'!$B$11:$B$17,'Conical section geometry'!$E$11:$E$17,"XXXX",0,1)</f>
        <v>-174.99854167881901</v>
      </c>
      <c r="H33" s="11" cm="1">
        <f t="array" aca="1" ref="H33" ca="1">_xlfn.XLOOKUP($B33,    INDIRECT("'" &amp; $C$3 &amp; "'!$A$20:$A$219"),    _xlfn.XLOOKUP(H$18,INDIRECT("'" &amp; $C$3 &amp; "'!$B$18:$X$18"), INDIRECT("'" &amp; $C$3 &amp; "'!$B$20:$X$219"),"XXXXX",0,1),    "XX",    0,    1)</f>
        <v>-41.4</v>
      </c>
      <c r="I33" s="11" cm="1">
        <f t="array" aca="1" ref="I33" ca="1">_xlfn.XLOOKUP($B33,    INDIRECT("'" &amp; $C$3 &amp; "'!$A$20:$A$219"),    _xlfn.XLOOKUP(I$18,INDIRECT("'" &amp; $C$3 &amp; "'!$B$18:$X$18"), INDIRECT("'" &amp; $C$3 &amp; "'!$B$20:$X$219"),"XXXXX",0,1),    "XX",    0,    1)</f>
        <v>99.7</v>
      </c>
      <c r="J33" s="11">
        <f t="shared" si="0"/>
        <v>31.9</v>
      </c>
      <c r="K33" s="11">
        <f t="shared" si="1"/>
        <v>17.143000000000001</v>
      </c>
      <c r="L33" s="11">
        <f t="shared" si="2"/>
        <v>49.042999999999999</v>
      </c>
      <c r="M33" s="11" cm="1">
        <f t="array" aca="1" ref="M33" ca="1">_xlfn.XLOOKUP($B33,    INDIRECT("'" &amp; $C$3 &amp; "'!$A$20:$A$219"),    _xlfn.XLOOKUP(M$18,INDIRECT("'" &amp; $C$3 &amp; "'!$B$18:$X$18"), INDIRECT("'" &amp; $C$3 &amp; "'!$B$20:$X$219"),"XXXXX",0,1),    "XX",    0,    1)</f>
        <v>32.9</v>
      </c>
      <c r="N33" s="11">
        <f t="shared" ca="1" si="3"/>
        <v>26.400000000000013</v>
      </c>
      <c r="O33" s="4">
        <f t="shared" ca="1" si="4"/>
        <v>9.257000000000005</v>
      </c>
      <c r="P33" s="11">
        <v>21.257099999999998</v>
      </c>
      <c r="Q33" s="11">
        <f t="shared" ca="1" si="5"/>
        <v>37.042900000000003</v>
      </c>
      <c r="R33" s="11" t="str">
        <f t="shared" ca="1" si="6"/>
        <v>conical</v>
      </c>
      <c r="S33" s="13">
        <f t="shared" ca="1" si="7"/>
        <v>8.8999999999999986</v>
      </c>
      <c r="T33" s="13"/>
    </row>
    <row r="34" spans="1:20" x14ac:dyDescent="0.2">
      <c r="A34" s="11" t="s">
        <v>4</v>
      </c>
      <c r="B34" s="11" t="s">
        <v>178</v>
      </c>
      <c r="C34" s="11">
        <f>_xlfn.XLOOKUP($A34,'Conical section geometry'!$B$11:$B$17,'Conical section geometry'!$C$11:$C$17,"XXXX",0,1)</f>
        <v>-6.5</v>
      </c>
      <c r="D34" s="11">
        <f>_xlfn.XLOOKUP($A34,'Conical section geometry'!$B$11:$B$17,'Conical section geometry'!$D$11:$D$17,"XXXX",0,1)</f>
        <v>-20.786000000000001</v>
      </c>
      <c r="E34" s="11" cm="1">
        <f t="array" aca="1" ref="E34" ca="1">_xlfn.XLOOKUP($B34,    INDIRECT("'" &amp; $C$3 &amp; "'!$A$20:$A$219"),    _xlfn.XLOOKUP(E$18,INDIRECT("'" &amp; $C$3 &amp; "'!$B$18:$X$18"), INDIRECT("'" &amp; $C$3 &amp; "'!$B$20:$X$219"),"XXXXX",0,1),    "XX",    0,    1)</f>
        <v>8</v>
      </c>
      <c r="F34" s="11" cm="1">
        <f t="array" aca="1" ref="F34" ca="1">_xlfn.XLOOKUP($B34,    INDIRECT("'" &amp; $C$3 &amp; "'!$A$20:$A$219"),    _xlfn.XLOOKUP(F$18,INDIRECT("'" &amp; $C$3 &amp; "'!$B$18:$X$18"), INDIRECT("'" &amp; $C$3 &amp; "'!$B$20:$X$219"),"XXXXX",0,1),    "XX",    0,    1)</f>
        <v>10.5</v>
      </c>
      <c r="G34" s="11">
        <f>_xlfn.XLOOKUP($A34,'Conical section geometry'!$B$11:$B$17,'Conical section geometry'!$E$11:$E$17,"XXXX",0,1)</f>
        <v>-174.996500069999</v>
      </c>
      <c r="H34" s="11" cm="1">
        <f t="array" aca="1" ref="H34" ca="1">_xlfn.XLOOKUP($B34,    INDIRECT("'" &amp; $C$3 &amp; "'!$A$20:$A$219"),    _xlfn.XLOOKUP(H$18,INDIRECT("'" &amp; $C$3 &amp; "'!$B$18:$X$18"), INDIRECT("'" &amp; $C$3 &amp; "'!$B$20:$X$219"),"XXXXX",0,1),    "XX",    0,    1)</f>
        <v>-36.5</v>
      </c>
      <c r="I34" s="11" cm="1">
        <f t="array" aca="1" ref="I34" ca="1">_xlfn.XLOOKUP($B34,    INDIRECT("'" &amp; $C$3 &amp; "'!$A$20:$A$219"),    _xlfn.XLOOKUP(I$18,INDIRECT("'" &amp; $C$3 &amp; "'!$B$18:$X$18"), INDIRECT("'" &amp; $C$3 &amp; "'!$B$20:$X$219"),"XXXXX",0,1),    "XX",    0,    1)</f>
        <v>94.6</v>
      </c>
      <c r="J34" s="11">
        <f t="shared" si="0"/>
        <v>31.9</v>
      </c>
      <c r="K34" s="11">
        <f t="shared" si="1"/>
        <v>14.286000000000001</v>
      </c>
      <c r="L34" s="11">
        <f t="shared" si="2"/>
        <v>46.186</v>
      </c>
      <c r="M34" s="11" cm="1">
        <f t="array" aca="1" ref="M34" ca="1">_xlfn.XLOOKUP($B34,    INDIRECT("'" &amp; $C$3 &amp; "'!$A$20:$A$219"),    _xlfn.XLOOKUP(M$18,INDIRECT("'" &amp; $C$3 &amp; "'!$B$18:$X$18"), INDIRECT("'" &amp; $C$3 &amp; "'!$B$20:$X$219"),"XXXXX",0,1),    "XX",    0,    1)</f>
        <v>32.700000000000003</v>
      </c>
      <c r="N34" s="11">
        <f t="shared" ca="1" si="3"/>
        <v>26.199999999999996</v>
      </c>
      <c r="O34" s="4">
        <f t="shared" ca="1" si="4"/>
        <v>11.913999999999994</v>
      </c>
      <c r="P34" s="11">
        <v>21.057040000000015</v>
      </c>
      <c r="Q34" s="11">
        <f t="shared" ca="1" si="5"/>
        <v>37.042959999999979</v>
      </c>
      <c r="R34" s="11" t="str">
        <f t="shared" ca="1" si="6"/>
        <v>conical</v>
      </c>
      <c r="S34" s="13">
        <f t="shared" ca="1" si="7"/>
        <v>8.8999999999999986</v>
      </c>
      <c r="T34" s="13"/>
    </row>
    <row r="35" spans="1:20" x14ac:dyDescent="0.2">
      <c r="A35" s="11" t="s">
        <v>3</v>
      </c>
      <c r="B35" s="11" t="s">
        <v>89</v>
      </c>
      <c r="C35" s="11">
        <f>_xlfn.XLOOKUP($A35,'Conical section geometry'!$B$11:$B$17,'Conical section geometry'!$C$11:$C$17,"XXXX",0,1)</f>
        <v>-6.5</v>
      </c>
      <c r="D35" s="11">
        <f>_xlfn.XLOOKUP($A35,'Conical section geometry'!$B$11:$B$17,'Conical section geometry'!$D$11:$D$17,"XXXX",0,1)</f>
        <v>-17.928999999999998</v>
      </c>
      <c r="E35" s="11" cm="1">
        <f t="array" aca="1" ref="E35" ca="1">_xlfn.XLOOKUP($B35,    INDIRECT("'" &amp; $C$3 &amp; "'!$A$20:$A$219"),    _xlfn.XLOOKUP(E$18,INDIRECT("'" &amp; $C$3 &amp; "'!$B$18:$X$18"), INDIRECT("'" &amp; $C$3 &amp; "'!$B$20:$X$219"),"XXXXX",0,1),    "XX",    0,    1)</f>
        <v>8</v>
      </c>
      <c r="F35" s="11" cm="1">
        <f t="array" aca="1" ref="F35" ca="1">_xlfn.XLOOKUP($B35,    INDIRECT("'" &amp; $C$3 &amp; "'!$A$20:$A$219"),    _xlfn.XLOOKUP(F$18,INDIRECT("'" &amp; $C$3 &amp; "'!$B$18:$X$18"), INDIRECT("'" &amp; $C$3 &amp; "'!$B$20:$X$219"),"XXXXX",0,1),    "XX",    0,    1)</f>
        <v>10</v>
      </c>
      <c r="G35" s="11">
        <f>_xlfn.XLOOKUP($A35,'Conical section geometry'!$B$11:$B$17,'Conical section geometry'!$E$11:$E$17,"XXXX",0,1)</f>
        <v>-174.99340000000001</v>
      </c>
      <c r="H35" s="11" cm="1">
        <f t="array" aca="1" ref="H35" ca="1">_xlfn.XLOOKUP($B35,    INDIRECT("'" &amp; $C$3 &amp; "'!$A$20:$A$219"),    _xlfn.XLOOKUP(H$18,INDIRECT("'" &amp; $C$3 &amp; "'!$B$18:$X$18"), INDIRECT("'" &amp; $C$3 &amp; "'!$B$20:$X$219"),"XXXXX",0,1),    "XX",    0,    1)</f>
        <v>-31</v>
      </c>
      <c r="I35" s="11" cm="1">
        <f t="array" aca="1" ref="I35" ca="1">_xlfn.XLOOKUP($B35,    INDIRECT("'" &amp; $C$3 &amp; "'!$A$20:$A$219"),    _xlfn.XLOOKUP(I$18,INDIRECT("'" &amp; $C$3 &amp; "'!$B$18:$X$18"), INDIRECT("'" &amp; $C$3 &amp; "'!$B$20:$X$219"),"XXXXX",0,1),    "XX",    0,    1)</f>
        <v>89.1</v>
      </c>
      <c r="J35" s="11">
        <f t="shared" si="0"/>
        <v>31.9</v>
      </c>
      <c r="K35" s="11">
        <f t="shared" si="1"/>
        <v>11.428999999999998</v>
      </c>
      <c r="L35" s="11">
        <f t="shared" si="2"/>
        <v>43.328999999999994</v>
      </c>
      <c r="M35" s="11" cm="1">
        <f t="array" aca="1" ref="M35" ca="1">_xlfn.XLOOKUP($B35,    INDIRECT("'" &amp; $C$3 &amp; "'!$A$20:$A$219"),    _xlfn.XLOOKUP(M$18,INDIRECT("'" &amp; $C$3 &amp; "'!$B$18:$X$18"), INDIRECT("'" &amp; $C$3 &amp; "'!$B$20:$X$219"),"XXXXX",0,1),    "XX",    0,    1)</f>
        <v>32.700000000000003</v>
      </c>
      <c r="N35" s="11">
        <f t="shared" ca="1" si="3"/>
        <v>26.199999999999996</v>
      </c>
      <c r="O35" s="4">
        <f t="shared" ca="1" si="4"/>
        <v>14.771000000000001</v>
      </c>
      <c r="P35" s="11">
        <v>21.05694889064387</v>
      </c>
      <c r="Q35" s="11">
        <f t="shared" ca="1" si="5"/>
        <v>37.043051109356128</v>
      </c>
      <c r="R35" s="11" t="str">
        <f t="shared" ca="1" si="6"/>
        <v>conical</v>
      </c>
      <c r="S35" s="13">
        <f t="shared" ca="1" si="7"/>
        <v>8.9</v>
      </c>
      <c r="T35" s="13"/>
    </row>
    <row r="36" spans="1:20" x14ac:dyDescent="0.2">
      <c r="A36" s="11" t="s">
        <v>7</v>
      </c>
      <c r="B36" s="11" t="s">
        <v>205</v>
      </c>
      <c r="C36" s="11">
        <f>_xlfn.XLOOKUP($A36,'Conical section geometry'!$B$11:$B$17,'Conical section geometry'!$C$11:$C$17,"XXXX",0,1)</f>
        <v>-6.5</v>
      </c>
      <c r="D36" s="11">
        <f>_xlfn.XLOOKUP($A36,'Conical section geometry'!$B$11:$B$17,'Conical section geometry'!$D$11:$D$17,"XXXX",0,1)</f>
        <v>-23.643000000000001</v>
      </c>
      <c r="E36" s="11" cm="1">
        <f t="array" aca="1" ref="E36" ca="1">_xlfn.XLOOKUP($B36,    INDIRECT("'" &amp; $C$3 &amp; "'!$A$20:$A$219"),    _xlfn.XLOOKUP(E$18,INDIRECT("'" &amp; $C$3 &amp; "'!$B$18:$X$18"), INDIRECT("'" &amp; $C$3 &amp; "'!$B$20:$X$219"),"XXXXX",0,1),    "XX",    0,    1)</f>
        <v>8</v>
      </c>
      <c r="F36" s="11" cm="1">
        <f t="array" aca="1" ref="F36" ca="1">_xlfn.XLOOKUP($B36,    INDIRECT("'" &amp; $C$3 &amp; "'!$A$20:$A$219"),    _xlfn.XLOOKUP(F$18,INDIRECT("'" &amp; $C$3 &amp; "'!$B$18:$X$18"), INDIRECT("'" &amp; $C$3 &amp; "'!$B$20:$X$219"),"XXXXX",0,1),    "XX",    0,    1)</f>
        <v>11</v>
      </c>
      <c r="G36" s="11">
        <f>_xlfn.XLOOKUP($A36,'Conical section geometry'!$B$11:$B$17,'Conical section geometry'!$E$11:$E$17,"XXXX",0,1)</f>
        <v>-174.99854167881901</v>
      </c>
      <c r="H36" s="11" cm="1">
        <f t="array" aca="1" ref="H36" ca="1">_xlfn.XLOOKUP($B36,    INDIRECT("'" &amp; $C$3 &amp; "'!$A$20:$A$219"),    _xlfn.XLOOKUP(H$18,INDIRECT("'" &amp; $C$3 &amp; "'!$B$18:$X$18"), INDIRECT("'" &amp; $C$3 &amp; "'!$B$20:$X$219"),"XXXXX",0,1),    "XX",    0,    1)</f>
        <v>-42.4</v>
      </c>
      <c r="I36" s="11" cm="1">
        <f t="array" aca="1" ref="I36" ca="1">_xlfn.XLOOKUP($B36,    INDIRECT("'" &amp; $C$3 &amp; "'!$A$20:$A$219"),    _xlfn.XLOOKUP(I$18,INDIRECT("'" &amp; $C$3 &amp; "'!$B$18:$X$18"), INDIRECT("'" &amp; $C$3 &amp; "'!$B$20:$X$219"),"XXXXX",0,1),    "XX",    0,    1)</f>
        <v>100.1</v>
      </c>
      <c r="J36" s="11">
        <f t="shared" si="0"/>
        <v>31.9</v>
      </c>
      <c r="K36" s="11">
        <f t="shared" si="1"/>
        <v>17.143000000000001</v>
      </c>
      <c r="L36" s="11">
        <f t="shared" si="2"/>
        <v>49.042999999999999</v>
      </c>
      <c r="M36" s="11" cm="1">
        <f t="array" aca="1" ref="M36" ca="1">_xlfn.XLOOKUP($B36,    INDIRECT("'" &amp; $C$3 &amp; "'!$A$20:$A$219"),    _xlfn.XLOOKUP(M$18,INDIRECT("'" &amp; $C$3 &amp; "'!$B$18:$X$18"), INDIRECT("'" &amp; $C$3 &amp; "'!$B$20:$X$219"),"XXXXX",0,1),    "XX",    0,    1)</f>
        <v>32.299999999999997</v>
      </c>
      <c r="N36" s="11">
        <f t="shared" ca="1" si="3"/>
        <v>25.79999999999999</v>
      </c>
      <c r="O36" s="4">
        <f t="shared" ca="1" si="4"/>
        <v>8.6569999999999965</v>
      </c>
      <c r="P36" s="11">
        <v>20.657099999999996</v>
      </c>
      <c r="Q36" s="11">
        <f t="shared" ca="1" si="5"/>
        <v>37.042900000000003</v>
      </c>
      <c r="R36" s="11" t="str">
        <f t="shared" ca="1" si="6"/>
        <v>conical</v>
      </c>
      <c r="S36" s="13">
        <f t="shared" ca="1" si="7"/>
        <v>8.8999999999999986</v>
      </c>
      <c r="T36" s="13"/>
    </row>
    <row r="37" spans="1:20" x14ac:dyDescent="0.2">
      <c r="A37" s="11" t="s">
        <v>7</v>
      </c>
      <c r="B37" s="11" t="s">
        <v>194</v>
      </c>
      <c r="C37" s="11">
        <f>_xlfn.XLOOKUP($A37,'Conical section geometry'!$B$11:$B$17,'Conical section geometry'!$C$11:$C$17,"XXXX",0,1)</f>
        <v>-6.5</v>
      </c>
      <c r="D37" s="11">
        <f>_xlfn.XLOOKUP($A37,'Conical section geometry'!$B$11:$B$17,'Conical section geometry'!$D$11:$D$17,"XXXX",0,1)</f>
        <v>-23.643000000000001</v>
      </c>
      <c r="E37" s="11" cm="1">
        <f t="array" aca="1" ref="E37" ca="1">_xlfn.XLOOKUP($B37,    INDIRECT("'" &amp; $C$3 &amp; "'!$A$20:$A$219"),    _xlfn.XLOOKUP(E$18,INDIRECT("'" &amp; $C$3 &amp; "'!$B$18:$X$18"), INDIRECT("'" &amp; $C$3 &amp; "'!$B$20:$X$219"),"XXXXX",0,1),    "XX",    0,    1)</f>
        <v>8</v>
      </c>
      <c r="F37" s="11" cm="1">
        <f t="array" aca="1" ref="F37" ca="1">_xlfn.XLOOKUP($B37,    INDIRECT("'" &amp; $C$3 &amp; "'!$A$20:$A$219"),    _xlfn.XLOOKUP(F$18,INDIRECT("'" &amp; $C$3 &amp; "'!$B$18:$X$18"), INDIRECT("'" &amp; $C$3 &amp; "'!$B$20:$X$219"),"XXXXX",0,1),    "XX",    0,    1)</f>
        <v>11</v>
      </c>
      <c r="G37" s="11">
        <f>_xlfn.XLOOKUP($A37,'Conical section geometry'!$B$11:$B$17,'Conical section geometry'!$E$11:$E$17,"XXXX",0,1)</f>
        <v>-174.99854167881901</v>
      </c>
      <c r="H37" s="11" cm="1">
        <f t="array" aca="1" ref="H37" ca="1">_xlfn.XLOOKUP($B37,    INDIRECT("'" &amp; $C$3 &amp; "'!$A$20:$A$219"),    _xlfn.XLOOKUP(H$18,INDIRECT("'" &amp; $C$3 &amp; "'!$B$18:$X$18"), INDIRECT("'" &amp; $C$3 &amp; "'!$B$20:$X$219"),"XXXXX",0,1),    "XX",    0,    1)</f>
        <v>-46.6</v>
      </c>
      <c r="I37" s="11" cm="1">
        <f t="array" aca="1" ref="I37" ca="1">_xlfn.XLOOKUP($B37,    INDIRECT("'" &amp; $C$3 &amp; "'!$A$20:$A$219"),    _xlfn.XLOOKUP(I$18,INDIRECT("'" &amp; $C$3 &amp; "'!$B$18:$X$18"), INDIRECT("'" &amp; $C$3 &amp; "'!$B$20:$X$219"),"XXXXX",0,1),    "XX",    0,    1)</f>
        <v>104.2</v>
      </c>
      <c r="J37" s="11">
        <f t="shared" si="0"/>
        <v>31.9</v>
      </c>
      <c r="K37" s="11">
        <f t="shared" si="1"/>
        <v>17.143000000000001</v>
      </c>
      <c r="L37" s="11">
        <f t="shared" si="2"/>
        <v>49.042999999999999</v>
      </c>
      <c r="M37" s="11" cm="1">
        <f t="array" aca="1" ref="M37" ca="1">_xlfn.XLOOKUP($B37,    INDIRECT("'" &amp; $C$3 &amp; "'!$A$20:$A$219"),    _xlfn.XLOOKUP(M$18,INDIRECT("'" &amp; $C$3 &amp; "'!$B$18:$X$18"), INDIRECT("'" &amp; $C$3 &amp; "'!$B$20:$X$219"),"XXXXX",0,1),    "XX",    0,    1)</f>
        <v>32.200000000000003</v>
      </c>
      <c r="N37" s="11">
        <f t="shared" ca="1" si="3"/>
        <v>25.70000000000001</v>
      </c>
      <c r="O37" s="4">
        <f t="shared" ca="1" si="4"/>
        <v>8.5570000000000022</v>
      </c>
      <c r="P37" s="11">
        <v>20.557099999999988</v>
      </c>
      <c r="Q37" s="11">
        <f t="shared" ca="1" si="5"/>
        <v>37.042900000000017</v>
      </c>
      <c r="R37" s="11" t="str">
        <f t="shared" ca="1" si="6"/>
        <v>conical</v>
      </c>
      <c r="S37" s="13">
        <f t="shared" ca="1" si="7"/>
        <v>8.9000000000000021</v>
      </c>
      <c r="T37" s="13"/>
    </row>
    <row r="38" spans="1:20" x14ac:dyDescent="0.2">
      <c r="A38" s="11" t="s">
        <v>3</v>
      </c>
      <c r="B38" s="11" t="s">
        <v>29</v>
      </c>
      <c r="C38" s="11">
        <f>_xlfn.XLOOKUP($A38,'Conical section geometry'!$B$11:$B$17,'Conical section geometry'!$C$11:$C$17,"XXXX",0,1)</f>
        <v>-6.5</v>
      </c>
      <c r="D38" s="11">
        <f>_xlfn.XLOOKUP($A38,'Conical section geometry'!$B$11:$B$17,'Conical section geometry'!$D$11:$D$17,"XXXX",0,1)</f>
        <v>-17.928999999999998</v>
      </c>
      <c r="E38" s="11" cm="1">
        <f t="array" aca="1" ref="E38" ca="1">_xlfn.XLOOKUP($B38,    INDIRECT("'" &amp; $C$3 &amp; "'!$A$20:$A$219"),    _xlfn.XLOOKUP(E$18,INDIRECT("'" &amp; $C$3 &amp; "'!$B$18:$X$18"), INDIRECT("'" &amp; $C$3 &amp; "'!$B$20:$X$219"),"XXXXX",0,1),    "XX",    0,    1)</f>
        <v>8</v>
      </c>
      <c r="F38" s="11" cm="1">
        <f t="array" aca="1" ref="F38" ca="1">_xlfn.XLOOKUP($B38,    INDIRECT("'" &amp; $C$3 &amp; "'!$A$20:$A$219"),    _xlfn.XLOOKUP(F$18,INDIRECT("'" &amp; $C$3 &amp; "'!$B$18:$X$18"), INDIRECT("'" &amp; $C$3 &amp; "'!$B$20:$X$219"),"XXXXX",0,1),    "XX",    0,    1)</f>
        <v>10</v>
      </c>
      <c r="G38" s="11">
        <f>_xlfn.XLOOKUP($A38,'Conical section geometry'!$B$11:$B$17,'Conical section geometry'!$E$11:$E$17,"XXXX",0,1)</f>
        <v>-174.99340000000001</v>
      </c>
      <c r="H38" s="11" cm="1">
        <f t="array" aca="1" ref="H38" ca="1">_xlfn.XLOOKUP($B38,    INDIRECT("'" &amp; $C$3 &amp; "'!$A$20:$A$219"),    _xlfn.XLOOKUP(H$18,INDIRECT("'" &amp; $C$3 &amp; "'!$B$18:$X$18"), INDIRECT("'" &amp; $C$3 &amp; "'!$B$20:$X$219"),"XXXXX",0,1),    "XX",    0,    1)</f>
        <v>-34.4</v>
      </c>
      <c r="I38" s="11" cm="1">
        <f t="array" aca="1" ref="I38" ca="1">_xlfn.XLOOKUP($B38,    INDIRECT("'" &amp; $C$3 &amp; "'!$A$20:$A$219"),    _xlfn.XLOOKUP(I$18,INDIRECT("'" &amp; $C$3 &amp; "'!$B$18:$X$18"), INDIRECT("'" &amp; $C$3 &amp; "'!$B$20:$X$219"),"XXXXX",0,1),    "XX",    0,    1)</f>
        <v>92</v>
      </c>
      <c r="J38" s="11">
        <f t="shared" si="0"/>
        <v>31.9</v>
      </c>
      <c r="K38" s="11">
        <f t="shared" si="1"/>
        <v>11.428999999999998</v>
      </c>
      <c r="L38" s="11">
        <f t="shared" si="2"/>
        <v>43.328999999999994</v>
      </c>
      <c r="M38" s="11" cm="1">
        <f t="array" aca="1" ref="M38" ca="1">_xlfn.XLOOKUP($B38,    INDIRECT("'" &amp; $C$3 &amp; "'!$A$20:$A$219"),    _xlfn.XLOOKUP(M$18,INDIRECT("'" &amp; $C$3 &amp; "'!$B$18:$X$18"), INDIRECT("'" &amp; $C$3 &amp; "'!$B$20:$X$219"),"XXXXX",0,1),    "XX",    0,    1)</f>
        <v>32.200000000000003</v>
      </c>
      <c r="N38" s="11">
        <f t="shared" ca="1" si="3"/>
        <v>25.700000000000003</v>
      </c>
      <c r="O38" s="4">
        <f t="shared" ca="1" si="4"/>
        <v>14.271000000000008</v>
      </c>
      <c r="P38" s="11">
        <v>20.556948890643898</v>
      </c>
      <c r="Q38" s="11">
        <f t="shared" ca="1" si="5"/>
        <v>37.043051109356099</v>
      </c>
      <c r="R38" s="11" t="str">
        <f t="shared" ca="1" si="6"/>
        <v>conical</v>
      </c>
      <c r="S38" s="13">
        <f t="shared" ca="1" si="7"/>
        <v>8.899999999999995</v>
      </c>
      <c r="T38" s="13"/>
    </row>
    <row r="39" spans="1:20" x14ac:dyDescent="0.2">
      <c r="A39" s="11" t="s">
        <v>4</v>
      </c>
      <c r="B39" s="11" t="s">
        <v>173</v>
      </c>
      <c r="C39" s="11">
        <f>_xlfn.XLOOKUP($A39,'Conical section geometry'!$B$11:$B$17,'Conical section geometry'!$C$11:$C$17,"XXXX",0,1)</f>
        <v>-6.5</v>
      </c>
      <c r="D39" s="11">
        <f>_xlfn.XLOOKUP($A39,'Conical section geometry'!$B$11:$B$17,'Conical section geometry'!$D$11:$D$17,"XXXX",0,1)</f>
        <v>-20.786000000000001</v>
      </c>
      <c r="E39" s="11" cm="1">
        <f t="array" aca="1" ref="E39" ca="1">_xlfn.XLOOKUP($B39,    INDIRECT("'" &amp; $C$3 &amp; "'!$A$20:$A$219"),    _xlfn.XLOOKUP(E$18,INDIRECT("'" &amp; $C$3 &amp; "'!$B$18:$X$18"), INDIRECT("'" &amp; $C$3 &amp; "'!$B$20:$X$219"),"XXXXX",0,1),    "XX",    0,    1)</f>
        <v>8</v>
      </c>
      <c r="F39" s="11" cm="1">
        <f t="array" aca="1" ref="F39" ca="1">_xlfn.XLOOKUP($B39,    INDIRECT("'" &amp; $C$3 &amp; "'!$A$20:$A$219"),    _xlfn.XLOOKUP(F$18,INDIRECT("'" &amp; $C$3 &amp; "'!$B$18:$X$18"), INDIRECT("'" &amp; $C$3 &amp; "'!$B$20:$X$219"),"XXXXX",0,1),    "XX",    0,    1)</f>
        <v>10.5</v>
      </c>
      <c r="G39" s="11">
        <f>_xlfn.XLOOKUP($A39,'Conical section geometry'!$B$11:$B$17,'Conical section geometry'!$E$11:$E$17,"XXXX",0,1)</f>
        <v>-174.996500069999</v>
      </c>
      <c r="H39" s="11" cm="1">
        <f t="array" aca="1" ref="H39" ca="1">_xlfn.XLOOKUP($B39,    INDIRECT("'" &amp; $C$3 &amp; "'!$A$20:$A$219"),    _xlfn.XLOOKUP(H$18,INDIRECT("'" &amp; $C$3 &amp; "'!$B$18:$X$18"), INDIRECT("'" &amp; $C$3 &amp; "'!$B$20:$X$219"),"XXXXX",0,1),    "XX",    0,    1)</f>
        <v>-38.799999999999997</v>
      </c>
      <c r="I39" s="11" cm="1">
        <f t="array" aca="1" ref="I39" ca="1">_xlfn.XLOOKUP($B39,    INDIRECT("'" &amp; $C$3 &amp; "'!$A$20:$A$219"),    _xlfn.XLOOKUP(I$18,INDIRECT("'" &amp; $C$3 &amp; "'!$B$18:$X$18"), INDIRECT("'" &amp; $C$3 &amp; "'!$B$20:$X$219"),"XXXXX",0,1),    "XX",    0,    1)</f>
        <v>96.3</v>
      </c>
      <c r="J39" s="11">
        <f t="shared" si="0"/>
        <v>31.9</v>
      </c>
      <c r="K39" s="11">
        <f t="shared" si="1"/>
        <v>14.286000000000001</v>
      </c>
      <c r="L39" s="11">
        <f t="shared" si="2"/>
        <v>46.186</v>
      </c>
      <c r="M39" s="11" cm="1">
        <f t="array" aca="1" ref="M39" ca="1">_xlfn.XLOOKUP($B39,    INDIRECT("'" &amp; $C$3 &amp; "'!$A$20:$A$219"),    _xlfn.XLOOKUP(M$18,INDIRECT("'" &amp; $C$3 &amp; "'!$B$18:$X$18"), INDIRECT("'" &amp; $C$3 &amp; "'!$B$20:$X$219"),"XXXXX",0,1),    "XX",    0,    1)</f>
        <v>32.1</v>
      </c>
      <c r="N39" s="11">
        <f t="shared" ca="1" si="3"/>
        <v>25.600000000000009</v>
      </c>
      <c r="O39" s="4">
        <f t="shared" ca="1" si="4"/>
        <v>11.314</v>
      </c>
      <c r="P39" s="11">
        <v>20.45704000000001</v>
      </c>
      <c r="Q39" s="11">
        <f t="shared" ca="1" si="5"/>
        <v>37.042959999999994</v>
      </c>
      <c r="R39" s="11" t="str">
        <f t="shared" ca="1" si="6"/>
        <v>conical</v>
      </c>
      <c r="S39" s="13">
        <f t="shared" ca="1" si="7"/>
        <v>8.9000000000000021</v>
      </c>
      <c r="T39" s="13"/>
    </row>
    <row r="40" spans="1:20" x14ac:dyDescent="0.2">
      <c r="A40" s="11" t="s">
        <v>3</v>
      </c>
      <c r="B40" s="11" t="s">
        <v>135</v>
      </c>
      <c r="C40" s="11">
        <f>_xlfn.XLOOKUP($A40,'Conical section geometry'!$B$11:$B$17,'Conical section geometry'!$C$11:$C$17,"XXXX",0,1)</f>
        <v>-6.5</v>
      </c>
      <c r="D40" s="11">
        <f>_xlfn.XLOOKUP($A40,'Conical section geometry'!$B$11:$B$17,'Conical section geometry'!$D$11:$D$17,"XXXX",0,1)</f>
        <v>-17.928999999999998</v>
      </c>
      <c r="E40" s="11" cm="1">
        <f t="array" aca="1" ref="E40" ca="1">_xlfn.XLOOKUP($B40,    INDIRECT("'" &amp; $C$3 &amp; "'!$A$20:$A$219"),    _xlfn.XLOOKUP(E$18,INDIRECT("'" &amp; $C$3 &amp; "'!$B$18:$X$18"), INDIRECT("'" &amp; $C$3 &amp; "'!$B$20:$X$219"),"XXXXX",0,1),    "XX",    0,    1)</f>
        <v>8</v>
      </c>
      <c r="F40" s="11" cm="1">
        <f t="array" aca="1" ref="F40" ca="1">_xlfn.XLOOKUP($B40,    INDIRECT("'" &amp; $C$3 &amp; "'!$A$20:$A$219"),    _xlfn.XLOOKUP(F$18,INDIRECT("'" &amp; $C$3 &amp; "'!$B$18:$X$18"), INDIRECT("'" &amp; $C$3 &amp; "'!$B$20:$X$219"),"XXXXX",0,1),    "XX",    0,    1)</f>
        <v>10</v>
      </c>
      <c r="G40" s="11">
        <f>_xlfn.XLOOKUP($A40,'Conical section geometry'!$B$11:$B$17,'Conical section geometry'!$E$11:$E$17,"XXXX",0,1)</f>
        <v>-174.99340000000001</v>
      </c>
      <c r="H40" s="11" cm="1">
        <f t="array" aca="1" ref="H40" ca="1">_xlfn.XLOOKUP($B40,    INDIRECT("'" &amp; $C$3 &amp; "'!$A$20:$A$219"),    _xlfn.XLOOKUP(H$18,INDIRECT("'" &amp; $C$3 &amp; "'!$B$18:$X$18"), INDIRECT("'" &amp; $C$3 &amp; "'!$B$20:$X$219"),"XXXXX",0,1),    "XX",    0,    1)</f>
        <v>-28.6</v>
      </c>
      <c r="I40" s="11" cm="1">
        <f t="array" aca="1" ref="I40" ca="1">_xlfn.XLOOKUP($B40,    INDIRECT("'" &amp; $C$3 &amp; "'!$A$20:$A$219"),    _xlfn.XLOOKUP(I$18,INDIRECT("'" &amp; $C$3 &amp; "'!$B$18:$X$18"), INDIRECT("'" &amp; $C$3 &amp; "'!$B$20:$X$219"),"XXXXX",0,1),    "XX",    0,    1)</f>
        <v>86</v>
      </c>
      <c r="J40" s="11">
        <f t="shared" si="0"/>
        <v>31.9</v>
      </c>
      <c r="K40" s="11">
        <f t="shared" si="1"/>
        <v>11.428999999999998</v>
      </c>
      <c r="L40" s="11">
        <f t="shared" si="2"/>
        <v>43.328999999999994</v>
      </c>
      <c r="M40" s="11" cm="1">
        <f t="array" aca="1" ref="M40" ca="1">_xlfn.XLOOKUP($B40,    INDIRECT("'" &amp; $C$3 &amp; "'!$A$20:$A$219"),    _xlfn.XLOOKUP(M$18,INDIRECT("'" &amp; $C$3 &amp; "'!$B$18:$X$18"), INDIRECT("'" &amp; $C$3 &amp; "'!$B$20:$X$219"),"XXXXX",0,1),    "XX",    0,    1)</f>
        <v>32</v>
      </c>
      <c r="N40" s="11">
        <f t="shared" ca="1" si="3"/>
        <v>25.5</v>
      </c>
      <c r="O40" s="4">
        <f t="shared" ca="1" si="4"/>
        <v>14.071000000000005</v>
      </c>
      <c r="P40" s="11">
        <v>20.356948890643888</v>
      </c>
      <c r="Q40" s="11">
        <f t="shared" ca="1" si="5"/>
        <v>37.043051109356114</v>
      </c>
      <c r="R40" s="11" t="str">
        <f t="shared" ca="1" si="6"/>
        <v>conical</v>
      </c>
      <c r="S40" s="13">
        <f t="shared" ca="1" si="7"/>
        <v>8.8999999999999986</v>
      </c>
      <c r="T40" s="13"/>
    </row>
    <row r="41" spans="1:20" x14ac:dyDescent="0.2">
      <c r="A41" s="11" t="s">
        <v>3</v>
      </c>
      <c r="B41" s="11" t="s">
        <v>149</v>
      </c>
      <c r="C41" s="11">
        <f>_xlfn.XLOOKUP($A41,'Conical section geometry'!$B$11:$B$17,'Conical section geometry'!$C$11:$C$17,"XXXX",0,1)</f>
        <v>-6.5</v>
      </c>
      <c r="D41" s="11">
        <f>_xlfn.XLOOKUP($A41,'Conical section geometry'!$B$11:$B$17,'Conical section geometry'!$D$11:$D$17,"XXXX",0,1)</f>
        <v>-17.928999999999998</v>
      </c>
      <c r="E41" s="11" cm="1">
        <f t="array" aca="1" ref="E41" ca="1">_xlfn.XLOOKUP($B41,    INDIRECT("'" &amp; $C$3 &amp; "'!$A$20:$A$219"),    _xlfn.XLOOKUP(E$18,INDIRECT("'" &amp; $C$3 &amp; "'!$B$18:$X$18"), INDIRECT("'" &amp; $C$3 &amp; "'!$B$20:$X$219"),"XXXXX",0,1),    "XX",    0,    1)</f>
        <v>8</v>
      </c>
      <c r="F41" s="11" cm="1">
        <f t="array" aca="1" ref="F41" ca="1">_xlfn.XLOOKUP($B41,    INDIRECT("'" &amp; $C$3 &amp; "'!$A$20:$A$219"),    _xlfn.XLOOKUP(F$18,INDIRECT("'" &amp; $C$3 &amp; "'!$B$18:$X$18"), INDIRECT("'" &amp; $C$3 &amp; "'!$B$20:$X$219"),"XXXXX",0,1),    "XX",    0,    1)</f>
        <v>10</v>
      </c>
      <c r="G41" s="11">
        <f>_xlfn.XLOOKUP($A41,'Conical section geometry'!$B$11:$B$17,'Conical section geometry'!$E$11:$E$17,"XXXX",0,1)</f>
        <v>-174.99340000000001</v>
      </c>
      <c r="H41" s="11" cm="1">
        <f t="array" aca="1" ref="H41" ca="1">_xlfn.XLOOKUP($B41,    INDIRECT("'" &amp; $C$3 &amp; "'!$A$20:$A$219"),    _xlfn.XLOOKUP(H$18,INDIRECT("'" &amp; $C$3 &amp; "'!$B$18:$X$18"), INDIRECT("'" &amp; $C$3 &amp; "'!$B$20:$X$219"),"XXXXX",0,1),    "XX",    0,    1)</f>
        <v>-28</v>
      </c>
      <c r="I41" s="11" cm="1">
        <f t="array" aca="1" ref="I41" ca="1">_xlfn.XLOOKUP($B41,    INDIRECT("'" &amp; $C$3 &amp; "'!$A$20:$A$219"),    _xlfn.XLOOKUP(I$18,INDIRECT("'" &amp; $C$3 &amp; "'!$B$18:$X$18"), INDIRECT("'" &amp; $C$3 &amp; "'!$B$20:$X$219"),"XXXXX",0,1),    "XX",    0,    1)</f>
        <v>85.3</v>
      </c>
      <c r="J41" s="11">
        <f t="shared" si="0"/>
        <v>31.9</v>
      </c>
      <c r="K41" s="11">
        <f t="shared" si="1"/>
        <v>11.428999999999998</v>
      </c>
      <c r="L41" s="11">
        <f t="shared" si="2"/>
        <v>43.328999999999994</v>
      </c>
      <c r="M41" s="11" cm="1">
        <f t="array" aca="1" ref="M41" ca="1">_xlfn.XLOOKUP($B41,    INDIRECT("'" &amp; $C$3 &amp; "'!$A$20:$A$219"),    _xlfn.XLOOKUP(M$18,INDIRECT("'" &amp; $C$3 &amp; "'!$B$18:$X$18"), INDIRECT("'" &amp; $C$3 &amp; "'!$B$20:$X$219"),"XXXXX",0,1),    "XX",    0,    1)</f>
        <v>31.9</v>
      </c>
      <c r="N41" s="11">
        <f t="shared" ca="1" si="3"/>
        <v>25.4</v>
      </c>
      <c r="O41" s="4">
        <f t="shared" ca="1" si="4"/>
        <v>13.971000000000004</v>
      </c>
      <c r="P41" s="11">
        <v>20.25694889064388</v>
      </c>
      <c r="Q41" s="11">
        <f t="shared" ca="1" si="5"/>
        <v>37.043051109356114</v>
      </c>
      <c r="R41" s="11" t="str">
        <f t="shared" ca="1" si="6"/>
        <v>conical</v>
      </c>
      <c r="S41" s="13">
        <f t="shared" ca="1" si="7"/>
        <v>8.8999999999999986</v>
      </c>
      <c r="T41" s="13"/>
    </row>
    <row r="42" spans="1:20" x14ac:dyDescent="0.2">
      <c r="A42" s="11" t="s">
        <v>7</v>
      </c>
      <c r="B42" s="11" t="s">
        <v>192</v>
      </c>
      <c r="C42" s="11">
        <f>_xlfn.XLOOKUP($A42,'Conical section geometry'!$B$11:$B$17,'Conical section geometry'!$C$11:$C$17,"XXXX",0,1)</f>
        <v>-6.5</v>
      </c>
      <c r="D42" s="11">
        <f>_xlfn.XLOOKUP($A42,'Conical section geometry'!$B$11:$B$17,'Conical section geometry'!$D$11:$D$17,"XXXX",0,1)</f>
        <v>-23.643000000000001</v>
      </c>
      <c r="E42" s="11" cm="1">
        <f t="array" aca="1" ref="E42" ca="1">_xlfn.XLOOKUP($B42,    INDIRECT("'" &amp; $C$3 &amp; "'!$A$20:$A$219"),    _xlfn.XLOOKUP(E$18,INDIRECT("'" &amp; $C$3 &amp; "'!$B$18:$X$18"), INDIRECT("'" &amp; $C$3 &amp; "'!$B$20:$X$219"),"XXXXX",0,1),    "XX",    0,    1)</f>
        <v>8</v>
      </c>
      <c r="F42" s="11" cm="1">
        <f t="array" aca="1" ref="F42" ca="1">_xlfn.XLOOKUP($B42,    INDIRECT("'" &amp; $C$3 &amp; "'!$A$20:$A$219"),    _xlfn.XLOOKUP(F$18,INDIRECT("'" &amp; $C$3 &amp; "'!$B$18:$X$18"), INDIRECT("'" &amp; $C$3 &amp; "'!$B$20:$X$219"),"XXXXX",0,1),    "XX",    0,    1)</f>
        <v>11</v>
      </c>
      <c r="G42" s="11">
        <f>_xlfn.XLOOKUP($A42,'Conical section geometry'!$B$11:$B$17,'Conical section geometry'!$E$11:$E$17,"XXXX",0,1)</f>
        <v>-174.99854167881901</v>
      </c>
      <c r="H42" s="11" cm="1">
        <f t="array" aca="1" ref="H42" ca="1">_xlfn.XLOOKUP($B42,    INDIRECT("'" &amp; $C$3 &amp; "'!$A$20:$A$219"),    _xlfn.XLOOKUP(H$18,INDIRECT("'" &amp; $C$3 &amp; "'!$B$18:$X$18"), INDIRECT("'" &amp; $C$3 &amp; "'!$B$20:$X$219"),"XXXXX",0,1),    "XX",    0,    1)</f>
        <v>-48.7</v>
      </c>
      <c r="I42" s="11" cm="1">
        <f t="array" aca="1" ref="I42" ca="1">_xlfn.XLOOKUP($B42,    INDIRECT("'" &amp; $C$3 &amp; "'!$A$20:$A$219"),    _xlfn.XLOOKUP(I$18,INDIRECT("'" &amp; $C$3 &amp; "'!$B$18:$X$18"), INDIRECT("'" &amp; $C$3 &amp; "'!$B$20:$X$219"),"XXXXX",0,1),    "XX",    0,    1)</f>
        <v>105.9</v>
      </c>
      <c r="J42" s="11">
        <f t="shared" si="0"/>
        <v>31.9</v>
      </c>
      <c r="K42" s="11">
        <f t="shared" si="1"/>
        <v>17.143000000000001</v>
      </c>
      <c r="L42" s="11">
        <f t="shared" si="2"/>
        <v>49.042999999999999</v>
      </c>
      <c r="M42" s="11" cm="1">
        <f t="array" aca="1" ref="M42" ca="1">_xlfn.XLOOKUP($B42,    INDIRECT("'" &amp; $C$3 &amp; "'!$A$20:$A$219"),    _xlfn.XLOOKUP(M$18,INDIRECT("'" &amp; $C$3 &amp; "'!$B$18:$X$18"), INDIRECT("'" &amp; $C$3 &amp; "'!$B$20:$X$219"),"XXXXX",0,1),    "XX",    0,    1)</f>
        <v>31.8</v>
      </c>
      <c r="N42" s="11">
        <f t="shared" ca="1" si="3"/>
        <v>25.299999999999997</v>
      </c>
      <c r="O42" s="4">
        <f t="shared" ca="1" si="4"/>
        <v>8.1570000000000036</v>
      </c>
      <c r="P42" s="11">
        <v>20.157100000000025</v>
      </c>
      <c r="Q42" s="11">
        <f t="shared" ca="1" si="5"/>
        <v>37.042899999999975</v>
      </c>
      <c r="R42" s="11" t="str">
        <f t="shared" ca="1" si="6"/>
        <v>conical</v>
      </c>
      <c r="S42" s="13">
        <f t="shared" ca="1" si="7"/>
        <v>8.899999999999995</v>
      </c>
      <c r="T42" s="13"/>
    </row>
    <row r="43" spans="1:20" x14ac:dyDescent="0.2">
      <c r="A43" s="11" t="s">
        <v>7</v>
      </c>
      <c r="B43" s="11" t="s">
        <v>210</v>
      </c>
      <c r="C43" s="11">
        <f>_xlfn.XLOOKUP($A43,'Conical section geometry'!$B$11:$B$17,'Conical section geometry'!$C$11:$C$17,"XXXX",0,1)</f>
        <v>-6.5</v>
      </c>
      <c r="D43" s="11">
        <f>_xlfn.XLOOKUP($A43,'Conical section geometry'!$B$11:$B$17,'Conical section geometry'!$D$11:$D$17,"XXXX",0,1)</f>
        <v>-23.643000000000001</v>
      </c>
      <c r="E43" s="11" cm="1">
        <f t="array" aca="1" ref="E43" ca="1">_xlfn.XLOOKUP($B43,    INDIRECT("'" &amp; $C$3 &amp; "'!$A$20:$A$219"),    _xlfn.XLOOKUP(E$18,INDIRECT("'" &amp; $C$3 &amp; "'!$B$18:$X$18"), INDIRECT("'" &amp; $C$3 &amp; "'!$B$20:$X$219"),"XXXXX",0,1),    "XX",    0,    1)</f>
        <v>8</v>
      </c>
      <c r="F43" s="11" cm="1">
        <f t="array" aca="1" ref="F43" ca="1">_xlfn.XLOOKUP($B43,    INDIRECT("'" &amp; $C$3 &amp; "'!$A$20:$A$219"),    _xlfn.XLOOKUP(F$18,INDIRECT("'" &amp; $C$3 &amp; "'!$B$18:$X$18"), INDIRECT("'" &amp; $C$3 &amp; "'!$B$20:$X$219"),"XXXXX",0,1),    "XX",    0,    1)</f>
        <v>11</v>
      </c>
      <c r="G43" s="11">
        <f>_xlfn.XLOOKUP($A43,'Conical section geometry'!$B$11:$B$17,'Conical section geometry'!$E$11:$E$17,"XXXX",0,1)</f>
        <v>-174.99854167881901</v>
      </c>
      <c r="H43" s="11" cm="1">
        <f t="array" aca="1" ref="H43" ca="1">_xlfn.XLOOKUP($B43,    INDIRECT("'" &amp; $C$3 &amp; "'!$A$20:$A$219"),    _xlfn.XLOOKUP(H$18,INDIRECT("'" &amp; $C$3 &amp; "'!$B$18:$X$18"), INDIRECT("'" &amp; $C$3 &amp; "'!$B$20:$X$219"),"XXXXX",0,1),    "XX",    0,    1)</f>
        <v>-41.1</v>
      </c>
      <c r="I43" s="11" cm="1">
        <f t="array" aca="1" ref="I43" ca="1">_xlfn.XLOOKUP($B43,    INDIRECT("'" &amp; $C$3 &amp; "'!$A$20:$A$219"),    _xlfn.XLOOKUP(I$18,INDIRECT("'" &amp; $C$3 &amp; "'!$B$18:$X$18"), INDIRECT("'" &amp; $C$3 &amp; "'!$B$20:$X$219"),"XXXXX",0,1),    "XX",    0,    1)</f>
        <v>98.3</v>
      </c>
      <c r="J43" s="11">
        <f t="shared" si="0"/>
        <v>31.9</v>
      </c>
      <c r="K43" s="11">
        <f t="shared" si="1"/>
        <v>17.143000000000001</v>
      </c>
      <c r="L43" s="11">
        <f t="shared" si="2"/>
        <v>49.042999999999999</v>
      </c>
      <c r="M43" s="11" cm="1">
        <f t="array" aca="1" ref="M43" ca="1">_xlfn.XLOOKUP($B43,    INDIRECT("'" &amp; $C$3 &amp; "'!$A$20:$A$219"),    _xlfn.XLOOKUP(M$18,INDIRECT("'" &amp; $C$3 &amp; "'!$B$18:$X$18"), INDIRECT("'" &amp; $C$3 &amp; "'!$B$20:$X$219"),"XXXXX",0,1),    "XX",    0,    1)</f>
        <v>31.8</v>
      </c>
      <c r="N43" s="11">
        <f t="shared" ca="1" si="3"/>
        <v>25.300000000000004</v>
      </c>
      <c r="O43" s="4">
        <f t="shared" ca="1" si="4"/>
        <v>8.1569999999999965</v>
      </c>
      <c r="P43" s="11">
        <v>20.157099999999971</v>
      </c>
      <c r="Q43" s="11">
        <f t="shared" ca="1" si="5"/>
        <v>37.042900000000024</v>
      </c>
      <c r="R43" s="11" t="str">
        <f t="shared" ca="1" si="6"/>
        <v>conical</v>
      </c>
      <c r="S43" s="13">
        <f t="shared" ca="1" si="7"/>
        <v>8.9000000000000021</v>
      </c>
      <c r="T43" s="13"/>
    </row>
    <row r="44" spans="1:20" x14ac:dyDescent="0.2">
      <c r="A44" s="11" t="s">
        <v>4</v>
      </c>
      <c r="B44" s="11" t="s">
        <v>176</v>
      </c>
      <c r="C44" s="11">
        <f>_xlfn.XLOOKUP($A44,'Conical section geometry'!$B$11:$B$17,'Conical section geometry'!$C$11:$C$17,"XXXX",0,1)</f>
        <v>-6.5</v>
      </c>
      <c r="D44" s="11">
        <f>_xlfn.XLOOKUP($A44,'Conical section geometry'!$B$11:$B$17,'Conical section geometry'!$D$11:$D$17,"XXXX",0,1)</f>
        <v>-20.786000000000001</v>
      </c>
      <c r="E44" s="11" cm="1">
        <f t="array" aca="1" ref="E44" ca="1">_xlfn.XLOOKUP($B44,    INDIRECT("'" &amp; $C$3 &amp; "'!$A$20:$A$219"),    _xlfn.XLOOKUP(E$18,INDIRECT("'" &amp; $C$3 &amp; "'!$B$18:$X$18"), INDIRECT("'" &amp; $C$3 &amp; "'!$B$20:$X$219"),"XXXXX",0,1),    "XX",    0,    1)</f>
        <v>8</v>
      </c>
      <c r="F44" s="11" cm="1">
        <f t="array" aca="1" ref="F44" ca="1">_xlfn.XLOOKUP($B44,    INDIRECT("'" &amp; $C$3 &amp; "'!$A$20:$A$219"),    _xlfn.XLOOKUP(F$18,INDIRECT("'" &amp; $C$3 &amp; "'!$B$18:$X$18"), INDIRECT("'" &amp; $C$3 &amp; "'!$B$20:$X$219"),"XXXXX",0,1),    "XX",    0,    1)</f>
        <v>10.5</v>
      </c>
      <c r="G44" s="11">
        <f>_xlfn.XLOOKUP($A44,'Conical section geometry'!$B$11:$B$17,'Conical section geometry'!$E$11:$E$17,"XXXX",0,1)</f>
        <v>-174.996500069999</v>
      </c>
      <c r="H44" s="11" cm="1">
        <f t="array" aca="1" ref="H44" ca="1">_xlfn.XLOOKUP($B44,    INDIRECT("'" &amp; $C$3 &amp; "'!$A$20:$A$219"),    _xlfn.XLOOKUP(H$18,INDIRECT("'" &amp; $C$3 &amp; "'!$B$18:$X$18"), INDIRECT("'" &amp; $C$3 &amp; "'!$B$20:$X$219"),"XXXXX",0,1),    "XX",    0,    1)</f>
        <v>-37.200000000000003</v>
      </c>
      <c r="I44" s="11" cm="1">
        <f t="array" aca="1" ref="I44" ca="1">_xlfn.XLOOKUP($B44,    INDIRECT("'" &amp; $C$3 &amp; "'!$A$20:$A$219"),    _xlfn.XLOOKUP(I$18,INDIRECT("'" &amp; $C$3 &amp; "'!$B$18:$X$18"), INDIRECT("'" &amp; $C$3 &amp; "'!$B$20:$X$219"),"XXXXX",0,1),    "XX",    0,    1)</f>
        <v>94.4</v>
      </c>
      <c r="J44" s="11">
        <f t="shared" si="0"/>
        <v>31.9</v>
      </c>
      <c r="K44" s="11">
        <f t="shared" si="1"/>
        <v>14.286000000000001</v>
      </c>
      <c r="L44" s="11">
        <f t="shared" si="2"/>
        <v>46.186</v>
      </c>
      <c r="M44" s="11" cm="1">
        <f t="array" aca="1" ref="M44" ca="1">_xlfn.XLOOKUP($B44,    INDIRECT("'" &amp; $C$3 &amp; "'!$A$20:$A$219"),    _xlfn.XLOOKUP(M$18,INDIRECT("'" &amp; $C$3 &amp; "'!$B$18:$X$18"), INDIRECT("'" &amp; $C$3 &amp; "'!$B$20:$X$219"),"XXXXX",0,1),    "XX",    0,    1)</f>
        <v>31.8</v>
      </c>
      <c r="N44" s="11">
        <f t="shared" ca="1" si="3"/>
        <v>25.300000000000004</v>
      </c>
      <c r="O44" s="4">
        <f t="shared" ca="1" si="4"/>
        <v>11.014000000000003</v>
      </c>
      <c r="P44" s="11">
        <v>20.157040000000006</v>
      </c>
      <c r="Q44" s="11">
        <f t="shared" ca="1" si="5"/>
        <v>37.042959999999994</v>
      </c>
      <c r="R44" s="11" t="str">
        <f t="shared" ca="1" si="6"/>
        <v>conical</v>
      </c>
      <c r="S44" s="13">
        <f t="shared" ca="1" si="7"/>
        <v>8.9000000000000021</v>
      </c>
      <c r="T44" s="13"/>
    </row>
    <row r="45" spans="1:20" x14ac:dyDescent="0.2">
      <c r="A45" s="11" t="s">
        <v>4</v>
      </c>
      <c r="B45" s="11" t="s">
        <v>174</v>
      </c>
      <c r="C45" s="11">
        <f>_xlfn.XLOOKUP($A45,'Conical section geometry'!$B$11:$B$17,'Conical section geometry'!$C$11:$C$17,"XXXX",0,1)</f>
        <v>-6.5</v>
      </c>
      <c r="D45" s="11">
        <f>_xlfn.XLOOKUP($A45,'Conical section geometry'!$B$11:$B$17,'Conical section geometry'!$D$11:$D$17,"XXXX",0,1)</f>
        <v>-20.786000000000001</v>
      </c>
      <c r="E45" s="11" cm="1">
        <f t="array" aca="1" ref="E45" ca="1">_xlfn.XLOOKUP($B45,    INDIRECT("'" &amp; $C$3 &amp; "'!$A$20:$A$219"),    _xlfn.XLOOKUP(E$18,INDIRECT("'" &amp; $C$3 &amp; "'!$B$18:$X$18"), INDIRECT("'" &amp; $C$3 &amp; "'!$B$20:$X$219"),"XXXXX",0,1),    "XX",    0,    1)</f>
        <v>8</v>
      </c>
      <c r="F45" s="11" cm="1">
        <f t="array" aca="1" ref="F45" ca="1">_xlfn.XLOOKUP($B45,    INDIRECT("'" &amp; $C$3 &amp; "'!$A$20:$A$219"),    _xlfn.XLOOKUP(F$18,INDIRECT("'" &amp; $C$3 &amp; "'!$B$18:$X$18"), INDIRECT("'" &amp; $C$3 &amp; "'!$B$20:$X$219"),"XXXXX",0,1),    "XX",    0,    1)</f>
        <v>10.5</v>
      </c>
      <c r="G45" s="11">
        <f>_xlfn.XLOOKUP($A45,'Conical section geometry'!$B$11:$B$17,'Conical section geometry'!$E$11:$E$17,"XXXX",0,1)</f>
        <v>-174.996500069999</v>
      </c>
      <c r="H45" s="11" cm="1">
        <f t="array" aca="1" ref="H45" ca="1">_xlfn.XLOOKUP($B45,    INDIRECT("'" &amp; $C$3 &amp; "'!$A$20:$A$219"),    _xlfn.XLOOKUP(H$18,INDIRECT("'" &amp; $C$3 &amp; "'!$B$18:$X$18"), INDIRECT("'" &amp; $C$3 &amp; "'!$B$20:$X$219"),"XXXXX",0,1),    "XX",    0,    1)</f>
        <v>-38.6</v>
      </c>
      <c r="I45" s="11" cm="1">
        <f t="array" aca="1" ref="I45" ca="1">_xlfn.XLOOKUP($B45,    INDIRECT("'" &amp; $C$3 &amp; "'!$A$20:$A$219"),    _xlfn.XLOOKUP(I$18,INDIRECT("'" &amp; $C$3 &amp; "'!$B$18:$X$18"), INDIRECT("'" &amp; $C$3 &amp; "'!$B$20:$X$219"),"XXXXX",0,1),    "XX",    0,    1)</f>
        <v>95.8</v>
      </c>
      <c r="J45" s="11">
        <f t="shared" si="0"/>
        <v>31.9</v>
      </c>
      <c r="K45" s="11">
        <f t="shared" si="1"/>
        <v>14.286000000000001</v>
      </c>
      <c r="L45" s="11">
        <f t="shared" si="2"/>
        <v>46.186</v>
      </c>
      <c r="M45" s="11" cm="1">
        <f t="array" aca="1" ref="M45" ca="1">_xlfn.XLOOKUP($B45,    INDIRECT("'" &amp; $C$3 &amp; "'!$A$20:$A$219"),    _xlfn.XLOOKUP(M$18,INDIRECT("'" &amp; $C$3 &amp; "'!$B$18:$X$18"), INDIRECT("'" &amp; $C$3 &amp; "'!$B$20:$X$219"),"XXXXX",0,1),    "XX",    0,    1)</f>
        <v>31.8</v>
      </c>
      <c r="N45" s="11">
        <f t="shared" ca="1" si="3"/>
        <v>25.299999999999997</v>
      </c>
      <c r="O45" s="4">
        <f t="shared" ca="1" si="4"/>
        <v>11.013999999999996</v>
      </c>
      <c r="P45" s="11">
        <v>20.157040000000006</v>
      </c>
      <c r="Q45" s="11">
        <f t="shared" ca="1" si="5"/>
        <v>37.042959999999994</v>
      </c>
      <c r="R45" s="11" t="str">
        <f t="shared" ca="1" si="6"/>
        <v>conical</v>
      </c>
      <c r="S45" s="13">
        <f t="shared" ca="1" si="7"/>
        <v>8.9000000000000021</v>
      </c>
      <c r="T45" s="13"/>
    </row>
    <row r="46" spans="1:20" x14ac:dyDescent="0.2">
      <c r="A46" s="11" t="s">
        <v>3</v>
      </c>
      <c r="B46" s="11" t="s">
        <v>98</v>
      </c>
      <c r="C46" s="11">
        <f>_xlfn.XLOOKUP($A46,'Conical section geometry'!$B$11:$B$17,'Conical section geometry'!$C$11:$C$17,"XXXX",0,1)</f>
        <v>-6.5</v>
      </c>
      <c r="D46" s="11">
        <f>_xlfn.XLOOKUP($A46,'Conical section geometry'!$B$11:$B$17,'Conical section geometry'!$D$11:$D$17,"XXXX",0,1)</f>
        <v>-17.928999999999998</v>
      </c>
      <c r="E46" s="11" cm="1">
        <f t="array" aca="1" ref="E46" ca="1">_xlfn.XLOOKUP($B46,    INDIRECT("'" &amp; $C$3 &amp; "'!$A$20:$A$219"),    _xlfn.XLOOKUP(E$18,INDIRECT("'" &amp; $C$3 &amp; "'!$B$18:$X$18"), INDIRECT("'" &amp; $C$3 &amp; "'!$B$20:$X$219"),"XXXXX",0,1),    "XX",    0,    1)</f>
        <v>8</v>
      </c>
      <c r="F46" s="11" cm="1">
        <f t="array" aca="1" ref="F46" ca="1">_xlfn.XLOOKUP($B46,    INDIRECT("'" &amp; $C$3 &amp; "'!$A$20:$A$219"),    _xlfn.XLOOKUP(F$18,INDIRECT("'" &amp; $C$3 &amp; "'!$B$18:$X$18"), INDIRECT("'" &amp; $C$3 &amp; "'!$B$20:$X$219"),"XXXXX",0,1),    "XX",    0,    1)</f>
        <v>10</v>
      </c>
      <c r="G46" s="11">
        <f>_xlfn.XLOOKUP($A46,'Conical section geometry'!$B$11:$B$17,'Conical section geometry'!$E$11:$E$17,"XXXX",0,1)</f>
        <v>-174.99340000000001</v>
      </c>
      <c r="H46" s="11" cm="1">
        <f t="array" aca="1" ref="H46" ca="1">_xlfn.XLOOKUP($B46,    INDIRECT("'" &amp; $C$3 &amp; "'!$A$20:$A$219"),    _xlfn.XLOOKUP(H$18,INDIRECT("'" &amp; $C$3 &amp; "'!$B$18:$X$18"), INDIRECT("'" &amp; $C$3 &amp; "'!$B$20:$X$219"),"XXXXX",0,1),    "XX",    0,    1)</f>
        <v>-30.8</v>
      </c>
      <c r="I46" s="11" cm="1">
        <f t="array" aca="1" ref="I46" ca="1">_xlfn.XLOOKUP($B46,    INDIRECT("'" &amp; $C$3 &amp; "'!$A$20:$A$219"),    _xlfn.XLOOKUP(I$18,INDIRECT("'" &amp; $C$3 &amp; "'!$B$18:$X$18"), INDIRECT("'" &amp; $C$3 &amp; "'!$B$20:$X$219"),"XXXXX",0,1),    "XX",    0,    1)</f>
        <v>88</v>
      </c>
      <c r="J46" s="11">
        <f t="shared" si="0"/>
        <v>31.9</v>
      </c>
      <c r="K46" s="11">
        <f t="shared" si="1"/>
        <v>11.428999999999998</v>
      </c>
      <c r="L46" s="11">
        <f t="shared" si="2"/>
        <v>43.328999999999994</v>
      </c>
      <c r="M46" s="11" cm="1">
        <f t="array" aca="1" ref="M46" ca="1">_xlfn.XLOOKUP($B46,    INDIRECT("'" &amp; $C$3 &amp; "'!$A$20:$A$219"),    _xlfn.XLOOKUP(M$18,INDIRECT("'" &amp; $C$3 &amp; "'!$B$18:$X$18"), INDIRECT("'" &amp; $C$3 &amp; "'!$B$20:$X$219"),"XXXXX",0,1),    "XX",    0,    1)</f>
        <v>31.8</v>
      </c>
      <c r="N46" s="11">
        <f t="shared" ca="1" si="3"/>
        <v>25.3</v>
      </c>
      <c r="O46" s="4">
        <f t="shared" ca="1" si="4"/>
        <v>13.871000000000006</v>
      </c>
      <c r="P46" s="11">
        <v>20.156948890643864</v>
      </c>
      <c r="Q46" s="11">
        <f t="shared" ca="1" si="5"/>
        <v>37.043051109356135</v>
      </c>
      <c r="R46" s="11" t="str">
        <f t="shared" ca="1" si="6"/>
        <v>conical</v>
      </c>
      <c r="S46" s="13">
        <f t="shared" ca="1" si="7"/>
        <v>8.9000000000000021</v>
      </c>
      <c r="T46" s="13"/>
    </row>
    <row r="47" spans="1:20" x14ac:dyDescent="0.2">
      <c r="A47" s="11" t="s">
        <v>8</v>
      </c>
      <c r="B47" s="11" t="s">
        <v>9</v>
      </c>
      <c r="C47" s="11">
        <f>_xlfn.XLOOKUP($A47,'Conical section geometry'!$B$11:$B$17,'Conical section geometry'!$C$11:$C$17,"XXXX",0,1)</f>
        <v>-6.5</v>
      </c>
      <c r="D47" s="11">
        <f>_xlfn.XLOOKUP($A47,'Conical section geometry'!$B$11:$B$17,'Conical section geometry'!$D$11:$D$17,"XXXX",0,1)</f>
        <v>-23.643000000000001</v>
      </c>
      <c r="E47" s="11" cm="1">
        <f t="array" aca="1" ref="E47" ca="1">_xlfn.XLOOKUP($B47,    INDIRECT("'" &amp; $C$3 &amp; "'!$A$20:$A$219"),    _xlfn.XLOOKUP(E$18,INDIRECT("'" &amp; $C$3 &amp; "'!$B$18:$X$18"), INDIRECT("'" &amp; $C$3 &amp; "'!$B$20:$X$219"),"XXXXX",0,1),    "XX",    0,    1)</f>
        <v>8</v>
      </c>
      <c r="F47" s="11" cm="1">
        <f t="array" aca="1" ref="F47" ca="1">_xlfn.XLOOKUP($B47,    INDIRECT("'" &amp; $C$3 &amp; "'!$A$20:$A$219"),    _xlfn.XLOOKUP(F$18,INDIRECT("'" &amp; $C$3 &amp; "'!$B$18:$X$18"), INDIRECT("'" &amp; $C$3 &amp; "'!$B$20:$X$219"),"XXXXX",0,1),    "XX",    0,    1)</f>
        <v>11</v>
      </c>
      <c r="G47" s="11">
        <f>_xlfn.XLOOKUP($A47,'Conical section geometry'!$B$11:$B$17,'Conical section geometry'!$E$11:$E$17,"XXXX",0,1)</f>
        <v>-174.99854167881901</v>
      </c>
      <c r="H47" s="11" cm="1">
        <f t="array" aca="1" ref="H47" ca="1">_xlfn.XLOOKUP($B47,    INDIRECT("'" &amp; $C$3 &amp; "'!$A$20:$A$219"),    _xlfn.XLOOKUP(H$18,INDIRECT("'" &amp; $C$3 &amp; "'!$B$18:$X$18"), INDIRECT("'" &amp; $C$3 &amp; "'!$B$20:$X$219"),"XXXXX",0,1),    "XX",    0,    1)</f>
        <v>-47.9</v>
      </c>
      <c r="I47" s="11" cm="1">
        <f t="array" aca="1" ref="I47" ca="1">_xlfn.XLOOKUP($B47,    INDIRECT("'" &amp; $C$3 &amp; "'!$A$20:$A$219"),    _xlfn.XLOOKUP(I$18,INDIRECT("'" &amp; $C$3 &amp; "'!$B$18:$X$18"), INDIRECT("'" &amp; $C$3 &amp; "'!$B$20:$X$219"),"XXXXX",0,1),    "XX",    0,    1)</f>
        <v>105</v>
      </c>
      <c r="J47" s="11">
        <f t="shared" si="0"/>
        <v>31.9</v>
      </c>
      <c r="K47" s="11">
        <f t="shared" si="1"/>
        <v>17.143000000000001</v>
      </c>
      <c r="L47" s="11">
        <f t="shared" si="2"/>
        <v>49.042999999999999</v>
      </c>
      <c r="M47" s="11" cm="1">
        <f t="array" aca="1" ref="M47" ca="1">_xlfn.XLOOKUP($B47,    INDIRECT("'" &amp; $C$3 &amp; "'!$A$20:$A$219"),    _xlfn.XLOOKUP(M$18,INDIRECT("'" &amp; $C$3 &amp; "'!$B$18:$X$18"), INDIRECT("'" &amp; $C$3 &amp; "'!$B$20:$X$219"),"XXXXX",0,1),    "XX",    0,    1)</f>
        <v>31.7</v>
      </c>
      <c r="N47" s="11">
        <f t="shared" ca="1" si="3"/>
        <v>25.199999999999996</v>
      </c>
      <c r="O47" s="4">
        <f t="shared" ca="1" si="4"/>
        <v>8.0570000000000022</v>
      </c>
      <c r="P47" s="11">
        <v>20.057100000000005</v>
      </c>
      <c r="Q47" s="11">
        <f t="shared" ca="1" si="5"/>
        <v>37.042900000000003</v>
      </c>
      <c r="R47" s="11" t="str">
        <f t="shared" ca="1" si="6"/>
        <v>conical</v>
      </c>
      <c r="S47" s="13">
        <f t="shared" ca="1" si="7"/>
        <v>8.8999999999999986</v>
      </c>
      <c r="T47" s="13"/>
    </row>
    <row r="48" spans="1:20" x14ac:dyDescent="0.2">
      <c r="A48" s="11" t="s">
        <v>4</v>
      </c>
      <c r="B48" s="11" t="s">
        <v>167</v>
      </c>
      <c r="C48" s="11">
        <f>_xlfn.XLOOKUP($A48,'Conical section geometry'!$B$11:$B$17,'Conical section geometry'!$C$11:$C$17,"XXXX",0,1)</f>
        <v>-6.5</v>
      </c>
      <c r="D48" s="11">
        <f>_xlfn.XLOOKUP($A48,'Conical section geometry'!$B$11:$B$17,'Conical section geometry'!$D$11:$D$17,"XXXX",0,1)</f>
        <v>-20.786000000000001</v>
      </c>
      <c r="E48" s="11" cm="1">
        <f t="array" aca="1" ref="E48" ca="1">_xlfn.XLOOKUP($B48,    INDIRECT("'" &amp; $C$3 &amp; "'!$A$20:$A$219"),    _xlfn.XLOOKUP(E$18,INDIRECT("'" &amp; $C$3 &amp; "'!$B$18:$X$18"), INDIRECT("'" &amp; $C$3 &amp; "'!$B$20:$X$219"),"XXXXX",0,1),    "XX",    0,    1)</f>
        <v>8</v>
      </c>
      <c r="F48" s="11" cm="1">
        <f t="array" aca="1" ref="F48" ca="1">_xlfn.XLOOKUP($B48,    INDIRECT("'" &amp; $C$3 &amp; "'!$A$20:$A$219"),    _xlfn.XLOOKUP(F$18,INDIRECT("'" &amp; $C$3 &amp; "'!$B$18:$X$18"), INDIRECT("'" &amp; $C$3 &amp; "'!$B$20:$X$219"),"XXXXX",0,1),    "XX",    0,    1)</f>
        <v>10.5</v>
      </c>
      <c r="G48" s="11">
        <f>_xlfn.XLOOKUP($A48,'Conical section geometry'!$B$11:$B$17,'Conical section geometry'!$E$11:$E$17,"XXXX",0,1)</f>
        <v>-174.996500069999</v>
      </c>
      <c r="H48" s="11" cm="1">
        <f t="array" aca="1" ref="H48" ca="1">_xlfn.XLOOKUP($B48,    INDIRECT("'" &amp; $C$3 &amp; "'!$A$20:$A$219"),    _xlfn.XLOOKUP(H$18,INDIRECT("'" &amp; $C$3 &amp; "'!$B$18:$X$18"), INDIRECT("'" &amp; $C$3 &amp; "'!$B$20:$X$219"),"XXXXX",0,1),    "XX",    0,    1)</f>
        <v>-41.1</v>
      </c>
      <c r="I48" s="11" cm="1">
        <f t="array" aca="1" ref="I48" ca="1">_xlfn.XLOOKUP($B48,    INDIRECT("'" &amp; $C$3 &amp; "'!$A$20:$A$219"),    _xlfn.XLOOKUP(I$18,INDIRECT("'" &amp; $C$3 &amp; "'!$B$18:$X$18"), INDIRECT("'" &amp; $C$3 &amp; "'!$B$20:$X$219"),"XXXXX",0,1),    "XX",    0,    1)</f>
        <v>98.1</v>
      </c>
      <c r="J48" s="11">
        <f t="shared" si="0"/>
        <v>31.9</v>
      </c>
      <c r="K48" s="11">
        <f t="shared" si="1"/>
        <v>14.286000000000001</v>
      </c>
      <c r="L48" s="11">
        <f t="shared" si="2"/>
        <v>46.186</v>
      </c>
      <c r="M48" s="11" cm="1">
        <f t="array" aca="1" ref="M48" ca="1">_xlfn.XLOOKUP($B48,    INDIRECT("'" &amp; $C$3 &amp; "'!$A$20:$A$219"),    _xlfn.XLOOKUP(M$18,INDIRECT("'" &amp; $C$3 &amp; "'!$B$18:$X$18"), INDIRECT("'" &amp; $C$3 &amp; "'!$B$20:$X$219"),"XXXXX",0,1),    "XX",    0,    1)</f>
        <v>31.6</v>
      </c>
      <c r="N48" s="11">
        <f t="shared" ca="1" si="3"/>
        <v>25.099999999999987</v>
      </c>
      <c r="O48" s="4">
        <f t="shared" ca="1" si="4"/>
        <v>10.813999999999993</v>
      </c>
      <c r="P48" s="11">
        <v>19.957039999999992</v>
      </c>
      <c r="Q48" s="11">
        <f t="shared" ca="1" si="5"/>
        <v>37.042960000000001</v>
      </c>
      <c r="R48" s="11" t="str">
        <f t="shared" ca="1" si="6"/>
        <v>conical</v>
      </c>
      <c r="S48" s="13">
        <f t="shared" ca="1" si="7"/>
        <v>8.9000000000000021</v>
      </c>
      <c r="T48" s="13"/>
    </row>
    <row r="49" spans="1:20" x14ac:dyDescent="0.2">
      <c r="A49" s="11" t="s">
        <v>7</v>
      </c>
      <c r="B49" s="11" t="s">
        <v>197</v>
      </c>
      <c r="C49" s="11">
        <f>_xlfn.XLOOKUP($A49,'Conical section geometry'!$B$11:$B$17,'Conical section geometry'!$C$11:$C$17,"XXXX",0,1)</f>
        <v>-6.5</v>
      </c>
      <c r="D49" s="11">
        <f>_xlfn.XLOOKUP($A49,'Conical section geometry'!$B$11:$B$17,'Conical section geometry'!$D$11:$D$17,"XXXX",0,1)</f>
        <v>-23.643000000000001</v>
      </c>
      <c r="E49" s="11" cm="1">
        <f t="array" aca="1" ref="E49" ca="1">_xlfn.XLOOKUP($B49,    INDIRECT("'" &amp; $C$3 &amp; "'!$A$20:$A$219"),    _xlfn.XLOOKUP(E$18,INDIRECT("'" &amp; $C$3 &amp; "'!$B$18:$X$18"), INDIRECT("'" &amp; $C$3 &amp; "'!$B$20:$X$219"),"XXXXX",0,1),    "XX",    0,    1)</f>
        <v>8</v>
      </c>
      <c r="F49" s="11" cm="1">
        <f t="array" aca="1" ref="F49" ca="1">_xlfn.XLOOKUP($B49,    INDIRECT("'" &amp; $C$3 &amp; "'!$A$20:$A$219"),    _xlfn.XLOOKUP(F$18,INDIRECT("'" &amp; $C$3 &amp; "'!$B$18:$X$18"), INDIRECT("'" &amp; $C$3 &amp; "'!$B$20:$X$219"),"XXXXX",0,1),    "XX",    0,    1)</f>
        <v>11</v>
      </c>
      <c r="G49" s="11">
        <f>_xlfn.XLOOKUP($A49,'Conical section geometry'!$B$11:$B$17,'Conical section geometry'!$E$11:$E$17,"XXXX",0,1)</f>
        <v>-174.99854167881901</v>
      </c>
      <c r="H49" s="11" cm="1">
        <f t="array" aca="1" ref="H49" ca="1">_xlfn.XLOOKUP($B49,    INDIRECT("'" &amp; $C$3 &amp; "'!$A$20:$A$219"),    _xlfn.XLOOKUP(H$18,INDIRECT("'" &amp; $C$3 &amp; "'!$B$18:$X$18"), INDIRECT("'" &amp; $C$3 &amp; "'!$B$20:$X$219"),"XXXXX",0,1),    "XX",    0,    1)</f>
        <v>-47.4</v>
      </c>
      <c r="I49" s="11" cm="1">
        <f t="array" aca="1" ref="I49" ca="1">_xlfn.XLOOKUP($B49,    INDIRECT("'" &amp; $C$3 &amp; "'!$A$20:$A$219"),    _xlfn.XLOOKUP(I$18,INDIRECT("'" &amp; $C$3 &amp; "'!$B$18:$X$18"), INDIRECT("'" &amp; $C$3 &amp; "'!$B$20:$X$219"),"XXXXX",0,1),    "XX",    0,    1)</f>
        <v>104.3</v>
      </c>
      <c r="J49" s="11">
        <f t="shared" si="0"/>
        <v>31.9</v>
      </c>
      <c r="K49" s="11">
        <f t="shared" si="1"/>
        <v>17.143000000000001</v>
      </c>
      <c r="L49" s="11">
        <f t="shared" si="2"/>
        <v>49.042999999999999</v>
      </c>
      <c r="M49" s="11" cm="1">
        <f t="array" aca="1" ref="M49" ca="1">_xlfn.XLOOKUP($B49,    INDIRECT("'" &amp; $C$3 &amp; "'!$A$20:$A$219"),    _xlfn.XLOOKUP(M$18,INDIRECT("'" &amp; $C$3 &amp; "'!$B$18:$X$18"), INDIRECT("'" &amp; $C$3 &amp; "'!$B$20:$X$219"),"XXXXX",0,1),    "XX",    0,    1)</f>
        <v>31.5</v>
      </c>
      <c r="N49" s="11">
        <f t="shared" ca="1" si="3"/>
        <v>25.000000000000007</v>
      </c>
      <c r="O49" s="4">
        <f t="shared" ca="1" si="4"/>
        <v>7.8569999999999993</v>
      </c>
      <c r="P49" s="11">
        <v>19.857099999999988</v>
      </c>
      <c r="Q49" s="11">
        <f t="shared" ca="1" si="5"/>
        <v>37.042900000000017</v>
      </c>
      <c r="R49" s="11" t="str">
        <f t="shared" ca="1" si="6"/>
        <v>conical</v>
      </c>
      <c r="S49" s="13">
        <f t="shared" ca="1" si="7"/>
        <v>8.9000000000000021</v>
      </c>
      <c r="T49" s="13"/>
    </row>
    <row r="50" spans="1:20" x14ac:dyDescent="0.2">
      <c r="A50" s="11" t="s">
        <v>3</v>
      </c>
      <c r="B50" s="11" t="s">
        <v>18</v>
      </c>
      <c r="C50" s="11">
        <f>_xlfn.XLOOKUP($A50,'Conical section geometry'!$B$11:$B$17,'Conical section geometry'!$C$11:$C$17,"XXXX",0,1)</f>
        <v>-6.5</v>
      </c>
      <c r="D50" s="11">
        <f>_xlfn.XLOOKUP($A50,'Conical section geometry'!$B$11:$B$17,'Conical section geometry'!$D$11:$D$17,"XXXX",0,1)</f>
        <v>-17.928999999999998</v>
      </c>
      <c r="E50" s="11" cm="1">
        <f t="array" aca="1" ref="E50" ca="1">_xlfn.XLOOKUP($B50,    INDIRECT("'" &amp; $C$3 &amp; "'!$A$20:$A$219"),    _xlfn.XLOOKUP(E$18,INDIRECT("'" &amp; $C$3 &amp; "'!$B$18:$X$18"), INDIRECT("'" &amp; $C$3 &amp; "'!$B$20:$X$219"),"XXXXX",0,1),    "XX",    0,    1)</f>
        <v>8</v>
      </c>
      <c r="F50" s="11" cm="1">
        <f t="array" aca="1" ref="F50" ca="1">_xlfn.XLOOKUP($B50,    INDIRECT("'" &amp; $C$3 &amp; "'!$A$20:$A$219"),    _xlfn.XLOOKUP(F$18,INDIRECT("'" &amp; $C$3 &amp; "'!$B$18:$X$18"), INDIRECT("'" &amp; $C$3 &amp; "'!$B$20:$X$219"),"XXXXX",0,1),    "XX",    0,    1)</f>
        <v>10</v>
      </c>
      <c r="G50" s="11">
        <f>_xlfn.XLOOKUP($A50,'Conical section geometry'!$B$11:$B$17,'Conical section geometry'!$E$11:$E$17,"XXXX",0,1)</f>
        <v>-174.99340000000001</v>
      </c>
      <c r="H50" s="11" cm="1">
        <f t="array" aca="1" ref="H50" ca="1">_xlfn.XLOOKUP($B50,    INDIRECT("'" &amp; $C$3 &amp; "'!$A$20:$A$219"),    _xlfn.XLOOKUP(H$18,INDIRECT("'" &amp; $C$3 &amp; "'!$B$18:$X$18"), INDIRECT("'" &amp; $C$3 &amp; "'!$B$20:$X$219"),"XXXXX",0,1),    "XX",    0,    1)</f>
        <v>-38</v>
      </c>
      <c r="I50" s="11" cm="1">
        <f t="array" aca="1" ref="I50" ca="1">_xlfn.XLOOKUP($B50,    INDIRECT("'" &amp; $C$3 &amp; "'!$A$20:$A$219"),    _xlfn.XLOOKUP(I$18,INDIRECT("'" &amp; $C$3 &amp; "'!$B$18:$X$18"), INDIRECT("'" &amp; $C$3 &amp; "'!$B$20:$X$219"),"XXXXX",0,1),    "XX",    0,    1)</f>
        <v>94.7</v>
      </c>
      <c r="J50" s="11">
        <f t="shared" si="0"/>
        <v>31.9</v>
      </c>
      <c r="K50" s="11">
        <f t="shared" si="1"/>
        <v>11.428999999999998</v>
      </c>
      <c r="L50" s="11">
        <f t="shared" si="2"/>
        <v>43.328999999999994</v>
      </c>
      <c r="M50" s="11" cm="1">
        <f t="array" aca="1" ref="M50" ca="1">_xlfn.XLOOKUP($B50,    INDIRECT("'" &amp; $C$3 &amp; "'!$A$20:$A$219"),    _xlfn.XLOOKUP(M$18,INDIRECT("'" &amp; $C$3 &amp; "'!$B$18:$X$18"), INDIRECT("'" &amp; $C$3 &amp; "'!$B$20:$X$219"),"XXXXX",0,1),    "XX",    0,    1)</f>
        <v>31.3</v>
      </c>
      <c r="N50" s="11">
        <f t="shared" ca="1" si="3"/>
        <v>24.800000000000004</v>
      </c>
      <c r="O50" s="4">
        <f t="shared" ca="1" si="4"/>
        <v>13.371000000000009</v>
      </c>
      <c r="P50" s="11">
        <v>19.656948890643861</v>
      </c>
      <c r="Q50" s="11">
        <f t="shared" ca="1" si="5"/>
        <v>37.043051109356142</v>
      </c>
      <c r="R50" s="11" t="str">
        <f t="shared" ca="1" si="6"/>
        <v>conical</v>
      </c>
      <c r="S50" s="13">
        <f t="shared" ca="1" si="7"/>
        <v>8.9000000000000039</v>
      </c>
      <c r="T50" s="13"/>
    </row>
    <row r="51" spans="1:20" x14ac:dyDescent="0.2">
      <c r="A51" s="11" t="s">
        <v>3</v>
      </c>
      <c r="B51" s="11" t="s">
        <v>24</v>
      </c>
      <c r="C51" s="11">
        <f>_xlfn.XLOOKUP($A51,'Conical section geometry'!$B$11:$B$17,'Conical section geometry'!$C$11:$C$17,"XXXX",0,1)</f>
        <v>-6.5</v>
      </c>
      <c r="D51" s="11">
        <f>_xlfn.XLOOKUP($A51,'Conical section geometry'!$B$11:$B$17,'Conical section geometry'!$D$11:$D$17,"XXXX",0,1)</f>
        <v>-17.928999999999998</v>
      </c>
      <c r="E51" s="11" cm="1">
        <f t="array" aca="1" ref="E51" ca="1">_xlfn.XLOOKUP($B51,    INDIRECT("'" &amp; $C$3 &amp; "'!$A$20:$A$219"),    _xlfn.XLOOKUP(E$18,INDIRECT("'" &amp; $C$3 &amp; "'!$B$18:$X$18"), INDIRECT("'" &amp; $C$3 &amp; "'!$B$20:$X$219"),"XXXXX",0,1),    "XX",    0,    1)</f>
        <v>8</v>
      </c>
      <c r="F51" s="11" cm="1">
        <f t="array" aca="1" ref="F51" ca="1">_xlfn.XLOOKUP($B51,    INDIRECT("'" &amp; $C$3 &amp; "'!$A$20:$A$219"),    _xlfn.XLOOKUP(F$18,INDIRECT("'" &amp; $C$3 &amp; "'!$B$18:$X$18"), INDIRECT("'" &amp; $C$3 &amp; "'!$B$20:$X$219"),"XXXXX",0,1),    "XX",    0,    1)</f>
        <v>10</v>
      </c>
      <c r="G51" s="11">
        <f>_xlfn.XLOOKUP($A51,'Conical section geometry'!$B$11:$B$17,'Conical section geometry'!$E$11:$E$17,"XXXX",0,1)</f>
        <v>-174.99340000000001</v>
      </c>
      <c r="H51" s="11" cm="1">
        <f t="array" aca="1" ref="H51" ca="1">_xlfn.XLOOKUP($B51,    INDIRECT("'" &amp; $C$3 &amp; "'!$A$20:$A$219"),    _xlfn.XLOOKUP(H$18,INDIRECT("'" &amp; $C$3 &amp; "'!$B$18:$X$18"), INDIRECT("'" &amp; $C$3 &amp; "'!$B$20:$X$219"),"XXXXX",0,1),    "XX",    0,    1)</f>
        <v>-35.9</v>
      </c>
      <c r="I51" s="11" cm="1">
        <f t="array" aca="1" ref="I51" ca="1">_xlfn.XLOOKUP($B51,    INDIRECT("'" &amp; $C$3 &amp; "'!$A$20:$A$219"),    _xlfn.XLOOKUP(I$18,INDIRECT("'" &amp; $C$3 &amp; "'!$B$18:$X$18"), INDIRECT("'" &amp; $C$3 &amp; "'!$B$20:$X$219"),"XXXXX",0,1),    "XX",    0,    1)</f>
        <v>92.6</v>
      </c>
      <c r="J51" s="11">
        <f t="shared" si="0"/>
        <v>31.9</v>
      </c>
      <c r="K51" s="11">
        <f t="shared" si="1"/>
        <v>11.428999999999998</v>
      </c>
      <c r="L51" s="11">
        <f t="shared" si="2"/>
        <v>43.328999999999994</v>
      </c>
      <c r="M51" s="11" cm="1">
        <f t="array" aca="1" ref="M51" ca="1">_xlfn.XLOOKUP($B51,    INDIRECT("'" &amp; $C$3 &amp; "'!$A$20:$A$219"),    _xlfn.XLOOKUP(M$18,INDIRECT("'" &amp; $C$3 &amp; "'!$B$18:$X$18"), INDIRECT("'" &amp; $C$3 &amp; "'!$B$20:$X$219"),"XXXXX",0,1),    "XX",    0,    1)</f>
        <v>31.3</v>
      </c>
      <c r="N51" s="11">
        <f t="shared" ca="1" si="3"/>
        <v>24.799999999999997</v>
      </c>
      <c r="O51" s="4">
        <f t="shared" ca="1" si="4"/>
        <v>13.371000000000002</v>
      </c>
      <c r="P51" s="11">
        <v>19.656948890643868</v>
      </c>
      <c r="Q51" s="11">
        <f t="shared" ca="1" si="5"/>
        <v>37.043051109356128</v>
      </c>
      <c r="R51" s="11" t="str">
        <f t="shared" ca="1" si="6"/>
        <v>conical</v>
      </c>
      <c r="S51" s="13">
        <f t="shared" ca="1" si="7"/>
        <v>8.9</v>
      </c>
      <c r="T51" s="13"/>
    </row>
    <row r="52" spans="1:20" x14ac:dyDescent="0.2">
      <c r="A52" s="11" t="s">
        <v>7</v>
      </c>
      <c r="B52" s="11" t="s">
        <v>196</v>
      </c>
      <c r="C52" s="11">
        <f>_xlfn.XLOOKUP($A52,'Conical section geometry'!$B$11:$B$17,'Conical section geometry'!$C$11:$C$17,"XXXX",0,1)</f>
        <v>-6.5</v>
      </c>
      <c r="D52" s="11">
        <f>_xlfn.XLOOKUP($A52,'Conical section geometry'!$B$11:$B$17,'Conical section geometry'!$D$11:$D$17,"XXXX",0,1)</f>
        <v>-23.643000000000001</v>
      </c>
      <c r="E52" s="11" cm="1">
        <f t="array" aca="1" ref="E52" ca="1">_xlfn.XLOOKUP($B52,    INDIRECT("'" &amp; $C$3 &amp; "'!$A$20:$A$219"),    _xlfn.XLOOKUP(E$18,INDIRECT("'" &amp; $C$3 &amp; "'!$B$18:$X$18"), INDIRECT("'" &amp; $C$3 &amp; "'!$B$20:$X$219"),"XXXXX",0,1),    "XX",    0,    1)</f>
        <v>8</v>
      </c>
      <c r="F52" s="11" cm="1">
        <f t="array" aca="1" ref="F52" ca="1">_xlfn.XLOOKUP($B52,    INDIRECT("'" &amp; $C$3 &amp; "'!$A$20:$A$219"),    _xlfn.XLOOKUP(F$18,INDIRECT("'" &amp; $C$3 &amp; "'!$B$18:$X$18"), INDIRECT("'" &amp; $C$3 &amp; "'!$B$20:$X$219"),"XXXXX",0,1),    "XX",    0,    1)</f>
        <v>11</v>
      </c>
      <c r="G52" s="11">
        <f>_xlfn.XLOOKUP($A52,'Conical section geometry'!$B$11:$B$17,'Conical section geometry'!$E$11:$E$17,"XXXX",0,1)</f>
        <v>-174.99854167881901</v>
      </c>
      <c r="H52" s="11" cm="1">
        <f t="array" aca="1" ref="H52" ca="1">_xlfn.XLOOKUP($B52,    INDIRECT("'" &amp; $C$3 &amp; "'!$A$20:$A$219"),    _xlfn.XLOOKUP(H$18,INDIRECT("'" &amp; $C$3 &amp; "'!$B$18:$X$18"), INDIRECT("'" &amp; $C$3 &amp; "'!$B$20:$X$219"),"XXXXX",0,1),    "XX",    0,    1)</f>
        <v>-46.9</v>
      </c>
      <c r="I52" s="11" cm="1">
        <f t="array" aca="1" ref="I52" ca="1">_xlfn.XLOOKUP($B52,    INDIRECT("'" &amp; $C$3 &amp; "'!$A$20:$A$219"),    _xlfn.XLOOKUP(I$18,INDIRECT("'" &amp; $C$3 &amp; "'!$B$18:$X$18"), INDIRECT("'" &amp; $C$3 &amp; "'!$B$20:$X$219"),"XXXXX",0,1),    "XX",    0,    1)</f>
        <v>103.5</v>
      </c>
      <c r="J52" s="11">
        <f t="shared" ref="J52:J83" si="8">$C$1-$C52</f>
        <v>31.9</v>
      </c>
      <c r="K52" s="11">
        <f t="shared" ref="K52:K83" si="9">C$20-$D52</f>
        <v>17.143000000000001</v>
      </c>
      <c r="L52" s="11">
        <f t="shared" ref="L52:L83" si="10">$C$1-$D52</f>
        <v>49.042999999999999</v>
      </c>
      <c r="M52" s="11" cm="1">
        <f t="array" aca="1" ref="M52" ca="1">_xlfn.XLOOKUP($B52,    INDIRECT("'" &amp; $C$3 &amp; "'!$A$20:$A$219"),    _xlfn.XLOOKUP(M$18,INDIRECT("'" &amp; $C$3 &amp; "'!$B$18:$X$18"), INDIRECT("'" &amp; $C$3 &amp; "'!$B$20:$X$219"),"XXXXX",0,1),    "XX",    0,    1)</f>
        <v>31.2</v>
      </c>
      <c r="N52" s="11">
        <f t="shared" ref="N52:N83" ca="1" si="11">$I52-$J52-(-$H52)</f>
        <v>24.699999999999996</v>
      </c>
      <c r="O52" s="4">
        <f t="shared" ref="O52:O83" ca="1" si="12">$I52-$L52-(-$H52)</f>
        <v>7.5570000000000022</v>
      </c>
      <c r="P52" s="11">
        <v>19.557100000000002</v>
      </c>
      <c r="Q52" s="11">
        <f t="shared" ref="Q52:Q83" ca="1" si="13">$I52-($P52+(ABS($H52)))</f>
        <v>37.042900000000003</v>
      </c>
      <c r="R52" s="11" t="str">
        <f t="shared" ref="R52:R83" ca="1" si="14">IF($Q52&lt;=$J52,"top",IF($Q52&lt;=$L52,"conical","bottom"))</f>
        <v>conical</v>
      </c>
      <c r="S52" s="13">
        <f t="shared" ref="S52:S83" ca="1" si="15">IF($R52="top",$E52,IF($R52="bottom",$F52,$E52-(($Q52-$J52)*$G52)/1000))</f>
        <v>8.8999999999999986</v>
      </c>
      <c r="T52" s="13"/>
    </row>
    <row r="53" spans="1:20" x14ac:dyDescent="0.2">
      <c r="A53" s="11" t="s">
        <v>3</v>
      </c>
      <c r="B53" s="11" t="s">
        <v>32</v>
      </c>
      <c r="C53" s="11">
        <f>_xlfn.XLOOKUP($A53,'Conical section geometry'!$B$11:$B$17,'Conical section geometry'!$C$11:$C$17,"XXXX",0,1)</f>
        <v>-6.5</v>
      </c>
      <c r="D53" s="11">
        <f>_xlfn.XLOOKUP($A53,'Conical section geometry'!$B$11:$B$17,'Conical section geometry'!$D$11:$D$17,"XXXX",0,1)</f>
        <v>-17.928999999999998</v>
      </c>
      <c r="E53" s="11" cm="1">
        <f t="array" aca="1" ref="E53" ca="1">_xlfn.XLOOKUP($B53,    INDIRECT("'" &amp; $C$3 &amp; "'!$A$20:$A$219"),    _xlfn.XLOOKUP(E$18,INDIRECT("'" &amp; $C$3 &amp; "'!$B$18:$X$18"), INDIRECT("'" &amp; $C$3 &amp; "'!$B$20:$X$219"),"XXXXX",0,1),    "XX",    0,    1)</f>
        <v>8</v>
      </c>
      <c r="F53" s="11" cm="1">
        <f t="array" aca="1" ref="F53" ca="1">_xlfn.XLOOKUP($B53,    INDIRECT("'" &amp; $C$3 &amp; "'!$A$20:$A$219"),    _xlfn.XLOOKUP(F$18,INDIRECT("'" &amp; $C$3 &amp; "'!$B$18:$X$18"), INDIRECT("'" &amp; $C$3 &amp; "'!$B$20:$X$219"),"XXXXX",0,1),    "XX",    0,    1)</f>
        <v>10</v>
      </c>
      <c r="G53" s="11">
        <f>_xlfn.XLOOKUP($A53,'Conical section geometry'!$B$11:$B$17,'Conical section geometry'!$E$11:$E$17,"XXXX",0,1)</f>
        <v>-174.99340000000001</v>
      </c>
      <c r="H53" s="11" cm="1">
        <f t="array" aca="1" ref="H53" ca="1">_xlfn.XLOOKUP($B53,    INDIRECT("'" &amp; $C$3 &amp; "'!$A$20:$A$219"),    _xlfn.XLOOKUP(H$18,INDIRECT("'" &amp; $C$3 &amp; "'!$B$18:$X$18"), INDIRECT("'" &amp; $C$3 &amp; "'!$B$20:$X$219"),"XXXXX",0,1),    "XX",    0,    1)</f>
        <v>-35.700000000000003</v>
      </c>
      <c r="I53" s="11" cm="1">
        <f t="array" aca="1" ref="I53" ca="1">_xlfn.XLOOKUP($B53,    INDIRECT("'" &amp; $C$3 &amp; "'!$A$20:$A$219"),    _xlfn.XLOOKUP(I$18,INDIRECT("'" &amp; $C$3 &amp; "'!$B$18:$X$18"), INDIRECT("'" &amp; $C$3 &amp; "'!$B$20:$X$219"),"XXXXX",0,1),    "XX",    0,    1)</f>
        <v>92.3</v>
      </c>
      <c r="J53" s="11">
        <f t="shared" si="8"/>
        <v>31.9</v>
      </c>
      <c r="K53" s="11">
        <f t="shared" si="9"/>
        <v>11.428999999999998</v>
      </c>
      <c r="L53" s="11">
        <f t="shared" si="10"/>
        <v>43.328999999999994</v>
      </c>
      <c r="M53" s="11" cm="1">
        <f t="array" aca="1" ref="M53" ca="1">_xlfn.XLOOKUP($B53,    INDIRECT("'" &amp; $C$3 &amp; "'!$A$20:$A$219"),    _xlfn.XLOOKUP(M$18,INDIRECT("'" &amp; $C$3 &amp; "'!$B$18:$X$18"), INDIRECT("'" &amp; $C$3 &amp; "'!$B$20:$X$219"),"XXXXX",0,1),    "XX",    0,    1)</f>
        <v>31.2</v>
      </c>
      <c r="N53" s="11">
        <f t="shared" ca="1" si="11"/>
        <v>24.699999999999996</v>
      </c>
      <c r="O53" s="4">
        <f t="shared" ca="1" si="12"/>
        <v>13.271000000000001</v>
      </c>
      <c r="P53" s="11">
        <v>19.556948890643859</v>
      </c>
      <c r="Q53" s="11">
        <f t="shared" ca="1" si="13"/>
        <v>37.043051109356135</v>
      </c>
      <c r="R53" s="11" t="str">
        <f t="shared" ca="1" si="14"/>
        <v>conical</v>
      </c>
      <c r="S53" s="13">
        <f t="shared" ca="1" si="15"/>
        <v>8.9000000000000021</v>
      </c>
      <c r="T53" s="13"/>
    </row>
    <row r="54" spans="1:20" x14ac:dyDescent="0.2">
      <c r="A54" s="11" t="s">
        <v>3</v>
      </c>
      <c r="B54" s="11" t="s">
        <v>47</v>
      </c>
      <c r="C54" s="11">
        <f>_xlfn.XLOOKUP($A54,'Conical section geometry'!$B$11:$B$17,'Conical section geometry'!$C$11:$C$17,"XXXX",0,1)</f>
        <v>-6.5</v>
      </c>
      <c r="D54" s="11">
        <f>_xlfn.XLOOKUP($A54,'Conical section geometry'!$B$11:$B$17,'Conical section geometry'!$D$11:$D$17,"XXXX",0,1)</f>
        <v>-17.928999999999998</v>
      </c>
      <c r="E54" s="11" cm="1">
        <f t="array" aca="1" ref="E54" ca="1">_xlfn.XLOOKUP($B54,    INDIRECT("'" &amp; $C$3 &amp; "'!$A$20:$A$219"),    _xlfn.XLOOKUP(E$18,INDIRECT("'" &amp; $C$3 &amp; "'!$B$18:$X$18"), INDIRECT("'" &amp; $C$3 &amp; "'!$B$20:$X$219"),"XXXXX",0,1),    "XX",    0,    1)</f>
        <v>8</v>
      </c>
      <c r="F54" s="11" cm="1">
        <f t="array" aca="1" ref="F54" ca="1">_xlfn.XLOOKUP($B54,    INDIRECT("'" &amp; $C$3 &amp; "'!$A$20:$A$219"),    _xlfn.XLOOKUP(F$18,INDIRECT("'" &amp; $C$3 &amp; "'!$B$18:$X$18"), INDIRECT("'" &amp; $C$3 &amp; "'!$B$20:$X$219"),"XXXXX",0,1),    "XX",    0,    1)</f>
        <v>10</v>
      </c>
      <c r="G54" s="11">
        <f>_xlfn.XLOOKUP($A54,'Conical section geometry'!$B$11:$B$17,'Conical section geometry'!$E$11:$E$17,"XXXX",0,1)</f>
        <v>-174.99340000000001</v>
      </c>
      <c r="H54" s="11" cm="1">
        <f t="array" aca="1" ref="H54" ca="1">_xlfn.XLOOKUP($B54,    INDIRECT("'" &amp; $C$3 &amp; "'!$A$20:$A$219"),    _xlfn.XLOOKUP(H$18,INDIRECT("'" &amp; $C$3 &amp; "'!$B$18:$X$18"), INDIRECT("'" &amp; $C$3 &amp; "'!$B$20:$X$219"),"XXXXX",0,1),    "XX",    0,    1)</f>
        <v>-35</v>
      </c>
      <c r="I54" s="11" cm="1">
        <f t="array" aca="1" ref="I54" ca="1">_xlfn.XLOOKUP($B54,    INDIRECT("'" &amp; $C$3 &amp; "'!$A$20:$A$219"),    _xlfn.XLOOKUP(I$18,INDIRECT("'" &amp; $C$3 &amp; "'!$B$18:$X$18"), INDIRECT("'" &amp; $C$3 &amp; "'!$B$20:$X$219"),"XXXXX",0,1),    "XX",    0,    1)</f>
        <v>91.5</v>
      </c>
      <c r="J54" s="11">
        <f t="shared" si="8"/>
        <v>31.9</v>
      </c>
      <c r="K54" s="11">
        <f t="shared" si="9"/>
        <v>11.428999999999998</v>
      </c>
      <c r="L54" s="11">
        <f t="shared" si="10"/>
        <v>43.328999999999994</v>
      </c>
      <c r="M54" s="11" cm="1">
        <f t="array" aca="1" ref="M54" ca="1">_xlfn.XLOOKUP($B54,    INDIRECT("'" &amp; $C$3 &amp; "'!$A$20:$A$219"),    _xlfn.XLOOKUP(M$18,INDIRECT("'" &amp; $C$3 &amp; "'!$B$18:$X$18"), INDIRECT("'" &amp; $C$3 &amp; "'!$B$20:$X$219"),"XXXXX",0,1),    "XX",    0,    1)</f>
        <v>31.1</v>
      </c>
      <c r="N54" s="11">
        <f t="shared" ca="1" si="11"/>
        <v>24.6</v>
      </c>
      <c r="O54" s="4">
        <f t="shared" ca="1" si="12"/>
        <v>13.171000000000006</v>
      </c>
      <c r="P54" s="11">
        <v>19.456948890643872</v>
      </c>
      <c r="Q54" s="11">
        <f t="shared" ca="1" si="13"/>
        <v>37.043051109356128</v>
      </c>
      <c r="R54" s="11" t="str">
        <f t="shared" ca="1" si="14"/>
        <v>conical</v>
      </c>
      <c r="S54" s="13">
        <f t="shared" ca="1" si="15"/>
        <v>8.9</v>
      </c>
      <c r="T54" s="13"/>
    </row>
    <row r="55" spans="1:20" x14ac:dyDescent="0.2">
      <c r="A55" s="11" t="s">
        <v>3</v>
      </c>
      <c r="B55" s="11" t="s">
        <v>106</v>
      </c>
      <c r="C55" s="11">
        <f>_xlfn.XLOOKUP($A55,'Conical section geometry'!$B$11:$B$17,'Conical section geometry'!$C$11:$C$17,"XXXX",0,1)</f>
        <v>-6.5</v>
      </c>
      <c r="D55" s="11">
        <f>_xlfn.XLOOKUP($A55,'Conical section geometry'!$B$11:$B$17,'Conical section geometry'!$D$11:$D$17,"XXXX",0,1)</f>
        <v>-17.928999999999998</v>
      </c>
      <c r="E55" s="11" cm="1">
        <f t="array" aca="1" ref="E55" ca="1">_xlfn.XLOOKUP($B55,    INDIRECT("'" &amp; $C$3 &amp; "'!$A$20:$A$219"),    _xlfn.XLOOKUP(E$18,INDIRECT("'" &amp; $C$3 &amp; "'!$B$18:$X$18"), INDIRECT("'" &amp; $C$3 &amp; "'!$B$20:$X$219"),"XXXXX",0,1),    "XX",    0,    1)</f>
        <v>8</v>
      </c>
      <c r="F55" s="11" cm="1">
        <f t="array" aca="1" ref="F55" ca="1">_xlfn.XLOOKUP($B55,    INDIRECT("'" &amp; $C$3 &amp; "'!$A$20:$A$219"),    _xlfn.XLOOKUP(F$18,INDIRECT("'" &amp; $C$3 &amp; "'!$B$18:$X$18"), INDIRECT("'" &amp; $C$3 &amp; "'!$B$20:$X$219"),"XXXXX",0,1),    "XX",    0,    1)</f>
        <v>10</v>
      </c>
      <c r="G55" s="11">
        <f>_xlfn.XLOOKUP($A55,'Conical section geometry'!$B$11:$B$17,'Conical section geometry'!$E$11:$E$17,"XXXX",0,1)</f>
        <v>-174.99340000000001</v>
      </c>
      <c r="H55" s="11" cm="1">
        <f t="array" aca="1" ref="H55" ca="1">_xlfn.XLOOKUP($B55,    INDIRECT("'" &amp; $C$3 &amp; "'!$A$20:$A$219"),    _xlfn.XLOOKUP(H$18,INDIRECT("'" &amp; $C$3 &amp; "'!$B$18:$X$18"), INDIRECT("'" &amp; $C$3 &amp; "'!$B$20:$X$219"),"XXXXX",0,1),    "XX",    0,    1)</f>
        <v>-31.4</v>
      </c>
      <c r="I55" s="11" cm="1">
        <f t="array" aca="1" ref="I55" ca="1">_xlfn.XLOOKUP($B55,    INDIRECT("'" &amp; $C$3 &amp; "'!$A$20:$A$219"),    _xlfn.XLOOKUP(I$18,INDIRECT("'" &amp; $C$3 &amp; "'!$B$18:$X$18"), INDIRECT("'" &amp; $C$3 &amp; "'!$B$20:$X$219"),"XXXXX",0,1),    "XX",    0,    1)</f>
        <v>87.8</v>
      </c>
      <c r="J55" s="11">
        <f t="shared" si="8"/>
        <v>31.9</v>
      </c>
      <c r="K55" s="11">
        <f t="shared" si="9"/>
        <v>11.428999999999998</v>
      </c>
      <c r="L55" s="11">
        <f t="shared" si="10"/>
        <v>43.328999999999994</v>
      </c>
      <c r="M55" s="11" cm="1">
        <f t="array" aca="1" ref="M55" ca="1">_xlfn.XLOOKUP($B55,    INDIRECT("'" &amp; $C$3 &amp; "'!$A$20:$A$219"),    _xlfn.XLOOKUP(M$18,INDIRECT("'" &amp; $C$3 &amp; "'!$B$18:$X$18"), INDIRECT("'" &amp; $C$3 &amp; "'!$B$20:$X$219"),"XXXXX",0,1),    "XX",    0,    1)</f>
        <v>31</v>
      </c>
      <c r="N55" s="11">
        <f t="shared" ca="1" si="11"/>
        <v>24.5</v>
      </c>
      <c r="O55" s="4">
        <f t="shared" ca="1" si="12"/>
        <v>13.071000000000005</v>
      </c>
      <c r="P55" s="11">
        <v>19.356948890643888</v>
      </c>
      <c r="Q55" s="11">
        <f t="shared" ca="1" si="13"/>
        <v>37.043051109356114</v>
      </c>
      <c r="R55" s="11" t="str">
        <f t="shared" ca="1" si="14"/>
        <v>conical</v>
      </c>
      <c r="S55" s="13">
        <f t="shared" ca="1" si="15"/>
        <v>8.8999999999999986</v>
      </c>
      <c r="T55" s="13"/>
    </row>
    <row r="56" spans="1:20" x14ac:dyDescent="0.2">
      <c r="A56" s="11" t="s">
        <v>3</v>
      </c>
      <c r="B56" s="11" t="s">
        <v>75</v>
      </c>
      <c r="C56" s="11">
        <f>_xlfn.XLOOKUP($A56,'Conical section geometry'!$B$11:$B$17,'Conical section geometry'!$C$11:$C$17,"XXXX",0,1)</f>
        <v>-6.5</v>
      </c>
      <c r="D56" s="11">
        <f>_xlfn.XLOOKUP($A56,'Conical section geometry'!$B$11:$B$17,'Conical section geometry'!$D$11:$D$17,"XXXX",0,1)</f>
        <v>-17.928999999999998</v>
      </c>
      <c r="E56" s="11" cm="1">
        <f t="array" aca="1" ref="E56" ca="1">_xlfn.XLOOKUP($B56,    INDIRECT("'" &amp; $C$3 &amp; "'!$A$20:$A$219"),    _xlfn.XLOOKUP(E$18,INDIRECT("'" &amp; $C$3 &amp; "'!$B$18:$X$18"), INDIRECT("'" &amp; $C$3 &amp; "'!$B$20:$X$219"),"XXXXX",0,1),    "XX",    0,    1)</f>
        <v>8</v>
      </c>
      <c r="F56" s="11" cm="1">
        <f t="array" aca="1" ref="F56" ca="1">_xlfn.XLOOKUP($B56,    INDIRECT("'" &amp; $C$3 &amp; "'!$A$20:$A$219"),    _xlfn.XLOOKUP(F$18,INDIRECT("'" &amp; $C$3 &amp; "'!$B$18:$X$18"), INDIRECT("'" &amp; $C$3 &amp; "'!$B$20:$X$219"),"XXXXX",0,1),    "XX",    0,    1)</f>
        <v>10</v>
      </c>
      <c r="G56" s="11">
        <f>_xlfn.XLOOKUP($A56,'Conical section geometry'!$B$11:$B$17,'Conical section geometry'!$E$11:$E$17,"XXXX",0,1)</f>
        <v>-174.99340000000001</v>
      </c>
      <c r="H56" s="11" cm="1">
        <f t="array" aca="1" ref="H56" ca="1">_xlfn.XLOOKUP($B56,    INDIRECT("'" &amp; $C$3 &amp; "'!$A$20:$A$219"),    _xlfn.XLOOKUP(H$18,INDIRECT("'" &amp; $C$3 &amp; "'!$B$18:$X$18"), INDIRECT("'" &amp; $C$3 &amp; "'!$B$20:$X$219"),"XXXXX",0,1),    "XX",    0,    1)</f>
        <v>-33.1</v>
      </c>
      <c r="I56" s="11" cm="1">
        <f t="array" aca="1" ref="I56" ca="1">_xlfn.XLOOKUP($B56,    INDIRECT("'" &amp; $C$3 &amp; "'!$A$20:$A$219"),    _xlfn.XLOOKUP(I$18,INDIRECT("'" &amp; $C$3 &amp; "'!$B$18:$X$18"), INDIRECT("'" &amp; $C$3 &amp; "'!$B$20:$X$219"),"XXXXX",0,1),    "XX",    0,    1)</f>
        <v>89.5</v>
      </c>
      <c r="J56" s="11">
        <f t="shared" si="8"/>
        <v>31.9</v>
      </c>
      <c r="K56" s="11">
        <f t="shared" si="9"/>
        <v>11.428999999999998</v>
      </c>
      <c r="L56" s="11">
        <f t="shared" si="10"/>
        <v>43.328999999999994</v>
      </c>
      <c r="M56" s="11" cm="1">
        <f t="array" aca="1" ref="M56" ca="1">_xlfn.XLOOKUP($B56,    INDIRECT("'" &amp; $C$3 &amp; "'!$A$20:$A$219"),    _xlfn.XLOOKUP(M$18,INDIRECT("'" &amp; $C$3 &amp; "'!$B$18:$X$18"), INDIRECT("'" &amp; $C$3 &amp; "'!$B$20:$X$219"),"XXXXX",0,1),    "XX",    0,    1)</f>
        <v>31</v>
      </c>
      <c r="N56" s="11">
        <f t="shared" ca="1" si="11"/>
        <v>24.5</v>
      </c>
      <c r="O56" s="4">
        <f t="shared" ca="1" si="12"/>
        <v>13.071000000000005</v>
      </c>
      <c r="P56" s="11">
        <v>19.356948890643892</v>
      </c>
      <c r="Q56" s="11">
        <f t="shared" ca="1" si="13"/>
        <v>37.043051109356107</v>
      </c>
      <c r="R56" s="11" t="str">
        <f t="shared" ca="1" si="14"/>
        <v>conical</v>
      </c>
      <c r="S56" s="13">
        <f t="shared" ca="1" si="15"/>
        <v>8.8999999999999968</v>
      </c>
      <c r="T56" s="13"/>
    </row>
    <row r="57" spans="1:20" x14ac:dyDescent="0.2">
      <c r="A57" s="11" t="s">
        <v>4</v>
      </c>
      <c r="B57" s="11" t="s">
        <v>182</v>
      </c>
      <c r="C57" s="11">
        <f>_xlfn.XLOOKUP($A57,'Conical section geometry'!$B$11:$B$17,'Conical section geometry'!$C$11:$C$17,"XXXX",0,1)</f>
        <v>-6.5</v>
      </c>
      <c r="D57" s="11">
        <f>_xlfn.XLOOKUP($A57,'Conical section geometry'!$B$11:$B$17,'Conical section geometry'!$D$11:$D$17,"XXXX",0,1)</f>
        <v>-20.786000000000001</v>
      </c>
      <c r="E57" s="11" cm="1">
        <f t="array" aca="1" ref="E57" ca="1">_xlfn.XLOOKUP($B57,    INDIRECT("'" &amp; $C$3 &amp; "'!$A$20:$A$219"),    _xlfn.XLOOKUP(E$18,INDIRECT("'" &amp; $C$3 &amp; "'!$B$18:$X$18"), INDIRECT("'" &amp; $C$3 &amp; "'!$B$20:$X$219"),"XXXXX",0,1),    "XX",    0,    1)</f>
        <v>8</v>
      </c>
      <c r="F57" s="11" cm="1">
        <f t="array" aca="1" ref="F57" ca="1">_xlfn.XLOOKUP($B57,    INDIRECT("'" &amp; $C$3 &amp; "'!$A$20:$A$219"),    _xlfn.XLOOKUP(F$18,INDIRECT("'" &amp; $C$3 &amp; "'!$B$18:$X$18"), INDIRECT("'" &amp; $C$3 &amp; "'!$B$20:$X$219"),"XXXXX",0,1),    "XX",    0,    1)</f>
        <v>10.5</v>
      </c>
      <c r="G57" s="11">
        <f>_xlfn.XLOOKUP($A57,'Conical section geometry'!$B$11:$B$17,'Conical section geometry'!$E$11:$E$17,"XXXX",0,1)</f>
        <v>-174.996500069999</v>
      </c>
      <c r="H57" s="11" cm="1">
        <f t="array" aca="1" ref="H57" ca="1">_xlfn.XLOOKUP($B57,    INDIRECT("'" &amp; $C$3 &amp; "'!$A$20:$A$219"),    _xlfn.XLOOKUP(H$18,INDIRECT("'" &amp; $C$3 &amp; "'!$B$18:$X$18"), INDIRECT("'" &amp; $C$3 &amp; "'!$B$20:$X$219"),"XXXXX",0,1),    "XX",    0,    1)</f>
        <v>-36.700000000000003</v>
      </c>
      <c r="I57" s="11" cm="1">
        <f t="array" aca="1" ref="I57" ca="1">_xlfn.XLOOKUP($B57,    INDIRECT("'" &amp; $C$3 &amp; "'!$A$20:$A$219"),    _xlfn.XLOOKUP(I$18,INDIRECT("'" &amp; $C$3 &amp; "'!$B$18:$X$18"), INDIRECT("'" &amp; $C$3 &amp; "'!$B$20:$X$219"),"XXXXX",0,1),    "XX",    0,    1)</f>
        <v>93</v>
      </c>
      <c r="J57" s="11">
        <f t="shared" si="8"/>
        <v>31.9</v>
      </c>
      <c r="K57" s="11">
        <f t="shared" si="9"/>
        <v>14.286000000000001</v>
      </c>
      <c r="L57" s="11">
        <f t="shared" si="10"/>
        <v>46.186</v>
      </c>
      <c r="M57" s="11" cm="1">
        <f t="array" aca="1" ref="M57" ca="1">_xlfn.XLOOKUP($B57,    INDIRECT("'" &amp; $C$3 &amp; "'!$A$20:$A$219"),    _xlfn.XLOOKUP(M$18,INDIRECT("'" &amp; $C$3 &amp; "'!$B$18:$X$18"), INDIRECT("'" &amp; $C$3 &amp; "'!$B$20:$X$219"),"XXXXX",0,1),    "XX",    0,    1)</f>
        <v>30.9</v>
      </c>
      <c r="N57" s="11">
        <f t="shared" ca="1" si="11"/>
        <v>24.4</v>
      </c>
      <c r="O57" s="4">
        <f t="shared" ca="1" si="12"/>
        <v>10.113999999999997</v>
      </c>
      <c r="P57" s="11">
        <v>19.257040000000021</v>
      </c>
      <c r="Q57" s="11">
        <f t="shared" ca="1" si="13"/>
        <v>37.042959999999979</v>
      </c>
      <c r="R57" s="11" t="str">
        <f t="shared" ca="1" si="14"/>
        <v>conical</v>
      </c>
      <c r="S57" s="13">
        <f t="shared" ca="1" si="15"/>
        <v>8.8999999999999986</v>
      </c>
      <c r="T57" s="13"/>
    </row>
    <row r="58" spans="1:20" x14ac:dyDescent="0.2">
      <c r="A58" s="11" t="s">
        <v>3</v>
      </c>
      <c r="B58" s="11" t="s">
        <v>21</v>
      </c>
      <c r="C58" s="11">
        <f>_xlfn.XLOOKUP($A58,'Conical section geometry'!$B$11:$B$17,'Conical section geometry'!$C$11:$C$17,"XXXX",0,1)</f>
        <v>-6.5</v>
      </c>
      <c r="D58" s="11">
        <f>_xlfn.XLOOKUP($A58,'Conical section geometry'!$B$11:$B$17,'Conical section geometry'!$D$11:$D$17,"XXXX",0,1)</f>
        <v>-17.928999999999998</v>
      </c>
      <c r="E58" s="11" cm="1">
        <f t="array" aca="1" ref="E58" ca="1">_xlfn.XLOOKUP($B58,    INDIRECT("'" &amp; $C$3 &amp; "'!$A$20:$A$219"),    _xlfn.XLOOKUP(E$18,INDIRECT("'" &amp; $C$3 &amp; "'!$B$18:$X$18"), INDIRECT("'" &amp; $C$3 &amp; "'!$B$20:$X$219"),"XXXXX",0,1),    "XX",    0,    1)</f>
        <v>8</v>
      </c>
      <c r="F58" s="11" cm="1">
        <f t="array" aca="1" ref="F58" ca="1">_xlfn.XLOOKUP($B58,    INDIRECT("'" &amp; $C$3 &amp; "'!$A$20:$A$219"),    _xlfn.XLOOKUP(F$18,INDIRECT("'" &amp; $C$3 &amp; "'!$B$18:$X$18"), INDIRECT("'" &amp; $C$3 &amp; "'!$B$20:$X$219"),"XXXXX",0,1),    "XX",    0,    1)</f>
        <v>10</v>
      </c>
      <c r="G58" s="11">
        <f>_xlfn.XLOOKUP($A58,'Conical section geometry'!$B$11:$B$17,'Conical section geometry'!$E$11:$E$17,"XXXX",0,1)</f>
        <v>-174.99340000000001</v>
      </c>
      <c r="H58" s="11" cm="1">
        <f t="array" aca="1" ref="H58" ca="1">_xlfn.XLOOKUP($B58,    INDIRECT("'" &amp; $C$3 &amp; "'!$A$20:$A$219"),    _xlfn.XLOOKUP(H$18,INDIRECT("'" &amp; $C$3 &amp; "'!$B$18:$X$18"), INDIRECT("'" &amp; $C$3 &amp; "'!$B$20:$X$219"),"XXXXX",0,1),    "XX",    0,    1)</f>
        <v>-37</v>
      </c>
      <c r="I58" s="11" cm="1">
        <f t="array" aca="1" ref="I58" ca="1">_xlfn.XLOOKUP($B58,    INDIRECT("'" &amp; $C$3 &amp; "'!$A$20:$A$219"),    _xlfn.XLOOKUP(I$18,INDIRECT("'" &amp; $C$3 &amp; "'!$B$18:$X$18"), INDIRECT("'" &amp; $C$3 &amp; "'!$B$20:$X$219"),"XXXXX",0,1),    "XX",    0,    1)</f>
        <v>93.3</v>
      </c>
      <c r="J58" s="11">
        <f t="shared" si="8"/>
        <v>31.9</v>
      </c>
      <c r="K58" s="11">
        <f t="shared" si="9"/>
        <v>11.428999999999998</v>
      </c>
      <c r="L58" s="11">
        <f t="shared" si="10"/>
        <v>43.328999999999994</v>
      </c>
      <c r="M58" s="11" cm="1">
        <f t="array" aca="1" ref="M58" ca="1">_xlfn.XLOOKUP($B58,    INDIRECT("'" &amp; $C$3 &amp; "'!$A$20:$A$219"),    _xlfn.XLOOKUP(M$18,INDIRECT("'" &amp; $C$3 &amp; "'!$B$18:$X$18"), INDIRECT("'" &amp; $C$3 &amp; "'!$B$20:$X$219"),"XXXXX",0,1),    "XX",    0,    1)</f>
        <v>30.9</v>
      </c>
      <c r="N58" s="11">
        <f t="shared" ca="1" si="11"/>
        <v>24.4</v>
      </c>
      <c r="O58" s="4">
        <f t="shared" ca="1" si="12"/>
        <v>12.971000000000004</v>
      </c>
      <c r="P58" s="11">
        <v>19.256948890643883</v>
      </c>
      <c r="Q58" s="11">
        <f t="shared" ca="1" si="13"/>
        <v>37.043051109356114</v>
      </c>
      <c r="R58" s="11" t="str">
        <f t="shared" ca="1" si="14"/>
        <v>conical</v>
      </c>
      <c r="S58" s="13">
        <f t="shared" ca="1" si="15"/>
        <v>8.8999999999999986</v>
      </c>
      <c r="T58" s="13"/>
    </row>
    <row r="59" spans="1:20" x14ac:dyDescent="0.2">
      <c r="A59" s="11" t="s">
        <v>7</v>
      </c>
      <c r="B59" s="11" t="s">
        <v>208</v>
      </c>
      <c r="C59" s="11">
        <f>_xlfn.XLOOKUP($A59,'Conical section geometry'!$B$11:$B$17,'Conical section geometry'!$C$11:$C$17,"XXXX",0,1)</f>
        <v>-6.5</v>
      </c>
      <c r="D59" s="11">
        <f>_xlfn.XLOOKUP($A59,'Conical section geometry'!$B$11:$B$17,'Conical section geometry'!$D$11:$D$17,"XXXX",0,1)</f>
        <v>-23.643000000000001</v>
      </c>
      <c r="E59" s="11" cm="1">
        <f t="array" aca="1" ref="E59" ca="1">_xlfn.XLOOKUP($B59,    INDIRECT("'" &amp; $C$3 &amp; "'!$A$20:$A$219"),    _xlfn.XLOOKUP(E$18,INDIRECT("'" &amp; $C$3 &amp; "'!$B$18:$X$18"), INDIRECT("'" &amp; $C$3 &amp; "'!$B$20:$X$219"),"XXXXX",0,1),    "XX",    0,    1)</f>
        <v>8</v>
      </c>
      <c r="F59" s="11" cm="1">
        <f t="array" aca="1" ref="F59" ca="1">_xlfn.XLOOKUP($B59,    INDIRECT("'" &amp; $C$3 &amp; "'!$A$20:$A$219"),    _xlfn.XLOOKUP(F$18,INDIRECT("'" &amp; $C$3 &amp; "'!$B$18:$X$18"), INDIRECT("'" &amp; $C$3 &amp; "'!$B$20:$X$219"),"XXXXX",0,1),    "XX",    0,    1)</f>
        <v>11</v>
      </c>
      <c r="G59" s="11">
        <f>_xlfn.XLOOKUP($A59,'Conical section geometry'!$B$11:$B$17,'Conical section geometry'!$E$11:$E$17,"XXXX",0,1)</f>
        <v>-174.99854167881901</v>
      </c>
      <c r="H59" s="11" cm="1">
        <f t="array" aca="1" ref="H59" ca="1">_xlfn.XLOOKUP($B59,    INDIRECT("'" &amp; $C$3 &amp; "'!$A$20:$A$219"),    _xlfn.XLOOKUP(H$18,INDIRECT("'" &amp; $C$3 &amp; "'!$B$18:$X$18"), INDIRECT("'" &amp; $C$3 &amp; "'!$B$20:$X$219"),"XXXXX",0,1),    "XX",    0,    1)</f>
        <v>-42.9</v>
      </c>
      <c r="I59" s="11" cm="1">
        <f t="array" aca="1" ref="I59" ca="1">_xlfn.XLOOKUP($B59,    INDIRECT("'" &amp; $C$3 &amp; "'!$A$20:$A$219"),    _xlfn.XLOOKUP(I$18,INDIRECT("'" &amp; $C$3 &amp; "'!$B$18:$X$18"), INDIRECT("'" &amp; $C$3 &amp; "'!$B$20:$X$219"),"XXXXX",0,1),    "XX",    0,    1)</f>
        <v>99.1</v>
      </c>
      <c r="J59" s="11">
        <f t="shared" si="8"/>
        <v>31.9</v>
      </c>
      <c r="K59" s="11">
        <f t="shared" si="9"/>
        <v>17.143000000000001</v>
      </c>
      <c r="L59" s="11">
        <f t="shared" si="10"/>
        <v>49.042999999999999</v>
      </c>
      <c r="M59" s="11" cm="1">
        <f t="array" aca="1" ref="M59" ca="1">_xlfn.XLOOKUP($B59,    INDIRECT("'" &amp; $C$3 &amp; "'!$A$20:$A$219"),    _xlfn.XLOOKUP(M$18,INDIRECT("'" &amp; $C$3 &amp; "'!$B$18:$X$18"), INDIRECT("'" &amp; $C$3 &amp; "'!$B$20:$X$219"),"XXXXX",0,1),    "XX",    0,    1)</f>
        <v>30.8</v>
      </c>
      <c r="N59" s="11">
        <f t="shared" ca="1" si="11"/>
        <v>24.29999999999999</v>
      </c>
      <c r="O59" s="4">
        <f t="shared" ca="1" si="12"/>
        <v>7.1569999999999965</v>
      </c>
      <c r="P59" s="11">
        <v>19.157099999999996</v>
      </c>
      <c r="Q59" s="11">
        <f t="shared" ca="1" si="13"/>
        <v>37.042900000000003</v>
      </c>
      <c r="R59" s="11" t="str">
        <f t="shared" ca="1" si="14"/>
        <v>conical</v>
      </c>
      <c r="S59" s="13">
        <f t="shared" ca="1" si="15"/>
        <v>8.8999999999999986</v>
      </c>
      <c r="T59" s="13"/>
    </row>
    <row r="60" spans="1:20" x14ac:dyDescent="0.2">
      <c r="A60" s="11" t="s">
        <v>3</v>
      </c>
      <c r="B60" s="11" t="s">
        <v>22</v>
      </c>
      <c r="C60" s="11">
        <f>_xlfn.XLOOKUP($A60,'Conical section geometry'!$B$11:$B$17,'Conical section geometry'!$C$11:$C$17,"XXXX",0,1)</f>
        <v>-6.5</v>
      </c>
      <c r="D60" s="11">
        <f>_xlfn.XLOOKUP($A60,'Conical section geometry'!$B$11:$B$17,'Conical section geometry'!$D$11:$D$17,"XXXX",0,1)</f>
        <v>-17.928999999999998</v>
      </c>
      <c r="E60" s="11" cm="1">
        <f t="array" aca="1" ref="E60" ca="1">_xlfn.XLOOKUP($B60,    INDIRECT("'" &amp; $C$3 &amp; "'!$A$20:$A$219"),    _xlfn.XLOOKUP(E$18,INDIRECT("'" &amp; $C$3 &amp; "'!$B$18:$X$18"), INDIRECT("'" &amp; $C$3 &amp; "'!$B$20:$X$219"),"XXXXX",0,1),    "XX",    0,    1)</f>
        <v>8</v>
      </c>
      <c r="F60" s="11" cm="1">
        <f t="array" aca="1" ref="F60" ca="1">_xlfn.XLOOKUP($B60,    INDIRECT("'" &amp; $C$3 &amp; "'!$A$20:$A$219"),    _xlfn.XLOOKUP(F$18,INDIRECT("'" &amp; $C$3 &amp; "'!$B$18:$X$18"), INDIRECT("'" &amp; $C$3 &amp; "'!$B$20:$X$219"),"XXXXX",0,1),    "XX",    0,    1)</f>
        <v>10</v>
      </c>
      <c r="G60" s="11">
        <f>_xlfn.XLOOKUP($A60,'Conical section geometry'!$B$11:$B$17,'Conical section geometry'!$E$11:$E$17,"XXXX",0,1)</f>
        <v>-174.99340000000001</v>
      </c>
      <c r="H60" s="11" cm="1">
        <f t="array" aca="1" ref="H60" ca="1">_xlfn.XLOOKUP($B60,    INDIRECT("'" &amp; $C$3 &amp; "'!$A$20:$A$219"),    _xlfn.XLOOKUP(H$18,INDIRECT("'" &amp; $C$3 &amp; "'!$B$18:$X$18"), INDIRECT("'" &amp; $C$3 &amp; "'!$B$20:$X$219"),"XXXXX",0,1),    "XX",    0,    1)</f>
        <v>-37.4</v>
      </c>
      <c r="I60" s="11" cm="1">
        <f t="array" aca="1" ref="I60" ca="1">_xlfn.XLOOKUP($B60,    INDIRECT("'" &amp; $C$3 &amp; "'!$A$20:$A$219"),    _xlfn.XLOOKUP(I$18,INDIRECT("'" &amp; $C$3 &amp; "'!$B$18:$X$18"), INDIRECT("'" &amp; $C$3 &amp; "'!$B$20:$X$219"),"XXXXX",0,1),    "XX",    0,    1)</f>
        <v>93.6</v>
      </c>
      <c r="J60" s="11">
        <f t="shared" si="8"/>
        <v>31.9</v>
      </c>
      <c r="K60" s="11">
        <f t="shared" si="9"/>
        <v>11.428999999999998</v>
      </c>
      <c r="L60" s="11">
        <f t="shared" si="10"/>
        <v>43.328999999999994</v>
      </c>
      <c r="M60" s="11" cm="1">
        <f t="array" aca="1" ref="M60" ca="1">_xlfn.XLOOKUP($B60,    INDIRECT("'" &amp; $C$3 &amp; "'!$A$20:$A$219"),    _xlfn.XLOOKUP(M$18,INDIRECT("'" &amp; $C$3 &amp; "'!$B$18:$X$18"), INDIRECT("'" &amp; $C$3 &amp; "'!$B$20:$X$219"),"XXXXX",0,1),    "XX",    0,    1)</f>
        <v>30.8</v>
      </c>
      <c r="N60" s="11">
        <f t="shared" ca="1" si="11"/>
        <v>24.299999999999997</v>
      </c>
      <c r="O60" s="4">
        <f t="shared" ca="1" si="12"/>
        <v>12.871000000000002</v>
      </c>
      <c r="P60" s="11">
        <v>19.156948890643889</v>
      </c>
      <c r="Q60" s="11">
        <f t="shared" ca="1" si="13"/>
        <v>37.043051109356107</v>
      </c>
      <c r="R60" s="11" t="str">
        <f t="shared" ca="1" si="14"/>
        <v>conical</v>
      </c>
      <c r="S60" s="13">
        <f t="shared" ca="1" si="15"/>
        <v>8.8999999999999968</v>
      </c>
      <c r="T60" s="13"/>
    </row>
    <row r="61" spans="1:20" x14ac:dyDescent="0.2">
      <c r="A61" s="11" t="s">
        <v>7</v>
      </c>
      <c r="B61" s="11" t="s">
        <v>204</v>
      </c>
      <c r="C61" s="11">
        <f>_xlfn.XLOOKUP($A61,'Conical section geometry'!$B$11:$B$17,'Conical section geometry'!$C$11:$C$17,"XXXX",0,1)</f>
        <v>-6.5</v>
      </c>
      <c r="D61" s="11">
        <f>_xlfn.XLOOKUP($A61,'Conical section geometry'!$B$11:$B$17,'Conical section geometry'!$D$11:$D$17,"XXXX",0,1)</f>
        <v>-23.643000000000001</v>
      </c>
      <c r="E61" s="11" cm="1">
        <f t="array" aca="1" ref="E61" ca="1">_xlfn.XLOOKUP($B61,    INDIRECT("'" &amp; $C$3 &amp; "'!$A$20:$A$219"),    _xlfn.XLOOKUP(E$18,INDIRECT("'" &amp; $C$3 &amp; "'!$B$18:$X$18"), INDIRECT("'" &amp; $C$3 &amp; "'!$B$20:$X$219"),"XXXXX",0,1),    "XX",    0,    1)</f>
        <v>8</v>
      </c>
      <c r="F61" s="11" cm="1">
        <f t="array" aca="1" ref="F61" ca="1">_xlfn.XLOOKUP($B61,    INDIRECT("'" &amp; $C$3 &amp; "'!$A$20:$A$219"),    _xlfn.XLOOKUP(F$18,INDIRECT("'" &amp; $C$3 &amp; "'!$B$18:$X$18"), INDIRECT("'" &amp; $C$3 &amp; "'!$B$20:$X$219"),"XXXXX",0,1),    "XX",    0,    1)</f>
        <v>11</v>
      </c>
      <c r="G61" s="11">
        <f>_xlfn.XLOOKUP($A61,'Conical section geometry'!$B$11:$B$17,'Conical section geometry'!$E$11:$E$17,"XXXX",0,1)</f>
        <v>-174.99854167881901</v>
      </c>
      <c r="H61" s="11" cm="1">
        <f t="array" aca="1" ref="H61" ca="1">_xlfn.XLOOKUP($B61,    INDIRECT("'" &amp; $C$3 &amp; "'!$A$20:$A$219"),    _xlfn.XLOOKUP(H$18,INDIRECT("'" &amp; $C$3 &amp; "'!$B$18:$X$18"), INDIRECT("'" &amp; $C$3 &amp; "'!$B$20:$X$219"),"XXXXX",0,1),    "XX",    0,    1)</f>
        <v>-44.8</v>
      </c>
      <c r="I61" s="11" cm="1">
        <f t="array" aca="1" ref="I61" ca="1">_xlfn.XLOOKUP($B61,    INDIRECT("'" &amp; $C$3 &amp; "'!$A$20:$A$219"),    _xlfn.XLOOKUP(I$18,INDIRECT("'" &amp; $C$3 &amp; "'!$B$18:$X$18"), INDIRECT("'" &amp; $C$3 &amp; "'!$B$20:$X$219"),"XXXXX",0,1),    "XX",    0,    1)</f>
        <v>100.9</v>
      </c>
      <c r="J61" s="11">
        <f t="shared" si="8"/>
        <v>31.9</v>
      </c>
      <c r="K61" s="11">
        <f t="shared" si="9"/>
        <v>17.143000000000001</v>
      </c>
      <c r="L61" s="11">
        <f t="shared" si="10"/>
        <v>49.042999999999999</v>
      </c>
      <c r="M61" s="11" cm="1">
        <f t="array" aca="1" ref="M61" ca="1">_xlfn.XLOOKUP($B61,    INDIRECT("'" &amp; $C$3 &amp; "'!$A$20:$A$219"),    _xlfn.XLOOKUP(M$18,INDIRECT("'" &amp; $C$3 &amp; "'!$B$18:$X$18"), INDIRECT("'" &amp; $C$3 &amp; "'!$B$20:$X$219"),"XXXXX",0,1),    "XX",    0,    1)</f>
        <v>30.7</v>
      </c>
      <c r="N61" s="11">
        <f t="shared" ca="1" si="11"/>
        <v>24.200000000000003</v>
      </c>
      <c r="O61" s="4">
        <f t="shared" ca="1" si="12"/>
        <v>7.0570000000000093</v>
      </c>
      <c r="P61" s="11">
        <v>19.05710000000002</v>
      </c>
      <c r="Q61" s="11">
        <f t="shared" ca="1" si="13"/>
        <v>37.042899999999989</v>
      </c>
      <c r="R61" s="11" t="str">
        <f t="shared" ca="1" si="14"/>
        <v>conical</v>
      </c>
      <c r="S61" s="13">
        <f t="shared" ca="1" si="15"/>
        <v>8.8999999999999968</v>
      </c>
      <c r="T61" s="13"/>
    </row>
    <row r="62" spans="1:20" x14ac:dyDescent="0.2">
      <c r="A62" s="11" t="s">
        <v>7</v>
      </c>
      <c r="B62" s="11" t="s">
        <v>203</v>
      </c>
      <c r="C62" s="11">
        <f>_xlfn.XLOOKUP($A62,'Conical section geometry'!$B$11:$B$17,'Conical section geometry'!$C$11:$C$17,"XXXX",0,1)</f>
        <v>-6.5</v>
      </c>
      <c r="D62" s="11">
        <f>_xlfn.XLOOKUP($A62,'Conical section geometry'!$B$11:$B$17,'Conical section geometry'!$D$11:$D$17,"XXXX",0,1)</f>
        <v>-23.643000000000001</v>
      </c>
      <c r="E62" s="11" cm="1">
        <f t="array" aca="1" ref="E62" ca="1">_xlfn.XLOOKUP($B62,    INDIRECT("'" &amp; $C$3 &amp; "'!$A$20:$A$219"),    _xlfn.XLOOKUP(E$18,INDIRECT("'" &amp; $C$3 &amp; "'!$B$18:$X$18"), INDIRECT("'" &amp; $C$3 &amp; "'!$B$20:$X$219"),"XXXXX",0,1),    "XX",    0,    1)</f>
        <v>8</v>
      </c>
      <c r="F62" s="11" cm="1">
        <f t="array" aca="1" ref="F62" ca="1">_xlfn.XLOOKUP($B62,    INDIRECT("'" &amp; $C$3 &amp; "'!$A$20:$A$219"),    _xlfn.XLOOKUP(F$18,INDIRECT("'" &amp; $C$3 &amp; "'!$B$18:$X$18"), INDIRECT("'" &amp; $C$3 &amp; "'!$B$20:$X$219"),"XXXXX",0,1),    "XX",    0,    1)</f>
        <v>11</v>
      </c>
      <c r="G62" s="11">
        <f>_xlfn.XLOOKUP($A62,'Conical section geometry'!$B$11:$B$17,'Conical section geometry'!$E$11:$E$17,"XXXX",0,1)</f>
        <v>-174.99854167881901</v>
      </c>
      <c r="H62" s="11" cm="1">
        <f t="array" aca="1" ref="H62" ca="1">_xlfn.XLOOKUP($B62,    INDIRECT("'" &amp; $C$3 &amp; "'!$A$20:$A$219"),    _xlfn.XLOOKUP(H$18,INDIRECT("'" &amp; $C$3 &amp; "'!$B$18:$X$18"), INDIRECT("'" &amp; $C$3 &amp; "'!$B$20:$X$219"),"XXXXX",0,1),    "XX",    0,    1)</f>
        <v>-44.1</v>
      </c>
      <c r="I62" s="11" cm="1">
        <f t="array" aca="1" ref="I62" ca="1">_xlfn.XLOOKUP($B62,    INDIRECT("'" &amp; $C$3 &amp; "'!$A$20:$A$219"),    _xlfn.XLOOKUP(I$18,INDIRECT("'" &amp; $C$3 &amp; "'!$B$18:$X$18"), INDIRECT("'" &amp; $C$3 &amp; "'!$B$20:$X$219"),"XXXXX",0,1),    "XX",    0,    1)</f>
        <v>100.2</v>
      </c>
      <c r="J62" s="11">
        <f t="shared" si="8"/>
        <v>31.9</v>
      </c>
      <c r="K62" s="11">
        <f t="shared" si="9"/>
        <v>17.143000000000001</v>
      </c>
      <c r="L62" s="11">
        <f t="shared" si="10"/>
        <v>49.042999999999999</v>
      </c>
      <c r="M62" s="11" cm="1">
        <f t="array" aca="1" ref="M62" ca="1">_xlfn.XLOOKUP($B62,    INDIRECT("'" &amp; $C$3 &amp; "'!$A$20:$A$219"),    _xlfn.XLOOKUP(M$18,INDIRECT("'" &amp; $C$3 &amp; "'!$B$18:$X$18"), INDIRECT("'" &amp; $C$3 &amp; "'!$B$20:$X$219"),"XXXXX",0,1),    "XX",    0,    1)</f>
        <v>30.7</v>
      </c>
      <c r="N62" s="11">
        <f t="shared" ca="1" si="11"/>
        <v>24.20000000000001</v>
      </c>
      <c r="O62" s="4">
        <f t="shared" ca="1" si="12"/>
        <v>7.0570000000000022</v>
      </c>
      <c r="P62" s="11">
        <v>19.057099999999988</v>
      </c>
      <c r="Q62" s="11">
        <f t="shared" ca="1" si="13"/>
        <v>37.042900000000017</v>
      </c>
      <c r="R62" s="11" t="str">
        <f t="shared" ca="1" si="14"/>
        <v>conical</v>
      </c>
      <c r="S62" s="13">
        <f t="shared" ca="1" si="15"/>
        <v>8.9000000000000021</v>
      </c>
      <c r="T62" s="13"/>
    </row>
    <row r="63" spans="1:20" x14ac:dyDescent="0.2">
      <c r="A63" s="11" t="s">
        <v>3</v>
      </c>
      <c r="B63" s="11" t="s">
        <v>79</v>
      </c>
      <c r="C63" s="11">
        <f>_xlfn.XLOOKUP($A63,'Conical section geometry'!$B$11:$B$17,'Conical section geometry'!$C$11:$C$17,"XXXX",0,1)</f>
        <v>-6.5</v>
      </c>
      <c r="D63" s="11">
        <f>_xlfn.XLOOKUP($A63,'Conical section geometry'!$B$11:$B$17,'Conical section geometry'!$D$11:$D$17,"XXXX",0,1)</f>
        <v>-17.928999999999998</v>
      </c>
      <c r="E63" s="11" cm="1">
        <f t="array" aca="1" ref="E63" ca="1">_xlfn.XLOOKUP($B63,    INDIRECT("'" &amp; $C$3 &amp; "'!$A$20:$A$219"),    _xlfn.XLOOKUP(E$18,INDIRECT("'" &amp; $C$3 &amp; "'!$B$18:$X$18"), INDIRECT("'" &amp; $C$3 &amp; "'!$B$20:$X$219"),"XXXXX",0,1),    "XX",    0,    1)</f>
        <v>8</v>
      </c>
      <c r="F63" s="11" cm="1">
        <f t="array" aca="1" ref="F63" ca="1">_xlfn.XLOOKUP($B63,    INDIRECT("'" &amp; $C$3 &amp; "'!$A$20:$A$219"),    _xlfn.XLOOKUP(F$18,INDIRECT("'" &amp; $C$3 &amp; "'!$B$18:$X$18"), INDIRECT("'" &amp; $C$3 &amp; "'!$B$20:$X$219"),"XXXXX",0,1),    "XX",    0,    1)</f>
        <v>10</v>
      </c>
      <c r="G63" s="11">
        <f>_xlfn.XLOOKUP($A63,'Conical section geometry'!$B$11:$B$17,'Conical section geometry'!$E$11:$E$17,"XXXX",0,1)</f>
        <v>-174.99340000000001</v>
      </c>
      <c r="H63" s="11" cm="1">
        <f t="array" aca="1" ref="H63" ca="1">_xlfn.XLOOKUP($B63,    INDIRECT("'" &amp; $C$3 &amp; "'!$A$20:$A$219"),    _xlfn.XLOOKUP(H$18,INDIRECT("'" &amp; $C$3 &amp; "'!$B$18:$X$18"), INDIRECT("'" &amp; $C$3 &amp; "'!$B$20:$X$219"),"XXXXX",0,1),    "XX",    0,    1)</f>
        <v>-33.299999999999997</v>
      </c>
      <c r="I63" s="11" cm="1">
        <f t="array" aca="1" ref="I63" ca="1">_xlfn.XLOOKUP($B63,    INDIRECT("'" &amp; $C$3 &amp; "'!$A$20:$A$219"),    _xlfn.XLOOKUP(I$18,INDIRECT("'" &amp; $C$3 &amp; "'!$B$18:$X$18"), INDIRECT("'" &amp; $C$3 &amp; "'!$B$20:$X$219"),"XXXXX",0,1),    "XX",    0,    1)</f>
        <v>89.4</v>
      </c>
      <c r="J63" s="11">
        <f t="shared" si="8"/>
        <v>31.9</v>
      </c>
      <c r="K63" s="11">
        <f t="shared" si="9"/>
        <v>11.428999999999998</v>
      </c>
      <c r="L63" s="11">
        <f t="shared" si="10"/>
        <v>43.328999999999994</v>
      </c>
      <c r="M63" s="11" cm="1">
        <f t="array" aca="1" ref="M63" ca="1">_xlfn.XLOOKUP($B63,    INDIRECT("'" &amp; $C$3 &amp; "'!$A$20:$A$219"),    _xlfn.XLOOKUP(M$18,INDIRECT("'" &amp; $C$3 &amp; "'!$B$18:$X$18"), INDIRECT("'" &amp; $C$3 &amp; "'!$B$20:$X$219"),"XXXXX",0,1),    "XX",    0,    1)</f>
        <v>30.7</v>
      </c>
      <c r="N63" s="11">
        <f t="shared" ca="1" si="11"/>
        <v>24.20000000000001</v>
      </c>
      <c r="O63" s="4">
        <f t="shared" ca="1" si="12"/>
        <v>12.771000000000015</v>
      </c>
      <c r="P63" s="11">
        <v>19.056948890643881</v>
      </c>
      <c r="Q63" s="11">
        <f t="shared" ca="1" si="13"/>
        <v>37.043051109356128</v>
      </c>
      <c r="R63" s="11" t="str">
        <f t="shared" ca="1" si="14"/>
        <v>conical</v>
      </c>
      <c r="S63" s="13">
        <f t="shared" ca="1" si="15"/>
        <v>8.9</v>
      </c>
      <c r="T63" s="13"/>
    </row>
    <row r="64" spans="1:20" x14ac:dyDescent="0.2">
      <c r="A64" s="11" t="s">
        <v>12</v>
      </c>
      <c r="B64" s="11" t="s">
        <v>13</v>
      </c>
      <c r="C64" s="11">
        <f>_xlfn.XLOOKUP($A64,'Conical section geometry'!$B$11:$B$17,'Conical section geometry'!$C$11:$C$17,"XXXX",0,1)</f>
        <v>-6.5</v>
      </c>
      <c r="D64" s="11">
        <f>_xlfn.XLOOKUP($A64,'Conical section geometry'!$B$11:$B$17,'Conical section geometry'!$D$11:$D$17,"XXXX",0,1)</f>
        <v>-17.928999999999998</v>
      </c>
      <c r="E64" s="11" cm="1">
        <f t="array" aca="1" ref="E64" ca="1">_xlfn.XLOOKUP($B64,    INDIRECT("'" &amp; $C$3 &amp; "'!$A$20:$A$219"),    _xlfn.XLOOKUP(E$18,INDIRECT("'" &amp; $C$3 &amp; "'!$B$18:$X$18"), INDIRECT("'" &amp; $C$3 &amp; "'!$B$20:$X$219"),"XXXXX",0,1),    "XX",    0,    1)</f>
        <v>8</v>
      </c>
      <c r="F64" s="11" cm="1">
        <f t="array" aca="1" ref="F64" ca="1">_xlfn.XLOOKUP($B64,    INDIRECT("'" &amp; $C$3 &amp; "'!$A$20:$A$219"),    _xlfn.XLOOKUP(F$18,INDIRECT("'" &amp; $C$3 &amp; "'!$B$18:$X$18"), INDIRECT("'" &amp; $C$3 &amp; "'!$B$20:$X$219"),"XXXXX",0,1),    "XX",    0,    1)</f>
        <v>10</v>
      </c>
      <c r="G64" s="11">
        <f>_xlfn.XLOOKUP($A64,'Conical section geometry'!$B$11:$B$17,'Conical section geometry'!$E$11:$E$17,"XXXX",0,1)</f>
        <v>-174.99340000000001</v>
      </c>
      <c r="H64" s="11" cm="1">
        <f t="array" aca="1" ref="H64" ca="1">_xlfn.XLOOKUP($B64,    INDIRECT("'" &amp; $C$3 &amp; "'!$A$20:$A$219"),    _xlfn.XLOOKUP(H$18,INDIRECT("'" &amp; $C$3 &amp; "'!$B$18:$X$18"), INDIRECT("'" &amp; $C$3 &amp; "'!$B$20:$X$219"),"XXXXX",0,1),    "XX",    0,    1)</f>
        <v>-29.5</v>
      </c>
      <c r="I64" s="11" cm="1">
        <f t="array" aca="1" ref="I64" ca="1">_xlfn.XLOOKUP($B64,    INDIRECT("'" &amp; $C$3 &amp; "'!$A$20:$A$219"),    _xlfn.XLOOKUP(I$18,INDIRECT("'" &amp; $C$3 &amp; "'!$B$18:$X$18"), INDIRECT("'" &amp; $C$3 &amp; "'!$B$20:$X$219"),"XXXXX",0,1),    "XX",    0,    1)</f>
        <v>85.6</v>
      </c>
      <c r="J64" s="11">
        <f t="shared" si="8"/>
        <v>31.9</v>
      </c>
      <c r="K64" s="11">
        <f t="shared" si="9"/>
        <v>11.428999999999998</v>
      </c>
      <c r="L64" s="11">
        <f t="shared" si="10"/>
        <v>43.328999999999994</v>
      </c>
      <c r="M64" s="11" cm="1">
        <f t="array" aca="1" ref="M64" ca="1">_xlfn.XLOOKUP($B64,    INDIRECT("'" &amp; $C$3 &amp; "'!$A$20:$A$219"),    _xlfn.XLOOKUP(M$18,INDIRECT("'" &amp; $C$3 &amp; "'!$B$18:$X$18"), INDIRECT("'" &amp; $C$3 &amp; "'!$B$20:$X$219"),"XXXXX",0,1),    "XX",    0,    1)</f>
        <v>30.7</v>
      </c>
      <c r="N64" s="11">
        <f t="shared" ca="1" si="11"/>
        <v>24.199999999999996</v>
      </c>
      <c r="O64" s="4">
        <f t="shared" ca="1" si="12"/>
        <v>12.771000000000001</v>
      </c>
      <c r="P64" s="11">
        <v>19.056948890643859</v>
      </c>
      <c r="Q64" s="11">
        <f t="shared" ca="1" si="13"/>
        <v>37.043051109356135</v>
      </c>
      <c r="R64" s="11" t="str">
        <f t="shared" ca="1" si="14"/>
        <v>conical</v>
      </c>
      <c r="S64" s="13">
        <f t="shared" ca="1" si="15"/>
        <v>8.9000000000000021</v>
      </c>
      <c r="T64" s="13"/>
    </row>
    <row r="65" spans="1:20" x14ac:dyDescent="0.2">
      <c r="A65" s="11" t="s">
        <v>3</v>
      </c>
      <c r="B65" s="11" t="s">
        <v>38</v>
      </c>
      <c r="C65" s="11">
        <f>_xlfn.XLOOKUP($A65,'Conical section geometry'!$B$11:$B$17,'Conical section geometry'!$C$11:$C$17,"XXXX",0,1)</f>
        <v>-6.5</v>
      </c>
      <c r="D65" s="11">
        <f>_xlfn.XLOOKUP($A65,'Conical section geometry'!$B$11:$B$17,'Conical section geometry'!$D$11:$D$17,"XXXX",0,1)</f>
        <v>-17.928999999999998</v>
      </c>
      <c r="E65" s="11" cm="1">
        <f t="array" aca="1" ref="E65" ca="1">_xlfn.XLOOKUP($B65,    INDIRECT("'" &amp; $C$3 &amp; "'!$A$20:$A$219"),    _xlfn.XLOOKUP(E$18,INDIRECT("'" &amp; $C$3 &amp; "'!$B$18:$X$18"), INDIRECT("'" &amp; $C$3 &amp; "'!$B$20:$X$219"),"XXXXX",0,1),    "XX",    0,    1)</f>
        <v>8</v>
      </c>
      <c r="F65" s="11" cm="1">
        <f t="array" aca="1" ref="F65" ca="1">_xlfn.XLOOKUP($B65,    INDIRECT("'" &amp; $C$3 &amp; "'!$A$20:$A$219"),    _xlfn.XLOOKUP(F$18,INDIRECT("'" &amp; $C$3 &amp; "'!$B$18:$X$18"), INDIRECT("'" &amp; $C$3 &amp; "'!$B$20:$X$219"),"XXXXX",0,1),    "XX",    0,    1)</f>
        <v>10</v>
      </c>
      <c r="G65" s="11">
        <f>_xlfn.XLOOKUP($A65,'Conical section geometry'!$B$11:$B$17,'Conical section geometry'!$E$11:$E$17,"XXXX",0,1)</f>
        <v>-174.99340000000001</v>
      </c>
      <c r="H65" s="11" cm="1">
        <f t="array" aca="1" ref="H65" ca="1">_xlfn.XLOOKUP($B65,    INDIRECT("'" &amp; $C$3 &amp; "'!$A$20:$A$219"),    _xlfn.XLOOKUP(H$18,INDIRECT("'" &amp; $C$3 &amp; "'!$B$18:$X$18"), INDIRECT("'" &amp; $C$3 &amp; "'!$B$20:$X$219"),"XXXXX",0,1),    "XX",    0,    1)</f>
        <v>-35.700000000000003</v>
      </c>
      <c r="I65" s="11" cm="1">
        <f t="array" aca="1" ref="I65" ca="1">_xlfn.XLOOKUP($B65,    INDIRECT("'" &amp; $C$3 &amp; "'!$A$20:$A$219"),    _xlfn.XLOOKUP(I$18,INDIRECT("'" &amp; $C$3 &amp; "'!$B$18:$X$18"), INDIRECT("'" &amp; $C$3 &amp; "'!$B$20:$X$219"),"XXXXX",0,1),    "XX",    0,    1)</f>
        <v>91.8</v>
      </c>
      <c r="J65" s="11">
        <f t="shared" si="8"/>
        <v>31.9</v>
      </c>
      <c r="K65" s="11">
        <f t="shared" si="9"/>
        <v>11.428999999999998</v>
      </c>
      <c r="L65" s="11">
        <f t="shared" si="10"/>
        <v>43.328999999999994</v>
      </c>
      <c r="M65" s="11" cm="1">
        <f t="array" aca="1" ref="M65" ca="1">_xlfn.XLOOKUP($B65,    INDIRECT("'" &amp; $C$3 &amp; "'!$A$20:$A$219"),    _xlfn.XLOOKUP(M$18,INDIRECT("'" &amp; $C$3 &amp; "'!$B$18:$X$18"), INDIRECT("'" &amp; $C$3 &amp; "'!$B$20:$X$219"),"XXXXX",0,1),    "XX",    0,    1)</f>
        <v>30.7</v>
      </c>
      <c r="N65" s="11">
        <f t="shared" ca="1" si="11"/>
        <v>24.199999999999996</v>
      </c>
      <c r="O65" s="4">
        <f t="shared" ca="1" si="12"/>
        <v>12.771000000000001</v>
      </c>
      <c r="P65" s="11">
        <v>19.056948890643866</v>
      </c>
      <c r="Q65" s="11">
        <f t="shared" ca="1" si="13"/>
        <v>37.043051109356128</v>
      </c>
      <c r="R65" s="11" t="str">
        <f t="shared" ca="1" si="14"/>
        <v>conical</v>
      </c>
      <c r="S65" s="13">
        <f t="shared" ca="1" si="15"/>
        <v>8.9</v>
      </c>
      <c r="T65" s="13"/>
    </row>
    <row r="66" spans="1:20" x14ac:dyDescent="0.2">
      <c r="A66" s="11" t="s">
        <v>7</v>
      </c>
      <c r="B66" s="11" t="s">
        <v>202</v>
      </c>
      <c r="C66" s="11">
        <f>_xlfn.XLOOKUP($A66,'Conical section geometry'!$B$11:$B$17,'Conical section geometry'!$C$11:$C$17,"XXXX",0,1)</f>
        <v>-6.5</v>
      </c>
      <c r="D66" s="11">
        <f>_xlfn.XLOOKUP($A66,'Conical section geometry'!$B$11:$B$17,'Conical section geometry'!$D$11:$D$17,"XXXX",0,1)</f>
        <v>-23.643000000000001</v>
      </c>
      <c r="E66" s="11" cm="1">
        <f t="array" aca="1" ref="E66" ca="1">_xlfn.XLOOKUP($B66,    INDIRECT("'" &amp; $C$3 &amp; "'!$A$20:$A$219"),    _xlfn.XLOOKUP(E$18,INDIRECT("'" &amp; $C$3 &amp; "'!$B$18:$X$18"), INDIRECT("'" &amp; $C$3 &amp; "'!$B$20:$X$219"),"XXXXX",0,1),    "XX",    0,    1)</f>
        <v>8</v>
      </c>
      <c r="F66" s="11" cm="1">
        <f t="array" aca="1" ref="F66" ca="1">_xlfn.XLOOKUP($B66,    INDIRECT("'" &amp; $C$3 &amp; "'!$A$20:$A$219"),    _xlfn.XLOOKUP(F$18,INDIRECT("'" &amp; $C$3 &amp; "'!$B$18:$X$18"), INDIRECT("'" &amp; $C$3 &amp; "'!$B$20:$X$219"),"XXXXX",0,1),    "XX",    0,    1)</f>
        <v>11</v>
      </c>
      <c r="G66" s="11">
        <f>_xlfn.XLOOKUP($A66,'Conical section geometry'!$B$11:$B$17,'Conical section geometry'!$E$11:$E$17,"XXXX",0,1)</f>
        <v>-174.99854167881901</v>
      </c>
      <c r="H66" s="11" cm="1">
        <f t="array" aca="1" ref="H66" ca="1">_xlfn.XLOOKUP($B66,    INDIRECT("'" &amp; $C$3 &amp; "'!$A$20:$A$219"),    _xlfn.XLOOKUP(H$18,INDIRECT("'" &amp; $C$3 &amp; "'!$B$18:$X$18"), INDIRECT("'" &amp; $C$3 &amp; "'!$B$20:$X$219"),"XXXXX",0,1),    "XX",    0,    1)</f>
        <v>-45</v>
      </c>
      <c r="I66" s="11" cm="1">
        <f t="array" aca="1" ref="I66" ca="1">_xlfn.XLOOKUP($B66,    INDIRECT("'" &amp; $C$3 &amp; "'!$A$20:$A$219"),    _xlfn.XLOOKUP(I$18,INDIRECT("'" &amp; $C$3 &amp; "'!$B$18:$X$18"), INDIRECT("'" &amp; $C$3 &amp; "'!$B$20:$X$219"),"XXXXX",0,1),    "XX",    0,    1)</f>
        <v>100.9</v>
      </c>
      <c r="J66" s="11">
        <f t="shared" si="8"/>
        <v>31.9</v>
      </c>
      <c r="K66" s="11">
        <f t="shared" si="9"/>
        <v>17.143000000000001</v>
      </c>
      <c r="L66" s="11">
        <f t="shared" si="10"/>
        <v>49.042999999999999</v>
      </c>
      <c r="M66" s="11" cm="1">
        <f t="array" aca="1" ref="M66" ca="1">_xlfn.XLOOKUP($B66,    INDIRECT("'" &amp; $C$3 &amp; "'!$A$20:$A$219"),    _xlfn.XLOOKUP(M$18,INDIRECT("'" &amp; $C$3 &amp; "'!$B$18:$X$18"), INDIRECT("'" &amp; $C$3 &amp; "'!$B$20:$X$219"),"XXXXX",0,1),    "XX",    0,    1)</f>
        <v>30.5</v>
      </c>
      <c r="N66" s="11">
        <f t="shared" ca="1" si="11"/>
        <v>24</v>
      </c>
      <c r="O66" s="4">
        <f t="shared" ca="1" si="12"/>
        <v>6.8570000000000064</v>
      </c>
      <c r="P66" s="11">
        <v>18.857099999999988</v>
      </c>
      <c r="Q66" s="11">
        <f t="shared" ca="1" si="13"/>
        <v>37.042900000000017</v>
      </c>
      <c r="R66" s="11" t="str">
        <f t="shared" ca="1" si="14"/>
        <v>conical</v>
      </c>
      <c r="S66" s="13">
        <f t="shared" ca="1" si="15"/>
        <v>8.9000000000000021</v>
      </c>
      <c r="T66" s="13"/>
    </row>
    <row r="67" spans="1:20" x14ac:dyDescent="0.2">
      <c r="A67" s="11" t="s">
        <v>4</v>
      </c>
      <c r="B67" s="11" t="s">
        <v>186</v>
      </c>
      <c r="C67" s="11">
        <f>_xlfn.XLOOKUP($A67,'Conical section geometry'!$B$11:$B$17,'Conical section geometry'!$C$11:$C$17,"XXXX",0,1)</f>
        <v>-6.5</v>
      </c>
      <c r="D67" s="11">
        <f>_xlfn.XLOOKUP($A67,'Conical section geometry'!$B$11:$B$17,'Conical section geometry'!$D$11:$D$17,"XXXX",0,1)</f>
        <v>-20.786000000000001</v>
      </c>
      <c r="E67" s="11" cm="1">
        <f t="array" aca="1" ref="E67" ca="1">_xlfn.XLOOKUP($B67,    INDIRECT("'" &amp; $C$3 &amp; "'!$A$20:$A$219"),    _xlfn.XLOOKUP(E$18,INDIRECT("'" &amp; $C$3 &amp; "'!$B$18:$X$18"), INDIRECT("'" &amp; $C$3 &amp; "'!$B$20:$X$219"),"XXXXX",0,1),    "XX",    0,    1)</f>
        <v>8</v>
      </c>
      <c r="F67" s="11" cm="1">
        <f t="array" aca="1" ref="F67" ca="1">_xlfn.XLOOKUP($B67,    INDIRECT("'" &amp; $C$3 &amp; "'!$A$20:$A$219"),    _xlfn.XLOOKUP(F$18,INDIRECT("'" &amp; $C$3 &amp; "'!$B$18:$X$18"), INDIRECT("'" &amp; $C$3 &amp; "'!$B$20:$X$219"),"XXXXX",0,1),    "XX",    0,    1)</f>
        <v>10.5</v>
      </c>
      <c r="G67" s="11">
        <f>_xlfn.XLOOKUP($A67,'Conical section geometry'!$B$11:$B$17,'Conical section geometry'!$E$11:$E$17,"XXXX",0,1)</f>
        <v>-174.996500069999</v>
      </c>
      <c r="H67" s="11" cm="1">
        <f t="array" aca="1" ref="H67" ca="1">_xlfn.XLOOKUP($B67,    INDIRECT("'" &amp; $C$3 &amp; "'!$A$20:$A$219"),    _xlfn.XLOOKUP(H$18,INDIRECT("'" &amp; $C$3 &amp; "'!$B$18:$X$18"), INDIRECT("'" &amp; $C$3 &amp; "'!$B$20:$X$219"),"XXXXX",0,1),    "XX",    0,    1)</f>
        <v>-36.5</v>
      </c>
      <c r="I67" s="11" cm="1">
        <f t="array" aca="1" ref="I67" ca="1">_xlfn.XLOOKUP($B67,    INDIRECT("'" &amp; $C$3 &amp; "'!$A$20:$A$219"),    _xlfn.XLOOKUP(I$18,INDIRECT("'" &amp; $C$3 &amp; "'!$B$18:$X$18"), INDIRECT("'" &amp; $C$3 &amp; "'!$B$20:$X$219"),"XXXXX",0,1),    "XX",    0,    1)</f>
        <v>92.4</v>
      </c>
      <c r="J67" s="11">
        <f t="shared" si="8"/>
        <v>31.9</v>
      </c>
      <c r="K67" s="11">
        <f t="shared" si="9"/>
        <v>14.286000000000001</v>
      </c>
      <c r="L67" s="11">
        <f t="shared" si="10"/>
        <v>46.186</v>
      </c>
      <c r="M67" s="11" cm="1">
        <f t="array" aca="1" ref="M67" ca="1">_xlfn.XLOOKUP($B67,    INDIRECT("'" &amp; $C$3 &amp; "'!$A$20:$A$219"),    _xlfn.XLOOKUP(M$18,INDIRECT("'" &amp; $C$3 &amp; "'!$B$18:$X$18"), INDIRECT("'" &amp; $C$3 &amp; "'!$B$20:$X$219"),"XXXXX",0,1),    "XX",    0,    1)</f>
        <v>30.5</v>
      </c>
      <c r="N67" s="11">
        <f t="shared" ca="1" si="11"/>
        <v>24.000000000000007</v>
      </c>
      <c r="O67" s="4">
        <f t="shared" ca="1" si="12"/>
        <v>9.7140000000000057</v>
      </c>
      <c r="P67" s="11">
        <v>18.857040000000008</v>
      </c>
      <c r="Q67" s="11">
        <f t="shared" ca="1" si="13"/>
        <v>37.042959999999994</v>
      </c>
      <c r="R67" s="11" t="str">
        <f t="shared" ca="1" si="14"/>
        <v>conical</v>
      </c>
      <c r="S67" s="13">
        <f t="shared" ca="1" si="15"/>
        <v>8.9000000000000021</v>
      </c>
      <c r="T67" s="13"/>
    </row>
    <row r="68" spans="1:20" x14ac:dyDescent="0.2">
      <c r="A68" s="11" t="s">
        <v>4</v>
      </c>
      <c r="B68" s="11" t="s">
        <v>183</v>
      </c>
      <c r="C68" s="11">
        <f>_xlfn.XLOOKUP($A68,'Conical section geometry'!$B$11:$B$17,'Conical section geometry'!$C$11:$C$17,"XXXX",0,1)</f>
        <v>-6.5</v>
      </c>
      <c r="D68" s="11">
        <f>_xlfn.XLOOKUP($A68,'Conical section geometry'!$B$11:$B$17,'Conical section geometry'!$D$11:$D$17,"XXXX",0,1)</f>
        <v>-20.786000000000001</v>
      </c>
      <c r="E68" s="11" cm="1">
        <f t="array" aca="1" ref="E68" ca="1">_xlfn.XLOOKUP($B68,    INDIRECT("'" &amp; $C$3 &amp; "'!$A$20:$A$219"),    _xlfn.XLOOKUP(E$18,INDIRECT("'" &amp; $C$3 &amp; "'!$B$18:$X$18"), INDIRECT("'" &amp; $C$3 &amp; "'!$B$20:$X$219"),"XXXXX",0,1),    "XX",    0,    1)</f>
        <v>8</v>
      </c>
      <c r="F68" s="11" cm="1">
        <f t="array" aca="1" ref="F68" ca="1">_xlfn.XLOOKUP($B68,    INDIRECT("'" &amp; $C$3 &amp; "'!$A$20:$A$219"),    _xlfn.XLOOKUP(F$18,INDIRECT("'" &amp; $C$3 &amp; "'!$B$18:$X$18"), INDIRECT("'" &amp; $C$3 &amp; "'!$B$20:$X$219"),"XXXXX",0,1),    "XX",    0,    1)</f>
        <v>10.5</v>
      </c>
      <c r="G68" s="11">
        <f>_xlfn.XLOOKUP($A68,'Conical section geometry'!$B$11:$B$17,'Conical section geometry'!$E$11:$E$17,"XXXX",0,1)</f>
        <v>-174.996500069999</v>
      </c>
      <c r="H68" s="11" cm="1">
        <f t="array" aca="1" ref="H68" ca="1">_xlfn.XLOOKUP($B68,    INDIRECT("'" &amp; $C$3 &amp; "'!$A$20:$A$219"),    _xlfn.XLOOKUP(H$18,INDIRECT("'" &amp; $C$3 &amp; "'!$B$18:$X$18"), INDIRECT("'" &amp; $C$3 &amp; "'!$B$20:$X$219"),"XXXXX",0,1),    "XX",    0,    1)</f>
        <v>-36.200000000000003</v>
      </c>
      <c r="I68" s="11" cm="1">
        <f t="array" aca="1" ref="I68" ca="1">_xlfn.XLOOKUP($B68,    INDIRECT("'" &amp; $C$3 &amp; "'!$A$20:$A$219"),    _xlfn.XLOOKUP(I$18,INDIRECT("'" &amp; $C$3 &amp; "'!$B$18:$X$18"), INDIRECT("'" &amp; $C$3 &amp; "'!$B$20:$X$219"),"XXXXX",0,1),    "XX",    0,    1)</f>
        <v>92.1</v>
      </c>
      <c r="J68" s="11">
        <f t="shared" si="8"/>
        <v>31.9</v>
      </c>
      <c r="K68" s="11">
        <f t="shared" si="9"/>
        <v>14.286000000000001</v>
      </c>
      <c r="L68" s="11">
        <f t="shared" si="10"/>
        <v>46.186</v>
      </c>
      <c r="M68" s="11" cm="1">
        <f t="array" aca="1" ref="M68" ca="1">_xlfn.XLOOKUP($B68,    INDIRECT("'" &amp; $C$3 &amp; "'!$A$20:$A$219"),    _xlfn.XLOOKUP(M$18,INDIRECT("'" &amp; $C$3 &amp; "'!$B$18:$X$18"), INDIRECT("'" &amp; $C$3 &amp; "'!$B$20:$X$219"),"XXXXX",0,1),    "XX",    0,    1)</f>
        <v>30.5</v>
      </c>
      <c r="N68" s="11">
        <f t="shared" ca="1" si="11"/>
        <v>23.999999999999993</v>
      </c>
      <c r="O68" s="4">
        <f t="shared" ca="1" si="12"/>
        <v>9.7139999999999915</v>
      </c>
      <c r="P68" s="11">
        <v>18.857039999999991</v>
      </c>
      <c r="Q68" s="11">
        <f t="shared" ca="1" si="13"/>
        <v>37.042960000000001</v>
      </c>
      <c r="R68" s="11" t="str">
        <f t="shared" ca="1" si="14"/>
        <v>conical</v>
      </c>
      <c r="S68" s="13">
        <f t="shared" ca="1" si="15"/>
        <v>8.9000000000000021</v>
      </c>
      <c r="T68" s="13"/>
    </row>
    <row r="69" spans="1:20" x14ac:dyDescent="0.2">
      <c r="A69" s="11" t="s">
        <v>3</v>
      </c>
      <c r="B69" s="11" t="s">
        <v>41</v>
      </c>
      <c r="C69" s="11">
        <f>_xlfn.XLOOKUP($A69,'Conical section geometry'!$B$11:$B$17,'Conical section geometry'!$C$11:$C$17,"XXXX",0,1)</f>
        <v>-6.5</v>
      </c>
      <c r="D69" s="11">
        <f>_xlfn.XLOOKUP($A69,'Conical section geometry'!$B$11:$B$17,'Conical section geometry'!$D$11:$D$17,"XXXX",0,1)</f>
        <v>-17.928999999999998</v>
      </c>
      <c r="E69" s="11" cm="1">
        <f t="array" aca="1" ref="E69" ca="1">_xlfn.XLOOKUP($B69,    INDIRECT("'" &amp; $C$3 &amp; "'!$A$20:$A$219"),    _xlfn.XLOOKUP(E$18,INDIRECT("'" &amp; $C$3 &amp; "'!$B$18:$X$18"), INDIRECT("'" &amp; $C$3 &amp; "'!$B$20:$X$219"),"XXXXX",0,1),    "XX",    0,    1)</f>
        <v>8</v>
      </c>
      <c r="F69" s="11" cm="1">
        <f t="array" aca="1" ref="F69" ca="1">_xlfn.XLOOKUP($B69,    INDIRECT("'" &amp; $C$3 &amp; "'!$A$20:$A$219"),    _xlfn.XLOOKUP(F$18,INDIRECT("'" &amp; $C$3 &amp; "'!$B$18:$X$18"), INDIRECT("'" &amp; $C$3 &amp; "'!$B$20:$X$219"),"XXXXX",0,1),    "XX",    0,    1)</f>
        <v>10</v>
      </c>
      <c r="G69" s="11">
        <f>_xlfn.XLOOKUP($A69,'Conical section geometry'!$B$11:$B$17,'Conical section geometry'!$E$11:$E$17,"XXXX",0,1)</f>
        <v>-174.99340000000001</v>
      </c>
      <c r="H69" s="11" cm="1">
        <f t="array" aca="1" ref="H69" ca="1">_xlfn.XLOOKUP($B69,    INDIRECT("'" &amp; $C$3 &amp; "'!$A$20:$A$219"),    _xlfn.XLOOKUP(H$18,INDIRECT("'" &amp; $C$3 &amp; "'!$B$18:$X$18"), INDIRECT("'" &amp; $C$3 &amp; "'!$B$20:$X$219"),"XXXXX",0,1),    "XX",    0,    1)</f>
        <v>-37.6</v>
      </c>
      <c r="I69" s="11" cm="1">
        <f t="array" aca="1" ref="I69" ca="1">_xlfn.XLOOKUP($B69,    INDIRECT("'" &amp; $C$3 &amp; "'!$A$20:$A$219"),    _xlfn.XLOOKUP(I$18,INDIRECT("'" &amp; $C$3 &amp; "'!$B$18:$X$18"), INDIRECT("'" &amp; $C$3 &amp; "'!$B$20:$X$219"),"XXXXX",0,1),    "XX",    0,    1)</f>
        <v>93.5</v>
      </c>
      <c r="J69" s="11">
        <f t="shared" si="8"/>
        <v>31.9</v>
      </c>
      <c r="K69" s="11">
        <f t="shared" si="9"/>
        <v>11.428999999999998</v>
      </c>
      <c r="L69" s="11">
        <f t="shared" si="10"/>
        <v>43.328999999999994</v>
      </c>
      <c r="M69" s="11" cm="1">
        <f t="array" aca="1" ref="M69" ca="1">_xlfn.XLOOKUP($B69,    INDIRECT("'" &amp; $C$3 &amp; "'!$A$20:$A$219"),    _xlfn.XLOOKUP(M$18,INDIRECT("'" &amp; $C$3 &amp; "'!$B$18:$X$18"), INDIRECT("'" &amp; $C$3 &amp; "'!$B$20:$X$219"),"XXXXX",0,1),    "XX",    0,    1)</f>
        <v>30.5</v>
      </c>
      <c r="N69" s="11">
        <f t="shared" ca="1" si="11"/>
        <v>24</v>
      </c>
      <c r="O69" s="4">
        <f t="shared" ca="1" si="12"/>
        <v>12.571000000000005</v>
      </c>
      <c r="P69" s="11">
        <v>18.856948890643867</v>
      </c>
      <c r="Q69" s="11">
        <f t="shared" ca="1" si="13"/>
        <v>37.043051109356128</v>
      </c>
      <c r="R69" s="11" t="str">
        <f t="shared" ca="1" si="14"/>
        <v>conical</v>
      </c>
      <c r="S69" s="13">
        <f t="shared" ca="1" si="15"/>
        <v>8.9</v>
      </c>
      <c r="T69" s="13"/>
    </row>
    <row r="70" spans="1:20" x14ac:dyDescent="0.2">
      <c r="A70" s="11" t="s">
        <v>3</v>
      </c>
      <c r="B70" s="11" t="s">
        <v>20</v>
      </c>
      <c r="C70" s="11">
        <f>_xlfn.XLOOKUP($A70,'Conical section geometry'!$B$11:$B$17,'Conical section geometry'!$C$11:$C$17,"XXXX",0,1)</f>
        <v>-6.5</v>
      </c>
      <c r="D70" s="11">
        <f>_xlfn.XLOOKUP($A70,'Conical section geometry'!$B$11:$B$17,'Conical section geometry'!$D$11:$D$17,"XXXX",0,1)</f>
        <v>-17.928999999999998</v>
      </c>
      <c r="E70" s="11" cm="1">
        <f t="array" aca="1" ref="E70" ca="1">_xlfn.XLOOKUP($B70,    INDIRECT("'" &amp; $C$3 &amp; "'!$A$20:$A$219"),    _xlfn.XLOOKUP(E$18,INDIRECT("'" &amp; $C$3 &amp; "'!$B$18:$X$18"), INDIRECT("'" &amp; $C$3 &amp; "'!$B$20:$X$219"),"XXXXX",0,1),    "XX",    0,    1)</f>
        <v>8</v>
      </c>
      <c r="F70" s="11" cm="1">
        <f t="array" aca="1" ref="F70" ca="1">_xlfn.XLOOKUP($B70,    INDIRECT("'" &amp; $C$3 &amp; "'!$A$20:$A$219"),    _xlfn.XLOOKUP(F$18,INDIRECT("'" &amp; $C$3 &amp; "'!$B$18:$X$18"), INDIRECT("'" &amp; $C$3 &amp; "'!$B$20:$X$219"),"XXXXX",0,1),    "XX",    0,    1)</f>
        <v>10</v>
      </c>
      <c r="G70" s="11">
        <f>_xlfn.XLOOKUP($A70,'Conical section geometry'!$B$11:$B$17,'Conical section geometry'!$E$11:$E$17,"XXXX",0,1)</f>
        <v>-174.99340000000001</v>
      </c>
      <c r="H70" s="11" cm="1">
        <f t="array" aca="1" ref="H70" ca="1">_xlfn.XLOOKUP($B70,    INDIRECT("'" &amp; $C$3 &amp; "'!$A$20:$A$219"),    _xlfn.XLOOKUP(H$18,INDIRECT("'" &amp; $C$3 &amp; "'!$B$18:$X$18"), INDIRECT("'" &amp; $C$3 &amp; "'!$B$20:$X$219"),"XXXXX",0,1),    "XX",    0,    1)</f>
        <v>-37.200000000000003</v>
      </c>
      <c r="I70" s="11" cm="1">
        <f t="array" aca="1" ref="I70" ca="1">_xlfn.XLOOKUP($B70,    INDIRECT("'" &amp; $C$3 &amp; "'!$A$20:$A$219"),    _xlfn.XLOOKUP(I$18,INDIRECT("'" &amp; $C$3 &amp; "'!$B$18:$X$18"), INDIRECT("'" &amp; $C$3 &amp; "'!$B$20:$X$219"),"XXXXX",0,1),    "XX",    0,    1)</f>
        <v>93.1</v>
      </c>
      <c r="J70" s="11">
        <f t="shared" si="8"/>
        <v>31.9</v>
      </c>
      <c r="K70" s="11">
        <f t="shared" si="9"/>
        <v>11.428999999999998</v>
      </c>
      <c r="L70" s="11">
        <f t="shared" si="10"/>
        <v>43.328999999999994</v>
      </c>
      <c r="M70" s="11" cm="1">
        <f t="array" aca="1" ref="M70" ca="1">_xlfn.XLOOKUP($B70,    INDIRECT("'" &amp; $C$3 &amp; "'!$A$20:$A$219"),    _xlfn.XLOOKUP(M$18,INDIRECT("'" &amp; $C$3 &amp; "'!$B$18:$X$18"), INDIRECT("'" &amp; $C$3 &amp; "'!$B$20:$X$219"),"XXXXX",0,1),    "XX",    0,    1)</f>
        <v>30.5</v>
      </c>
      <c r="N70" s="11">
        <f t="shared" ca="1" si="11"/>
        <v>23.999999999999993</v>
      </c>
      <c r="O70" s="4">
        <f t="shared" ca="1" si="12"/>
        <v>12.570999999999998</v>
      </c>
      <c r="P70" s="11">
        <v>18.856948890643839</v>
      </c>
      <c r="Q70" s="11">
        <f t="shared" ca="1" si="13"/>
        <v>37.043051109356156</v>
      </c>
      <c r="R70" s="11" t="str">
        <f t="shared" ca="1" si="14"/>
        <v>conical</v>
      </c>
      <c r="S70" s="13">
        <f t="shared" ca="1" si="15"/>
        <v>8.9000000000000057</v>
      </c>
      <c r="T70" s="13"/>
    </row>
    <row r="71" spans="1:20" x14ac:dyDescent="0.2">
      <c r="A71" s="11" t="s">
        <v>4</v>
      </c>
      <c r="B71" s="11" t="s">
        <v>179</v>
      </c>
      <c r="C71" s="11">
        <f>_xlfn.XLOOKUP($A71,'Conical section geometry'!$B$11:$B$17,'Conical section geometry'!$C$11:$C$17,"XXXX",0,1)</f>
        <v>-6.5</v>
      </c>
      <c r="D71" s="11">
        <f>_xlfn.XLOOKUP($A71,'Conical section geometry'!$B$11:$B$17,'Conical section geometry'!$D$11:$D$17,"XXXX",0,1)</f>
        <v>-20.786000000000001</v>
      </c>
      <c r="E71" s="11" cm="1">
        <f t="array" aca="1" ref="E71" ca="1">_xlfn.XLOOKUP($B71,    INDIRECT("'" &amp; $C$3 &amp; "'!$A$20:$A$219"),    _xlfn.XLOOKUP(E$18,INDIRECT("'" &amp; $C$3 &amp; "'!$B$18:$X$18"), INDIRECT("'" &amp; $C$3 &amp; "'!$B$20:$X$219"),"XXXXX",0,1),    "XX",    0,    1)</f>
        <v>8</v>
      </c>
      <c r="F71" s="11" cm="1">
        <f t="array" aca="1" ref="F71" ca="1">_xlfn.XLOOKUP($B71,    INDIRECT("'" &amp; $C$3 &amp; "'!$A$20:$A$219"),    _xlfn.XLOOKUP(F$18,INDIRECT("'" &amp; $C$3 &amp; "'!$B$18:$X$18"), INDIRECT("'" &amp; $C$3 &amp; "'!$B$20:$X$219"),"XXXXX",0,1),    "XX",    0,    1)</f>
        <v>10.5</v>
      </c>
      <c r="G71" s="11">
        <f>_xlfn.XLOOKUP($A71,'Conical section geometry'!$B$11:$B$17,'Conical section geometry'!$E$11:$E$17,"XXXX",0,1)</f>
        <v>-174.996500069999</v>
      </c>
      <c r="H71" s="11" cm="1">
        <f t="array" aca="1" ref="H71" ca="1">_xlfn.XLOOKUP($B71,    INDIRECT("'" &amp; $C$3 &amp; "'!$A$20:$A$219"),    _xlfn.XLOOKUP(H$18,INDIRECT("'" &amp; $C$3 &amp; "'!$B$18:$X$18"), INDIRECT("'" &amp; $C$3 &amp; "'!$B$20:$X$219"),"XXXXX",0,1),    "XX",    0,    1)</f>
        <v>-38.1</v>
      </c>
      <c r="I71" s="11" cm="1">
        <f t="array" aca="1" ref="I71" ca="1">_xlfn.XLOOKUP($B71,    INDIRECT("'" &amp; $C$3 &amp; "'!$A$20:$A$219"),    _xlfn.XLOOKUP(I$18,INDIRECT("'" &amp; $C$3 &amp; "'!$B$18:$X$18"), INDIRECT("'" &amp; $C$3 &amp; "'!$B$20:$X$219"),"XXXXX",0,1),    "XX",    0,    1)</f>
        <v>93.9</v>
      </c>
      <c r="J71" s="11">
        <f t="shared" si="8"/>
        <v>31.9</v>
      </c>
      <c r="K71" s="11">
        <f t="shared" si="9"/>
        <v>14.286000000000001</v>
      </c>
      <c r="L71" s="11">
        <f t="shared" si="10"/>
        <v>46.186</v>
      </c>
      <c r="M71" s="11" cm="1">
        <f t="array" aca="1" ref="M71" ca="1">_xlfn.XLOOKUP($B71,    INDIRECT("'" &amp; $C$3 &amp; "'!$A$20:$A$219"),    _xlfn.XLOOKUP(M$18,INDIRECT("'" &amp; $C$3 &amp; "'!$B$18:$X$18"), INDIRECT("'" &amp; $C$3 &amp; "'!$B$20:$X$219"),"XXXXX",0,1),    "XX",    0,    1)</f>
        <v>30.4</v>
      </c>
      <c r="N71" s="11">
        <f t="shared" ca="1" si="11"/>
        <v>23.900000000000006</v>
      </c>
      <c r="O71" s="4">
        <f t="shared" ca="1" si="12"/>
        <v>9.6140000000000043</v>
      </c>
      <c r="P71" s="11">
        <v>18.757039999999989</v>
      </c>
      <c r="Q71" s="11">
        <f t="shared" ca="1" si="13"/>
        <v>37.042960000000015</v>
      </c>
      <c r="R71" s="11" t="str">
        <f t="shared" ca="1" si="14"/>
        <v>conical</v>
      </c>
      <c r="S71" s="13">
        <f t="shared" ca="1" si="15"/>
        <v>8.9000000000000057</v>
      </c>
      <c r="T71" s="13"/>
    </row>
    <row r="72" spans="1:20" x14ac:dyDescent="0.2">
      <c r="A72" s="11" t="s">
        <v>3</v>
      </c>
      <c r="B72" s="11" t="s">
        <v>28</v>
      </c>
      <c r="C72" s="11">
        <f>_xlfn.XLOOKUP($A72,'Conical section geometry'!$B$11:$B$17,'Conical section geometry'!$C$11:$C$17,"XXXX",0,1)</f>
        <v>-6.5</v>
      </c>
      <c r="D72" s="11">
        <f>_xlfn.XLOOKUP($A72,'Conical section geometry'!$B$11:$B$17,'Conical section geometry'!$D$11:$D$17,"XXXX",0,1)</f>
        <v>-17.928999999999998</v>
      </c>
      <c r="E72" s="11" cm="1">
        <f t="array" aca="1" ref="E72" ca="1">_xlfn.XLOOKUP($B72,    INDIRECT("'" &amp; $C$3 &amp; "'!$A$20:$A$219"),    _xlfn.XLOOKUP(E$18,INDIRECT("'" &amp; $C$3 &amp; "'!$B$18:$X$18"), INDIRECT("'" &amp; $C$3 &amp; "'!$B$20:$X$219"),"XXXXX",0,1),    "XX",    0,    1)</f>
        <v>8</v>
      </c>
      <c r="F72" s="11" cm="1">
        <f t="array" aca="1" ref="F72" ca="1">_xlfn.XLOOKUP($B72,    INDIRECT("'" &amp; $C$3 &amp; "'!$A$20:$A$219"),    _xlfn.XLOOKUP(F$18,INDIRECT("'" &amp; $C$3 &amp; "'!$B$18:$X$18"), INDIRECT("'" &amp; $C$3 &amp; "'!$B$20:$X$219"),"XXXXX",0,1),    "XX",    0,    1)</f>
        <v>10</v>
      </c>
      <c r="G72" s="11">
        <f>_xlfn.XLOOKUP($A72,'Conical section geometry'!$B$11:$B$17,'Conical section geometry'!$E$11:$E$17,"XXXX",0,1)</f>
        <v>-174.99340000000001</v>
      </c>
      <c r="H72" s="11" cm="1">
        <f t="array" aca="1" ref="H72" ca="1">_xlfn.XLOOKUP($B72,    INDIRECT("'" &amp; $C$3 &amp; "'!$A$20:$A$219"),    _xlfn.XLOOKUP(H$18,INDIRECT("'" &amp; $C$3 &amp; "'!$B$18:$X$18"), INDIRECT("'" &amp; $C$3 &amp; "'!$B$20:$X$219"),"XXXXX",0,1),    "XX",    0,    1)</f>
        <v>-37</v>
      </c>
      <c r="I72" s="11" cm="1">
        <f t="array" aca="1" ref="I72" ca="1">_xlfn.XLOOKUP($B72,    INDIRECT("'" &amp; $C$3 &amp; "'!$A$20:$A$219"),    _xlfn.XLOOKUP(I$18,INDIRECT("'" &amp; $C$3 &amp; "'!$B$18:$X$18"), INDIRECT("'" &amp; $C$3 &amp; "'!$B$20:$X$219"),"XXXXX",0,1),    "XX",    0,    1)</f>
        <v>92.8</v>
      </c>
      <c r="J72" s="11">
        <f t="shared" si="8"/>
        <v>31.9</v>
      </c>
      <c r="K72" s="11">
        <f t="shared" si="9"/>
        <v>11.428999999999998</v>
      </c>
      <c r="L72" s="11">
        <f t="shared" si="10"/>
        <v>43.328999999999994</v>
      </c>
      <c r="M72" s="11" cm="1">
        <f t="array" aca="1" ref="M72" ca="1">_xlfn.XLOOKUP($B72,    INDIRECT("'" &amp; $C$3 &amp; "'!$A$20:$A$219"),    _xlfn.XLOOKUP(M$18,INDIRECT("'" &amp; $C$3 &amp; "'!$B$18:$X$18"), INDIRECT("'" &amp; $C$3 &amp; "'!$B$20:$X$219"),"XXXXX",0,1),    "XX",    0,    1)</f>
        <v>30.4</v>
      </c>
      <c r="N72" s="11">
        <f t="shared" ca="1" si="11"/>
        <v>23.9</v>
      </c>
      <c r="O72" s="4">
        <f t="shared" ca="1" si="12"/>
        <v>12.471000000000004</v>
      </c>
      <c r="P72" s="11">
        <v>18.756948890643869</v>
      </c>
      <c r="Q72" s="11">
        <f t="shared" ca="1" si="13"/>
        <v>37.043051109356128</v>
      </c>
      <c r="R72" s="11" t="str">
        <f t="shared" ca="1" si="14"/>
        <v>conical</v>
      </c>
      <c r="S72" s="13">
        <f t="shared" ca="1" si="15"/>
        <v>8.9</v>
      </c>
      <c r="T72" s="13"/>
    </row>
    <row r="73" spans="1:20" x14ac:dyDescent="0.2">
      <c r="A73" s="11" t="s">
        <v>3</v>
      </c>
      <c r="B73" s="11" t="s">
        <v>124</v>
      </c>
      <c r="C73" s="11">
        <f>_xlfn.XLOOKUP($A73,'Conical section geometry'!$B$11:$B$17,'Conical section geometry'!$C$11:$C$17,"XXXX",0,1)</f>
        <v>-6.5</v>
      </c>
      <c r="D73" s="11">
        <f>_xlfn.XLOOKUP($A73,'Conical section geometry'!$B$11:$B$17,'Conical section geometry'!$D$11:$D$17,"XXXX",0,1)</f>
        <v>-17.928999999999998</v>
      </c>
      <c r="E73" s="11" cm="1">
        <f t="array" aca="1" ref="E73" ca="1">_xlfn.XLOOKUP($B73,    INDIRECT("'" &amp; $C$3 &amp; "'!$A$20:$A$219"),    _xlfn.XLOOKUP(E$18,INDIRECT("'" &amp; $C$3 &amp; "'!$B$18:$X$18"), INDIRECT("'" &amp; $C$3 &amp; "'!$B$20:$X$219"),"XXXXX",0,1),    "XX",    0,    1)</f>
        <v>8</v>
      </c>
      <c r="F73" s="11" cm="1">
        <f t="array" aca="1" ref="F73" ca="1">_xlfn.XLOOKUP($B73,    INDIRECT("'" &amp; $C$3 &amp; "'!$A$20:$A$219"),    _xlfn.XLOOKUP(F$18,INDIRECT("'" &amp; $C$3 &amp; "'!$B$18:$X$18"), INDIRECT("'" &amp; $C$3 &amp; "'!$B$20:$X$219"),"XXXXX",0,1),    "XX",    0,    1)</f>
        <v>10</v>
      </c>
      <c r="G73" s="11">
        <f>_xlfn.XLOOKUP($A73,'Conical section geometry'!$B$11:$B$17,'Conical section geometry'!$E$11:$E$17,"XXXX",0,1)</f>
        <v>-174.99340000000001</v>
      </c>
      <c r="H73" s="11" cm="1">
        <f t="array" aca="1" ref="H73" ca="1">_xlfn.XLOOKUP($B73,    INDIRECT("'" &amp; $C$3 &amp; "'!$A$20:$A$219"),    _xlfn.XLOOKUP(H$18,INDIRECT("'" &amp; $C$3 &amp; "'!$B$18:$X$18"), INDIRECT("'" &amp; $C$3 &amp; "'!$B$20:$X$219"),"XXXXX",0,1),    "XX",    0,    1)</f>
        <v>-31</v>
      </c>
      <c r="I73" s="11" cm="1">
        <f t="array" aca="1" ref="I73" ca="1">_xlfn.XLOOKUP($B73,    INDIRECT("'" &amp; $C$3 &amp; "'!$A$20:$A$219"),    _xlfn.XLOOKUP(I$18,INDIRECT("'" &amp; $C$3 &amp; "'!$B$18:$X$18"), INDIRECT("'" &amp; $C$3 &amp; "'!$B$20:$X$219"),"XXXXX",0,1),    "XX",    0,    1)</f>
        <v>86.8</v>
      </c>
      <c r="J73" s="11">
        <f t="shared" si="8"/>
        <v>31.9</v>
      </c>
      <c r="K73" s="11">
        <f t="shared" si="9"/>
        <v>11.428999999999998</v>
      </c>
      <c r="L73" s="11">
        <f t="shared" si="10"/>
        <v>43.328999999999994</v>
      </c>
      <c r="M73" s="11" cm="1">
        <f t="array" aca="1" ref="M73" ca="1">_xlfn.XLOOKUP($B73,    INDIRECT("'" &amp; $C$3 &amp; "'!$A$20:$A$219"),    _xlfn.XLOOKUP(M$18,INDIRECT("'" &amp; $C$3 &amp; "'!$B$18:$X$18"), INDIRECT("'" &amp; $C$3 &amp; "'!$B$20:$X$219"),"XXXXX",0,1),    "XX",    0,    1)</f>
        <v>30.4</v>
      </c>
      <c r="N73" s="11">
        <f t="shared" ca="1" si="11"/>
        <v>23.9</v>
      </c>
      <c r="O73" s="4">
        <f t="shared" ca="1" si="12"/>
        <v>12.471000000000004</v>
      </c>
      <c r="P73" s="11">
        <v>18.756948890643869</v>
      </c>
      <c r="Q73" s="11">
        <f t="shared" ca="1" si="13"/>
        <v>37.043051109356128</v>
      </c>
      <c r="R73" s="11" t="str">
        <f t="shared" ca="1" si="14"/>
        <v>conical</v>
      </c>
      <c r="S73" s="13">
        <f t="shared" ca="1" si="15"/>
        <v>8.9</v>
      </c>
      <c r="T73" s="13"/>
    </row>
    <row r="74" spans="1:20" x14ac:dyDescent="0.2">
      <c r="A74" s="11" t="s">
        <v>3</v>
      </c>
      <c r="B74" s="11" t="s">
        <v>158</v>
      </c>
      <c r="C74" s="11">
        <f>_xlfn.XLOOKUP($A74,'Conical section geometry'!$B$11:$B$17,'Conical section geometry'!$C$11:$C$17,"XXXX",0,1)</f>
        <v>-6.5</v>
      </c>
      <c r="D74" s="11">
        <f>_xlfn.XLOOKUP($A74,'Conical section geometry'!$B$11:$B$17,'Conical section geometry'!$D$11:$D$17,"XXXX",0,1)</f>
        <v>-17.928999999999998</v>
      </c>
      <c r="E74" s="11" cm="1">
        <f t="array" aca="1" ref="E74" ca="1">_xlfn.XLOOKUP($B74,    INDIRECT("'" &amp; $C$3 &amp; "'!$A$20:$A$219"),    _xlfn.XLOOKUP(E$18,INDIRECT("'" &amp; $C$3 &amp; "'!$B$18:$X$18"), INDIRECT("'" &amp; $C$3 &amp; "'!$B$20:$X$219"),"XXXXX",0,1),    "XX",    0,    1)</f>
        <v>8</v>
      </c>
      <c r="F74" s="11" cm="1">
        <f t="array" aca="1" ref="F74" ca="1">_xlfn.XLOOKUP($B74,    INDIRECT("'" &amp; $C$3 &amp; "'!$A$20:$A$219"),    _xlfn.XLOOKUP(F$18,INDIRECT("'" &amp; $C$3 &amp; "'!$B$18:$X$18"), INDIRECT("'" &amp; $C$3 &amp; "'!$B$20:$X$219"),"XXXXX",0,1),    "XX",    0,    1)</f>
        <v>10</v>
      </c>
      <c r="G74" s="11">
        <f>_xlfn.XLOOKUP($A74,'Conical section geometry'!$B$11:$B$17,'Conical section geometry'!$E$11:$E$17,"XXXX",0,1)</f>
        <v>-174.99340000000001</v>
      </c>
      <c r="H74" s="11" cm="1">
        <f t="array" aca="1" ref="H74" ca="1">_xlfn.XLOOKUP($B74,    INDIRECT("'" &amp; $C$3 &amp; "'!$A$20:$A$219"),    _xlfn.XLOOKUP(H$18,INDIRECT("'" &amp; $C$3 &amp; "'!$B$18:$X$18"), INDIRECT("'" &amp; $C$3 &amp; "'!$B$20:$X$219"),"XXXXX",0,1),    "XX",    0,    1)</f>
        <v>-27.7</v>
      </c>
      <c r="I74" s="11" cm="1">
        <f t="array" aca="1" ref="I74" ca="1">_xlfn.XLOOKUP($B74,    INDIRECT("'" &amp; $C$3 &amp; "'!$A$20:$A$219"),    _xlfn.XLOOKUP(I$18,INDIRECT("'" &amp; $C$3 &amp; "'!$B$18:$X$18"), INDIRECT("'" &amp; $C$3 &amp; "'!$B$20:$X$219"),"XXXXX",0,1),    "XX",    0,    1)</f>
        <v>83.4</v>
      </c>
      <c r="J74" s="11">
        <f t="shared" si="8"/>
        <v>31.9</v>
      </c>
      <c r="K74" s="11">
        <f t="shared" si="9"/>
        <v>11.428999999999998</v>
      </c>
      <c r="L74" s="11">
        <f t="shared" si="10"/>
        <v>43.328999999999994</v>
      </c>
      <c r="M74" s="11" cm="1">
        <f t="array" aca="1" ref="M74" ca="1">_xlfn.XLOOKUP($B74,    INDIRECT("'" &amp; $C$3 &amp; "'!$A$20:$A$219"),    _xlfn.XLOOKUP(M$18,INDIRECT("'" &amp; $C$3 &amp; "'!$B$18:$X$18"), INDIRECT("'" &amp; $C$3 &amp; "'!$B$20:$X$219"),"XXXXX",0,1),    "XX",    0,    1)</f>
        <v>30.3</v>
      </c>
      <c r="N74" s="11">
        <f t="shared" ca="1" si="11"/>
        <v>23.800000000000008</v>
      </c>
      <c r="O74" s="4">
        <f t="shared" ca="1" si="12"/>
        <v>12.371000000000013</v>
      </c>
      <c r="P74" s="11">
        <v>18.656948890643879</v>
      </c>
      <c r="Q74" s="11">
        <f t="shared" ca="1" si="13"/>
        <v>37.043051109356128</v>
      </c>
      <c r="R74" s="11" t="str">
        <f t="shared" ca="1" si="14"/>
        <v>conical</v>
      </c>
      <c r="S74" s="13">
        <f t="shared" ca="1" si="15"/>
        <v>8.9</v>
      </c>
      <c r="T74" s="13"/>
    </row>
    <row r="75" spans="1:20" x14ac:dyDescent="0.2">
      <c r="A75" s="11" t="s">
        <v>7</v>
      </c>
      <c r="B75" s="11" t="s">
        <v>193</v>
      </c>
      <c r="C75" s="11">
        <f>_xlfn.XLOOKUP($A75,'Conical section geometry'!$B$11:$B$17,'Conical section geometry'!$C$11:$C$17,"XXXX",0,1)</f>
        <v>-6.5</v>
      </c>
      <c r="D75" s="11">
        <f>_xlfn.XLOOKUP($A75,'Conical section geometry'!$B$11:$B$17,'Conical section geometry'!$D$11:$D$17,"XXXX",0,1)</f>
        <v>-23.643000000000001</v>
      </c>
      <c r="E75" s="11" cm="1">
        <f t="array" aca="1" ref="E75" ca="1">_xlfn.XLOOKUP($B75,    INDIRECT("'" &amp; $C$3 &amp; "'!$A$20:$A$219"),    _xlfn.XLOOKUP(E$18,INDIRECT("'" &amp; $C$3 &amp; "'!$B$18:$X$18"), INDIRECT("'" &amp; $C$3 &amp; "'!$B$20:$X$219"),"XXXXX",0,1),    "XX",    0,    1)</f>
        <v>8</v>
      </c>
      <c r="F75" s="11" cm="1">
        <f t="array" aca="1" ref="F75" ca="1">_xlfn.XLOOKUP($B75,    INDIRECT("'" &amp; $C$3 &amp; "'!$A$20:$A$219"),    _xlfn.XLOOKUP(F$18,INDIRECT("'" &amp; $C$3 &amp; "'!$B$18:$X$18"), INDIRECT("'" &amp; $C$3 &amp; "'!$B$20:$X$219"),"XXXXX",0,1),    "XX",    0,    1)</f>
        <v>11</v>
      </c>
      <c r="G75" s="11">
        <f>_xlfn.XLOOKUP($A75,'Conical section geometry'!$B$11:$B$17,'Conical section geometry'!$E$11:$E$17,"XXXX",0,1)</f>
        <v>-174.99854167881901</v>
      </c>
      <c r="H75" s="11" cm="1">
        <f t="array" aca="1" ref="H75" ca="1">_xlfn.XLOOKUP($B75,    INDIRECT("'" &amp; $C$3 &amp; "'!$A$20:$A$219"),    _xlfn.XLOOKUP(H$18,INDIRECT("'" &amp; $C$3 &amp; "'!$B$18:$X$18"), INDIRECT("'" &amp; $C$3 &amp; "'!$B$20:$X$219"),"XXXXX",0,1),    "XX",    0,    1)</f>
        <v>-49.6</v>
      </c>
      <c r="I75" s="11" cm="1">
        <f t="array" aca="1" ref="I75" ca="1">_xlfn.XLOOKUP($B75,    INDIRECT("'" &amp; $C$3 &amp; "'!$A$20:$A$219"),    _xlfn.XLOOKUP(I$18,INDIRECT("'" &amp; $C$3 &amp; "'!$B$18:$X$18"), INDIRECT("'" &amp; $C$3 &amp; "'!$B$20:$X$219"),"XXXXX",0,1),    "XX",    0,    1)</f>
        <v>105.2</v>
      </c>
      <c r="J75" s="11">
        <f t="shared" si="8"/>
        <v>31.9</v>
      </c>
      <c r="K75" s="11">
        <f t="shared" si="9"/>
        <v>17.143000000000001</v>
      </c>
      <c r="L75" s="11">
        <f t="shared" si="10"/>
        <v>49.042999999999999</v>
      </c>
      <c r="M75" s="11" cm="1">
        <f t="array" aca="1" ref="M75" ca="1">_xlfn.XLOOKUP($B75,    INDIRECT("'" &amp; $C$3 &amp; "'!$A$20:$A$219"),    _xlfn.XLOOKUP(M$18,INDIRECT("'" &amp; $C$3 &amp; "'!$B$18:$X$18"), INDIRECT("'" &amp; $C$3 &amp; "'!$B$20:$X$219"),"XXXXX",0,1),    "XX",    0,    1)</f>
        <v>30.2</v>
      </c>
      <c r="N75" s="11">
        <f t="shared" ca="1" si="11"/>
        <v>23.70000000000001</v>
      </c>
      <c r="O75" s="4">
        <f t="shared" ca="1" si="12"/>
        <v>6.5570000000000022</v>
      </c>
      <c r="P75" s="11">
        <v>18.557100000000013</v>
      </c>
      <c r="Q75" s="11">
        <f t="shared" ca="1" si="13"/>
        <v>37.042899999999989</v>
      </c>
      <c r="R75" s="11" t="str">
        <f t="shared" ca="1" si="14"/>
        <v>conical</v>
      </c>
      <c r="S75" s="13">
        <f t="shared" ca="1" si="15"/>
        <v>8.8999999999999968</v>
      </c>
      <c r="T75" s="13"/>
    </row>
    <row r="76" spans="1:20" x14ac:dyDescent="0.2">
      <c r="A76" s="11" t="s">
        <v>3</v>
      </c>
      <c r="B76" s="11" t="s">
        <v>82</v>
      </c>
      <c r="C76" s="11">
        <f>_xlfn.XLOOKUP($A76,'Conical section geometry'!$B$11:$B$17,'Conical section geometry'!$C$11:$C$17,"XXXX",0,1)</f>
        <v>-6.5</v>
      </c>
      <c r="D76" s="11">
        <f>_xlfn.XLOOKUP($A76,'Conical section geometry'!$B$11:$B$17,'Conical section geometry'!$D$11:$D$17,"XXXX",0,1)</f>
        <v>-17.928999999999998</v>
      </c>
      <c r="E76" s="11" cm="1">
        <f t="array" aca="1" ref="E76" ca="1">_xlfn.XLOOKUP($B76,    INDIRECT("'" &amp; $C$3 &amp; "'!$A$20:$A$219"),    _xlfn.XLOOKUP(E$18,INDIRECT("'" &amp; $C$3 &amp; "'!$B$18:$X$18"), INDIRECT("'" &amp; $C$3 &amp; "'!$B$20:$X$219"),"XXXXX",0,1),    "XX",    0,    1)</f>
        <v>8</v>
      </c>
      <c r="F76" s="11" cm="1">
        <f t="array" aca="1" ref="F76" ca="1">_xlfn.XLOOKUP($B76,    INDIRECT("'" &amp; $C$3 &amp; "'!$A$20:$A$219"),    _xlfn.XLOOKUP(F$18,INDIRECT("'" &amp; $C$3 &amp; "'!$B$18:$X$18"), INDIRECT("'" &amp; $C$3 &amp; "'!$B$20:$X$219"),"XXXXX",0,1),    "XX",    0,    1)</f>
        <v>10</v>
      </c>
      <c r="G76" s="11">
        <f>_xlfn.XLOOKUP($A76,'Conical section geometry'!$B$11:$B$17,'Conical section geometry'!$E$11:$E$17,"XXXX",0,1)</f>
        <v>-174.99340000000001</v>
      </c>
      <c r="H76" s="11" cm="1">
        <f t="array" aca="1" ref="H76" ca="1">_xlfn.XLOOKUP($B76,    INDIRECT("'" &amp; $C$3 &amp; "'!$A$20:$A$219"),    _xlfn.XLOOKUP(H$18,INDIRECT("'" &amp; $C$3 &amp; "'!$B$18:$X$18"), INDIRECT("'" &amp; $C$3 &amp; "'!$B$20:$X$219"),"XXXXX",0,1),    "XX",    0,    1)</f>
        <v>-33.799999999999997</v>
      </c>
      <c r="I76" s="11" cm="1">
        <f t="array" aca="1" ref="I76" ca="1">_xlfn.XLOOKUP($B76,    INDIRECT("'" &amp; $C$3 &amp; "'!$A$20:$A$219"),    _xlfn.XLOOKUP(I$18,INDIRECT("'" &amp; $C$3 &amp; "'!$B$18:$X$18"), INDIRECT("'" &amp; $C$3 &amp; "'!$B$20:$X$219"),"XXXXX",0,1),    "XX",    0,    1)</f>
        <v>89.4</v>
      </c>
      <c r="J76" s="11">
        <f t="shared" si="8"/>
        <v>31.9</v>
      </c>
      <c r="K76" s="11">
        <f t="shared" si="9"/>
        <v>11.428999999999998</v>
      </c>
      <c r="L76" s="11">
        <f t="shared" si="10"/>
        <v>43.328999999999994</v>
      </c>
      <c r="M76" s="11" cm="1">
        <f t="array" aca="1" ref="M76" ca="1">_xlfn.XLOOKUP($B76,    INDIRECT("'" &amp; $C$3 &amp; "'!$A$20:$A$219"),    _xlfn.XLOOKUP(M$18,INDIRECT("'" &amp; $C$3 &amp; "'!$B$18:$X$18"), INDIRECT("'" &amp; $C$3 &amp; "'!$B$20:$X$219"),"XXXXX",0,1),    "XX",    0,    1)</f>
        <v>30.2</v>
      </c>
      <c r="N76" s="11">
        <f t="shared" ca="1" si="11"/>
        <v>23.70000000000001</v>
      </c>
      <c r="O76" s="4">
        <f t="shared" ca="1" si="12"/>
        <v>12.271000000000015</v>
      </c>
      <c r="P76" s="11">
        <v>18.556948890643884</v>
      </c>
      <c r="Q76" s="11">
        <f t="shared" ca="1" si="13"/>
        <v>37.043051109356128</v>
      </c>
      <c r="R76" s="11" t="str">
        <f t="shared" ca="1" si="14"/>
        <v>conical</v>
      </c>
      <c r="S76" s="13">
        <f t="shared" ca="1" si="15"/>
        <v>8.9</v>
      </c>
      <c r="T76" s="13"/>
    </row>
    <row r="77" spans="1:20" x14ac:dyDescent="0.2">
      <c r="A77" s="11" t="s">
        <v>3</v>
      </c>
      <c r="B77" s="11" t="s">
        <v>85</v>
      </c>
      <c r="C77" s="11">
        <f>_xlfn.XLOOKUP($A77,'Conical section geometry'!$B$11:$B$17,'Conical section geometry'!$C$11:$C$17,"XXXX",0,1)</f>
        <v>-6.5</v>
      </c>
      <c r="D77" s="11">
        <f>_xlfn.XLOOKUP($A77,'Conical section geometry'!$B$11:$B$17,'Conical section geometry'!$D$11:$D$17,"XXXX",0,1)</f>
        <v>-17.928999999999998</v>
      </c>
      <c r="E77" s="11" cm="1">
        <f t="array" aca="1" ref="E77" ca="1">_xlfn.XLOOKUP($B77,    INDIRECT("'" &amp; $C$3 &amp; "'!$A$20:$A$219"),    _xlfn.XLOOKUP(E$18,INDIRECT("'" &amp; $C$3 &amp; "'!$B$18:$X$18"), INDIRECT("'" &amp; $C$3 &amp; "'!$B$20:$X$219"),"XXXXX",0,1),    "XX",    0,    1)</f>
        <v>8</v>
      </c>
      <c r="F77" s="11" cm="1">
        <f t="array" aca="1" ref="F77" ca="1">_xlfn.XLOOKUP($B77,    INDIRECT("'" &amp; $C$3 &amp; "'!$A$20:$A$219"),    _xlfn.XLOOKUP(F$18,INDIRECT("'" &amp; $C$3 &amp; "'!$B$18:$X$18"), INDIRECT("'" &amp; $C$3 &amp; "'!$B$20:$X$219"),"XXXXX",0,1),    "XX",    0,    1)</f>
        <v>10</v>
      </c>
      <c r="G77" s="11">
        <f>_xlfn.XLOOKUP($A77,'Conical section geometry'!$B$11:$B$17,'Conical section geometry'!$E$11:$E$17,"XXXX",0,1)</f>
        <v>-174.99340000000001</v>
      </c>
      <c r="H77" s="11" cm="1">
        <f t="array" aca="1" ref="H77" ca="1">_xlfn.XLOOKUP($B77,    INDIRECT("'" &amp; $C$3 &amp; "'!$A$20:$A$219"),    _xlfn.XLOOKUP(H$18,INDIRECT("'" &amp; $C$3 &amp; "'!$B$18:$X$18"), INDIRECT("'" &amp; $C$3 &amp; "'!$B$20:$X$219"),"XXXXX",0,1),    "XX",    0,    1)</f>
        <v>-33.4</v>
      </c>
      <c r="I77" s="11" cm="1">
        <f t="array" aca="1" ref="I77" ca="1">_xlfn.XLOOKUP($B77,    INDIRECT("'" &amp; $C$3 &amp; "'!$A$20:$A$219"),    _xlfn.XLOOKUP(I$18,INDIRECT("'" &amp; $C$3 &amp; "'!$B$18:$X$18"), INDIRECT("'" &amp; $C$3 &amp; "'!$B$20:$X$219"),"XXXXX",0,1),    "XX",    0,    1)</f>
        <v>89</v>
      </c>
      <c r="J77" s="11">
        <f t="shared" si="8"/>
        <v>31.9</v>
      </c>
      <c r="K77" s="11">
        <f t="shared" si="9"/>
        <v>11.428999999999998</v>
      </c>
      <c r="L77" s="11">
        <f t="shared" si="10"/>
        <v>43.328999999999994</v>
      </c>
      <c r="M77" s="11" cm="1">
        <f t="array" aca="1" ref="M77" ca="1">_xlfn.XLOOKUP($B77,    INDIRECT("'" &amp; $C$3 &amp; "'!$A$20:$A$219"),    _xlfn.XLOOKUP(M$18,INDIRECT("'" &amp; $C$3 &amp; "'!$B$18:$X$18"), INDIRECT("'" &amp; $C$3 &amp; "'!$B$20:$X$219"),"XXXXX",0,1),    "XX",    0,    1)</f>
        <v>30.2</v>
      </c>
      <c r="N77" s="11">
        <f t="shared" ca="1" si="11"/>
        <v>23.700000000000003</v>
      </c>
      <c r="O77" s="4">
        <f t="shared" ca="1" si="12"/>
        <v>12.271000000000008</v>
      </c>
      <c r="P77" s="11">
        <v>18.556948890643874</v>
      </c>
      <c r="Q77" s="11">
        <f t="shared" ca="1" si="13"/>
        <v>37.043051109356128</v>
      </c>
      <c r="R77" s="11" t="str">
        <f t="shared" ca="1" si="14"/>
        <v>conical</v>
      </c>
      <c r="S77" s="13">
        <f t="shared" ca="1" si="15"/>
        <v>8.9</v>
      </c>
      <c r="T77" s="13"/>
    </row>
    <row r="78" spans="1:20" x14ac:dyDescent="0.2">
      <c r="A78" s="11" t="s">
        <v>3</v>
      </c>
      <c r="B78" s="11" t="s">
        <v>140</v>
      </c>
      <c r="C78" s="11">
        <f>_xlfn.XLOOKUP($A78,'Conical section geometry'!$B$11:$B$17,'Conical section geometry'!$C$11:$C$17,"XXXX",0,1)</f>
        <v>-6.5</v>
      </c>
      <c r="D78" s="11">
        <f>_xlfn.XLOOKUP($A78,'Conical section geometry'!$B$11:$B$17,'Conical section geometry'!$D$11:$D$17,"XXXX",0,1)</f>
        <v>-17.928999999999998</v>
      </c>
      <c r="E78" s="11" cm="1">
        <f t="array" aca="1" ref="E78" ca="1">_xlfn.XLOOKUP($B78,    INDIRECT("'" &amp; $C$3 &amp; "'!$A$20:$A$219"),    _xlfn.XLOOKUP(E$18,INDIRECT("'" &amp; $C$3 &amp; "'!$B$18:$X$18"), INDIRECT("'" &amp; $C$3 &amp; "'!$B$20:$X$219"),"XXXXX",0,1),    "XX",    0,    1)</f>
        <v>8</v>
      </c>
      <c r="F78" s="11" cm="1">
        <f t="array" aca="1" ref="F78" ca="1">_xlfn.XLOOKUP($B78,    INDIRECT("'" &amp; $C$3 &amp; "'!$A$20:$A$219"),    _xlfn.XLOOKUP(F$18,INDIRECT("'" &amp; $C$3 &amp; "'!$B$18:$X$18"), INDIRECT("'" &amp; $C$3 &amp; "'!$B$20:$X$219"),"XXXXX",0,1),    "XX",    0,    1)</f>
        <v>10</v>
      </c>
      <c r="G78" s="11">
        <f>_xlfn.XLOOKUP($A78,'Conical section geometry'!$B$11:$B$17,'Conical section geometry'!$E$11:$E$17,"XXXX",0,1)</f>
        <v>-174.99340000000001</v>
      </c>
      <c r="H78" s="11" cm="1">
        <f t="array" aca="1" ref="H78" ca="1">_xlfn.XLOOKUP($B78,    INDIRECT("'" &amp; $C$3 &amp; "'!$A$20:$A$219"),    _xlfn.XLOOKUP(H$18,INDIRECT("'" &amp; $C$3 &amp; "'!$B$18:$X$18"), INDIRECT("'" &amp; $C$3 &amp; "'!$B$20:$X$219"),"XXXXX",0,1),    "XX",    0,    1)</f>
        <v>-30.2</v>
      </c>
      <c r="I78" s="11" cm="1">
        <f t="array" aca="1" ref="I78" ca="1">_xlfn.XLOOKUP($B78,    INDIRECT("'" &amp; $C$3 &amp; "'!$A$20:$A$219"),    _xlfn.XLOOKUP(I$18,INDIRECT("'" &amp; $C$3 &amp; "'!$B$18:$X$18"), INDIRECT("'" &amp; $C$3 &amp; "'!$B$20:$X$219"),"XXXXX",0,1),    "XX",    0,    1)</f>
        <v>85.8</v>
      </c>
      <c r="J78" s="11">
        <f t="shared" si="8"/>
        <v>31.9</v>
      </c>
      <c r="K78" s="11">
        <f t="shared" si="9"/>
        <v>11.428999999999998</v>
      </c>
      <c r="L78" s="11">
        <f t="shared" si="10"/>
        <v>43.328999999999994</v>
      </c>
      <c r="M78" s="11" cm="1">
        <f t="array" aca="1" ref="M78" ca="1">_xlfn.XLOOKUP($B78,    INDIRECT("'" &amp; $C$3 &amp; "'!$A$20:$A$219"),    _xlfn.XLOOKUP(M$18,INDIRECT("'" &amp; $C$3 &amp; "'!$B$18:$X$18"), INDIRECT("'" &amp; $C$3 &amp; "'!$B$20:$X$219"),"XXXXX",0,1),    "XX",    0,    1)</f>
        <v>30.2</v>
      </c>
      <c r="N78" s="11">
        <f t="shared" ca="1" si="11"/>
        <v>23.7</v>
      </c>
      <c r="O78" s="4">
        <f t="shared" ca="1" si="12"/>
        <v>12.271000000000004</v>
      </c>
      <c r="P78" s="11">
        <v>18.55694889064387</v>
      </c>
      <c r="Q78" s="11">
        <f t="shared" ca="1" si="13"/>
        <v>37.043051109356128</v>
      </c>
      <c r="R78" s="11" t="str">
        <f t="shared" ca="1" si="14"/>
        <v>conical</v>
      </c>
      <c r="S78" s="13">
        <f t="shared" ca="1" si="15"/>
        <v>8.9</v>
      </c>
      <c r="T78" s="13"/>
    </row>
    <row r="79" spans="1:20" x14ac:dyDescent="0.2">
      <c r="A79" s="11" t="s">
        <v>4</v>
      </c>
      <c r="B79" s="11" t="s">
        <v>171</v>
      </c>
      <c r="C79" s="11">
        <f>_xlfn.XLOOKUP($A79,'Conical section geometry'!$B$11:$B$17,'Conical section geometry'!$C$11:$C$17,"XXXX",0,1)</f>
        <v>-6.5</v>
      </c>
      <c r="D79" s="11">
        <f>_xlfn.XLOOKUP($A79,'Conical section geometry'!$B$11:$B$17,'Conical section geometry'!$D$11:$D$17,"XXXX",0,1)</f>
        <v>-20.786000000000001</v>
      </c>
      <c r="E79" s="11" cm="1">
        <f t="array" aca="1" ref="E79" ca="1">_xlfn.XLOOKUP($B79,    INDIRECT("'" &amp; $C$3 &amp; "'!$A$20:$A$219"),    _xlfn.XLOOKUP(E$18,INDIRECT("'" &amp; $C$3 &amp; "'!$B$18:$X$18"), INDIRECT("'" &amp; $C$3 &amp; "'!$B$20:$X$219"),"XXXXX",0,1),    "XX",    0,    1)</f>
        <v>8</v>
      </c>
      <c r="F79" s="11" cm="1">
        <f t="array" aca="1" ref="F79" ca="1">_xlfn.XLOOKUP($B79,    INDIRECT("'" &amp; $C$3 &amp; "'!$A$20:$A$219"),    _xlfn.XLOOKUP(F$18,INDIRECT("'" &amp; $C$3 &amp; "'!$B$18:$X$18"), INDIRECT("'" &amp; $C$3 &amp; "'!$B$20:$X$219"),"XXXXX",0,1),    "XX",    0,    1)</f>
        <v>10.5</v>
      </c>
      <c r="G79" s="11">
        <f>_xlfn.XLOOKUP($A79,'Conical section geometry'!$B$11:$B$17,'Conical section geometry'!$E$11:$E$17,"XXXX",0,1)</f>
        <v>-174.996500069999</v>
      </c>
      <c r="H79" s="11" cm="1">
        <f t="array" aca="1" ref="H79" ca="1">_xlfn.XLOOKUP($B79,    INDIRECT("'" &amp; $C$3 &amp; "'!$A$20:$A$219"),    _xlfn.XLOOKUP(H$18,INDIRECT("'" &amp; $C$3 &amp; "'!$B$18:$X$18"), INDIRECT("'" &amp; $C$3 &amp; "'!$B$20:$X$219"),"XXXXX",0,1),    "XX",    0,    1)</f>
        <v>-40.700000000000003</v>
      </c>
      <c r="I79" s="11" cm="1">
        <f t="array" aca="1" ref="I79" ca="1">_xlfn.XLOOKUP($B79,    INDIRECT("'" &amp; $C$3 &amp; "'!$A$20:$A$219"),    _xlfn.XLOOKUP(I$18,INDIRECT("'" &amp; $C$3 &amp; "'!$B$18:$X$18"), INDIRECT("'" &amp; $C$3 &amp; "'!$B$20:$X$219"),"XXXXX",0,1),    "XX",    0,    1)</f>
        <v>96.2</v>
      </c>
      <c r="J79" s="11">
        <f t="shared" si="8"/>
        <v>31.9</v>
      </c>
      <c r="K79" s="11">
        <f t="shared" si="9"/>
        <v>14.286000000000001</v>
      </c>
      <c r="L79" s="11">
        <f t="shared" si="10"/>
        <v>46.186</v>
      </c>
      <c r="M79" s="11" cm="1">
        <f t="array" aca="1" ref="M79" ca="1">_xlfn.XLOOKUP($B79,    INDIRECT("'" &amp; $C$3 &amp; "'!$A$20:$A$219"),    _xlfn.XLOOKUP(M$18,INDIRECT("'" &amp; $C$3 &amp; "'!$B$18:$X$18"), INDIRECT("'" &amp; $C$3 &amp; "'!$B$20:$X$219"),"XXXXX",0,1),    "XX",    0,    1)</f>
        <v>30.1</v>
      </c>
      <c r="N79" s="11">
        <f t="shared" ca="1" si="11"/>
        <v>23.600000000000009</v>
      </c>
      <c r="O79" s="4">
        <f t="shared" ca="1" si="12"/>
        <v>9.3140000000000001</v>
      </c>
      <c r="P79" s="11">
        <v>18.457040000000013</v>
      </c>
      <c r="Q79" s="11">
        <f t="shared" ca="1" si="13"/>
        <v>37.042959999999987</v>
      </c>
      <c r="R79" s="11" t="str">
        <f t="shared" ca="1" si="14"/>
        <v>conical</v>
      </c>
      <c r="S79" s="13">
        <f t="shared" ca="1" si="15"/>
        <v>8.9</v>
      </c>
      <c r="T79" s="13"/>
    </row>
    <row r="80" spans="1:20" x14ac:dyDescent="0.2">
      <c r="A80" s="11" t="s">
        <v>3</v>
      </c>
      <c r="B80" s="11" t="s">
        <v>50</v>
      </c>
      <c r="C80" s="11">
        <f>_xlfn.XLOOKUP($A80,'Conical section geometry'!$B$11:$B$17,'Conical section geometry'!$C$11:$C$17,"XXXX",0,1)</f>
        <v>-6.5</v>
      </c>
      <c r="D80" s="11">
        <f>_xlfn.XLOOKUP($A80,'Conical section geometry'!$B$11:$B$17,'Conical section geometry'!$D$11:$D$17,"XXXX",0,1)</f>
        <v>-17.928999999999998</v>
      </c>
      <c r="E80" s="11" cm="1">
        <f t="array" aca="1" ref="E80" ca="1">_xlfn.XLOOKUP($B80,    INDIRECT("'" &amp; $C$3 &amp; "'!$A$20:$A$219"),    _xlfn.XLOOKUP(E$18,INDIRECT("'" &amp; $C$3 &amp; "'!$B$18:$X$18"), INDIRECT("'" &amp; $C$3 &amp; "'!$B$20:$X$219"),"XXXXX",0,1),    "XX",    0,    1)</f>
        <v>8</v>
      </c>
      <c r="F80" s="11" cm="1">
        <f t="array" aca="1" ref="F80" ca="1">_xlfn.XLOOKUP($B80,    INDIRECT("'" &amp; $C$3 &amp; "'!$A$20:$A$219"),    _xlfn.XLOOKUP(F$18,INDIRECT("'" &amp; $C$3 &amp; "'!$B$18:$X$18"), INDIRECT("'" &amp; $C$3 &amp; "'!$B$20:$X$219"),"XXXXX",0,1),    "XX",    0,    1)</f>
        <v>10</v>
      </c>
      <c r="G80" s="11">
        <f>_xlfn.XLOOKUP($A80,'Conical section geometry'!$B$11:$B$17,'Conical section geometry'!$E$11:$E$17,"XXXX",0,1)</f>
        <v>-174.99340000000001</v>
      </c>
      <c r="H80" s="11" cm="1">
        <f t="array" aca="1" ref="H80" ca="1">_xlfn.XLOOKUP($B80,    INDIRECT("'" &amp; $C$3 &amp; "'!$A$20:$A$219"),    _xlfn.XLOOKUP(H$18,INDIRECT("'" &amp; $C$3 &amp; "'!$B$18:$X$18"), INDIRECT("'" &amp; $C$3 &amp; "'!$B$20:$X$219"),"XXXXX",0,1),    "XX",    0,    1)</f>
        <v>-35.4</v>
      </c>
      <c r="I80" s="11" cm="1">
        <f t="array" aca="1" ref="I80" ca="1">_xlfn.XLOOKUP($B80,    INDIRECT("'" &amp; $C$3 &amp; "'!$A$20:$A$219"),    _xlfn.XLOOKUP(I$18,INDIRECT("'" &amp; $C$3 &amp; "'!$B$18:$X$18"), INDIRECT("'" &amp; $C$3 &amp; "'!$B$20:$X$219"),"XXXXX",0,1),    "XX",    0,    1)</f>
        <v>90.9</v>
      </c>
      <c r="J80" s="11">
        <f t="shared" si="8"/>
        <v>31.9</v>
      </c>
      <c r="K80" s="11">
        <f t="shared" si="9"/>
        <v>11.428999999999998</v>
      </c>
      <c r="L80" s="11">
        <f t="shared" si="10"/>
        <v>43.328999999999994</v>
      </c>
      <c r="M80" s="11" cm="1">
        <f t="array" aca="1" ref="M80" ca="1">_xlfn.XLOOKUP($B80,    INDIRECT("'" &amp; $C$3 &amp; "'!$A$20:$A$219"),    _xlfn.XLOOKUP(M$18,INDIRECT("'" &amp; $C$3 &amp; "'!$B$18:$X$18"), INDIRECT("'" &amp; $C$3 &amp; "'!$B$20:$X$219"),"XXXXX",0,1),    "XX",    0,    1)</f>
        <v>30.1</v>
      </c>
      <c r="N80" s="11">
        <f t="shared" ca="1" si="11"/>
        <v>23.600000000000009</v>
      </c>
      <c r="O80" s="4">
        <f t="shared" ca="1" si="12"/>
        <v>12.171000000000014</v>
      </c>
      <c r="P80" s="11">
        <v>18.456948890643872</v>
      </c>
      <c r="Q80" s="11">
        <f t="shared" ca="1" si="13"/>
        <v>37.043051109356135</v>
      </c>
      <c r="R80" s="11" t="str">
        <f t="shared" ca="1" si="14"/>
        <v>conical</v>
      </c>
      <c r="S80" s="13">
        <f t="shared" ca="1" si="15"/>
        <v>8.9000000000000021</v>
      </c>
      <c r="T80" s="13"/>
    </row>
    <row r="81" spans="1:20" x14ac:dyDescent="0.2">
      <c r="A81" s="11" t="s">
        <v>3</v>
      </c>
      <c r="B81" s="11" t="s">
        <v>26</v>
      </c>
      <c r="C81" s="11">
        <f>_xlfn.XLOOKUP($A81,'Conical section geometry'!$B$11:$B$17,'Conical section geometry'!$C$11:$C$17,"XXXX",0,1)</f>
        <v>-6.5</v>
      </c>
      <c r="D81" s="11">
        <f>_xlfn.XLOOKUP($A81,'Conical section geometry'!$B$11:$B$17,'Conical section geometry'!$D$11:$D$17,"XXXX",0,1)</f>
        <v>-17.928999999999998</v>
      </c>
      <c r="E81" s="11" cm="1">
        <f t="array" aca="1" ref="E81" ca="1">_xlfn.XLOOKUP($B81,    INDIRECT("'" &amp; $C$3 &amp; "'!$A$20:$A$219"),    _xlfn.XLOOKUP(E$18,INDIRECT("'" &amp; $C$3 &amp; "'!$B$18:$X$18"), INDIRECT("'" &amp; $C$3 &amp; "'!$B$20:$X$219"),"XXXXX",0,1),    "XX",    0,    1)</f>
        <v>8</v>
      </c>
      <c r="F81" s="11" cm="1">
        <f t="array" aca="1" ref="F81" ca="1">_xlfn.XLOOKUP($B81,    INDIRECT("'" &amp; $C$3 &amp; "'!$A$20:$A$219"),    _xlfn.XLOOKUP(F$18,INDIRECT("'" &amp; $C$3 &amp; "'!$B$18:$X$18"), INDIRECT("'" &amp; $C$3 &amp; "'!$B$20:$X$219"),"XXXXX",0,1),    "XX",    0,    1)</f>
        <v>10</v>
      </c>
      <c r="G81" s="11">
        <f>_xlfn.XLOOKUP($A81,'Conical section geometry'!$B$11:$B$17,'Conical section geometry'!$E$11:$E$17,"XXXX",0,1)</f>
        <v>-174.99340000000001</v>
      </c>
      <c r="H81" s="11" cm="1">
        <f t="array" aca="1" ref="H81" ca="1">_xlfn.XLOOKUP($B81,    INDIRECT("'" &amp; $C$3 &amp; "'!$A$20:$A$219"),    _xlfn.XLOOKUP(H$18,INDIRECT("'" &amp; $C$3 &amp; "'!$B$18:$X$18"), INDIRECT("'" &amp; $C$3 &amp; "'!$B$20:$X$219"),"XXXXX",0,1),    "XX",    0,    1)</f>
        <v>-37.6</v>
      </c>
      <c r="I81" s="11" cm="1">
        <f t="array" aca="1" ref="I81" ca="1">_xlfn.XLOOKUP($B81,    INDIRECT("'" &amp; $C$3 &amp; "'!$A$20:$A$219"),    _xlfn.XLOOKUP(I$18,INDIRECT("'" &amp; $C$3 &amp; "'!$B$18:$X$18"), INDIRECT("'" &amp; $C$3 &amp; "'!$B$20:$X$219"),"XXXXX",0,1),    "XX",    0,    1)</f>
        <v>93.1</v>
      </c>
      <c r="J81" s="11">
        <f t="shared" si="8"/>
        <v>31.9</v>
      </c>
      <c r="K81" s="11">
        <f t="shared" si="9"/>
        <v>11.428999999999998</v>
      </c>
      <c r="L81" s="11">
        <f t="shared" si="10"/>
        <v>43.328999999999994</v>
      </c>
      <c r="M81" s="11" cm="1">
        <f t="array" aca="1" ref="M81" ca="1">_xlfn.XLOOKUP($B81,    INDIRECT("'" &amp; $C$3 &amp; "'!$A$20:$A$219"),    _xlfn.XLOOKUP(M$18,INDIRECT("'" &amp; $C$3 &amp; "'!$B$18:$X$18"), INDIRECT("'" &amp; $C$3 &amp; "'!$B$20:$X$219"),"XXXXX",0,1),    "XX",    0,    1)</f>
        <v>30.1</v>
      </c>
      <c r="N81" s="11">
        <f t="shared" ca="1" si="11"/>
        <v>23.599999999999994</v>
      </c>
      <c r="O81" s="4">
        <f t="shared" ca="1" si="12"/>
        <v>12.170999999999999</v>
      </c>
      <c r="P81" s="11">
        <v>18.456948890643858</v>
      </c>
      <c r="Q81" s="11">
        <f t="shared" ca="1" si="13"/>
        <v>37.043051109356135</v>
      </c>
      <c r="R81" s="11" t="str">
        <f t="shared" ca="1" si="14"/>
        <v>conical</v>
      </c>
      <c r="S81" s="13">
        <f t="shared" ca="1" si="15"/>
        <v>8.9000000000000021</v>
      </c>
      <c r="T81" s="13"/>
    </row>
    <row r="82" spans="1:20" x14ac:dyDescent="0.2">
      <c r="A82" s="11" t="s">
        <v>4</v>
      </c>
      <c r="B82" s="11" t="s">
        <v>175</v>
      </c>
      <c r="C82" s="11">
        <f>_xlfn.XLOOKUP($A82,'Conical section geometry'!$B$11:$B$17,'Conical section geometry'!$C$11:$C$17,"XXXX",0,1)</f>
        <v>-6.5</v>
      </c>
      <c r="D82" s="11">
        <f>_xlfn.XLOOKUP($A82,'Conical section geometry'!$B$11:$B$17,'Conical section geometry'!$D$11:$D$17,"XXXX",0,1)</f>
        <v>-20.786000000000001</v>
      </c>
      <c r="E82" s="11" cm="1">
        <f t="array" aca="1" ref="E82" ca="1">_xlfn.XLOOKUP($B82,    INDIRECT("'" &amp; $C$3 &amp; "'!$A$20:$A$219"),    _xlfn.XLOOKUP(E$18,INDIRECT("'" &amp; $C$3 &amp; "'!$B$18:$X$18"), INDIRECT("'" &amp; $C$3 &amp; "'!$B$20:$X$219"),"XXXXX",0,1),    "XX",    0,    1)</f>
        <v>8</v>
      </c>
      <c r="F82" s="11" cm="1">
        <f t="array" aca="1" ref="F82" ca="1">_xlfn.XLOOKUP($B82,    INDIRECT("'" &amp; $C$3 &amp; "'!$A$20:$A$219"),    _xlfn.XLOOKUP(F$18,INDIRECT("'" &amp; $C$3 &amp; "'!$B$18:$X$18"), INDIRECT("'" &amp; $C$3 &amp; "'!$B$20:$X$219"),"XXXXX",0,1),    "XX",    0,    1)</f>
        <v>10.5</v>
      </c>
      <c r="G82" s="11">
        <f>_xlfn.XLOOKUP($A82,'Conical section geometry'!$B$11:$B$17,'Conical section geometry'!$E$11:$E$17,"XXXX",0,1)</f>
        <v>-174.996500069999</v>
      </c>
      <c r="H82" s="11" cm="1">
        <f t="array" aca="1" ref="H82" ca="1">_xlfn.XLOOKUP($B82,    INDIRECT("'" &amp; $C$3 &amp; "'!$A$20:$A$219"),    _xlfn.XLOOKUP(H$18,INDIRECT("'" &amp; $C$3 &amp; "'!$B$18:$X$18"), INDIRECT("'" &amp; $C$3 &amp; "'!$B$20:$X$219"),"XXXXX",0,1),    "XX",    0,    1)</f>
        <v>-39.4</v>
      </c>
      <c r="I82" s="11" cm="1">
        <f t="array" aca="1" ref="I82" ca="1">_xlfn.XLOOKUP($B82,    INDIRECT("'" &amp; $C$3 &amp; "'!$A$20:$A$219"),    _xlfn.XLOOKUP(I$18,INDIRECT("'" &amp; $C$3 &amp; "'!$B$18:$X$18"), INDIRECT("'" &amp; $C$3 &amp; "'!$B$20:$X$219"),"XXXXX",0,1),    "XX",    0,    1)</f>
        <v>94.8</v>
      </c>
      <c r="J82" s="11">
        <f t="shared" si="8"/>
        <v>31.9</v>
      </c>
      <c r="K82" s="11">
        <f t="shared" si="9"/>
        <v>14.286000000000001</v>
      </c>
      <c r="L82" s="11">
        <f t="shared" si="10"/>
        <v>46.186</v>
      </c>
      <c r="M82" s="11" cm="1">
        <f t="array" aca="1" ref="M82" ca="1">_xlfn.XLOOKUP($B82,    INDIRECT("'" &amp; $C$3 &amp; "'!$A$20:$A$219"),    _xlfn.XLOOKUP(M$18,INDIRECT("'" &amp; $C$3 &amp; "'!$B$18:$X$18"), INDIRECT("'" &amp; $C$3 &amp; "'!$B$20:$X$219"),"XXXXX",0,1),    "XX",    0,    1)</f>
        <v>30</v>
      </c>
      <c r="N82" s="11">
        <f t="shared" ca="1" si="11"/>
        <v>23.5</v>
      </c>
      <c r="O82" s="4">
        <f t="shared" ca="1" si="12"/>
        <v>9.2139999999999986</v>
      </c>
      <c r="P82" s="11">
        <v>18.357039999999998</v>
      </c>
      <c r="Q82" s="11">
        <f t="shared" ca="1" si="13"/>
        <v>37.042960000000001</v>
      </c>
      <c r="R82" s="11" t="str">
        <f t="shared" ca="1" si="14"/>
        <v>conical</v>
      </c>
      <c r="S82" s="13">
        <f t="shared" ca="1" si="15"/>
        <v>8.9000000000000021</v>
      </c>
      <c r="T82" s="13"/>
    </row>
    <row r="83" spans="1:20" x14ac:dyDescent="0.2">
      <c r="A83" s="11" t="s">
        <v>3</v>
      </c>
      <c r="B83" s="11" t="s">
        <v>31</v>
      </c>
      <c r="C83" s="11">
        <f>_xlfn.XLOOKUP($A83,'Conical section geometry'!$B$11:$B$17,'Conical section geometry'!$C$11:$C$17,"XXXX",0,1)</f>
        <v>-6.5</v>
      </c>
      <c r="D83" s="11">
        <f>_xlfn.XLOOKUP($A83,'Conical section geometry'!$B$11:$B$17,'Conical section geometry'!$D$11:$D$17,"XXXX",0,1)</f>
        <v>-17.928999999999998</v>
      </c>
      <c r="E83" s="11" cm="1">
        <f t="array" aca="1" ref="E83" ca="1">_xlfn.XLOOKUP($B83,    INDIRECT("'" &amp; $C$3 &amp; "'!$A$20:$A$219"),    _xlfn.XLOOKUP(E$18,INDIRECT("'" &amp; $C$3 &amp; "'!$B$18:$X$18"), INDIRECT("'" &amp; $C$3 &amp; "'!$B$20:$X$219"),"XXXXX",0,1),    "XX",    0,    1)</f>
        <v>8</v>
      </c>
      <c r="F83" s="11" cm="1">
        <f t="array" aca="1" ref="F83" ca="1">_xlfn.XLOOKUP($B83,    INDIRECT("'" &amp; $C$3 &amp; "'!$A$20:$A$219"),    _xlfn.XLOOKUP(F$18,INDIRECT("'" &amp; $C$3 &amp; "'!$B$18:$X$18"), INDIRECT("'" &amp; $C$3 &amp; "'!$B$20:$X$219"),"XXXXX",0,1),    "XX",    0,    1)</f>
        <v>10</v>
      </c>
      <c r="G83" s="11">
        <f>_xlfn.XLOOKUP($A83,'Conical section geometry'!$B$11:$B$17,'Conical section geometry'!$E$11:$E$17,"XXXX",0,1)</f>
        <v>-174.99340000000001</v>
      </c>
      <c r="H83" s="11" cm="1">
        <f t="array" aca="1" ref="H83" ca="1">_xlfn.XLOOKUP($B83,    INDIRECT("'" &amp; $C$3 &amp; "'!$A$20:$A$219"),    _xlfn.XLOOKUP(H$18,INDIRECT("'" &amp; $C$3 &amp; "'!$B$18:$X$18"), INDIRECT("'" &amp; $C$3 &amp; "'!$B$20:$X$219"),"XXXXX",0,1),    "XX",    0,    1)</f>
        <v>-36.799999999999997</v>
      </c>
      <c r="I83" s="11" cm="1">
        <f t="array" aca="1" ref="I83" ca="1">_xlfn.XLOOKUP($B83,    INDIRECT("'" &amp; $C$3 &amp; "'!$A$20:$A$219"),    _xlfn.XLOOKUP(I$18,INDIRECT("'" &amp; $C$3 &amp; "'!$B$18:$X$18"), INDIRECT("'" &amp; $C$3 &amp; "'!$B$20:$X$219"),"XXXXX",0,1),    "XX",    0,    1)</f>
        <v>92.2</v>
      </c>
      <c r="J83" s="11">
        <f t="shared" si="8"/>
        <v>31.9</v>
      </c>
      <c r="K83" s="11">
        <f t="shared" si="9"/>
        <v>11.428999999999998</v>
      </c>
      <c r="L83" s="11">
        <f t="shared" si="10"/>
        <v>43.328999999999994</v>
      </c>
      <c r="M83" s="11" cm="1">
        <f t="array" aca="1" ref="M83" ca="1">_xlfn.XLOOKUP($B83,    INDIRECT("'" &amp; $C$3 &amp; "'!$A$20:$A$219"),    _xlfn.XLOOKUP(M$18,INDIRECT("'" &amp; $C$3 &amp; "'!$B$18:$X$18"), INDIRECT("'" &amp; $C$3 &amp; "'!$B$20:$X$219"),"XXXXX",0,1),    "XX",    0,    1)</f>
        <v>30</v>
      </c>
      <c r="N83" s="11">
        <f t="shared" ca="1" si="11"/>
        <v>23.500000000000007</v>
      </c>
      <c r="O83" s="4">
        <f t="shared" ca="1" si="12"/>
        <v>12.071000000000012</v>
      </c>
      <c r="P83" s="11">
        <v>18.356948890643867</v>
      </c>
      <c r="Q83" s="11">
        <f t="shared" ca="1" si="13"/>
        <v>37.043051109356142</v>
      </c>
      <c r="R83" s="11" t="str">
        <f t="shared" ca="1" si="14"/>
        <v>conical</v>
      </c>
      <c r="S83" s="13">
        <f t="shared" ca="1" si="15"/>
        <v>8.9000000000000039</v>
      </c>
      <c r="T83" s="13"/>
    </row>
    <row r="84" spans="1:20" x14ac:dyDescent="0.2">
      <c r="A84" s="11" t="s">
        <v>3</v>
      </c>
      <c r="B84" s="11" t="s">
        <v>148</v>
      </c>
      <c r="C84" s="11">
        <f>_xlfn.XLOOKUP($A84,'Conical section geometry'!$B$11:$B$17,'Conical section geometry'!$C$11:$C$17,"XXXX",0,1)</f>
        <v>-6.5</v>
      </c>
      <c r="D84" s="11">
        <f>_xlfn.XLOOKUP($A84,'Conical section geometry'!$B$11:$B$17,'Conical section geometry'!$D$11:$D$17,"XXXX",0,1)</f>
        <v>-17.928999999999998</v>
      </c>
      <c r="E84" s="11" cm="1">
        <f t="array" aca="1" ref="E84" ca="1">_xlfn.XLOOKUP($B84,    INDIRECT("'" &amp; $C$3 &amp; "'!$A$20:$A$219"),    _xlfn.XLOOKUP(E$18,INDIRECT("'" &amp; $C$3 &amp; "'!$B$18:$X$18"), INDIRECT("'" &amp; $C$3 &amp; "'!$B$20:$X$219"),"XXXXX",0,1),    "XX",    0,    1)</f>
        <v>8</v>
      </c>
      <c r="F84" s="11" cm="1">
        <f t="array" aca="1" ref="F84" ca="1">_xlfn.XLOOKUP($B84,    INDIRECT("'" &amp; $C$3 &amp; "'!$A$20:$A$219"),    _xlfn.XLOOKUP(F$18,INDIRECT("'" &amp; $C$3 &amp; "'!$B$18:$X$18"), INDIRECT("'" &amp; $C$3 &amp; "'!$B$20:$X$219"),"XXXXX",0,1),    "XX",    0,    1)</f>
        <v>10</v>
      </c>
      <c r="G84" s="11">
        <f>_xlfn.XLOOKUP($A84,'Conical section geometry'!$B$11:$B$17,'Conical section geometry'!$E$11:$E$17,"XXXX",0,1)</f>
        <v>-174.99340000000001</v>
      </c>
      <c r="H84" s="11" cm="1">
        <f t="array" aca="1" ref="H84" ca="1">_xlfn.XLOOKUP($B84,    INDIRECT("'" &amp; $C$3 &amp; "'!$A$20:$A$219"),    _xlfn.XLOOKUP(H$18,INDIRECT("'" &amp; $C$3 &amp; "'!$B$18:$X$18"), INDIRECT("'" &amp; $C$3 &amp; "'!$B$20:$X$219"),"XXXXX",0,1),    "XX",    0,    1)</f>
        <v>-29.6</v>
      </c>
      <c r="I84" s="11" cm="1">
        <f t="array" aca="1" ref="I84" ca="1">_xlfn.XLOOKUP($B84,    INDIRECT("'" &amp; $C$3 &amp; "'!$A$20:$A$219"),    _xlfn.XLOOKUP(I$18,INDIRECT("'" &amp; $C$3 &amp; "'!$B$18:$X$18"), INDIRECT("'" &amp; $C$3 &amp; "'!$B$20:$X$219"),"XXXXX",0,1),    "XX",    0,    1)</f>
        <v>85</v>
      </c>
      <c r="J84" s="11">
        <f t="shared" ref="J84:J115" si="16">$C$1-$C84</f>
        <v>31.9</v>
      </c>
      <c r="K84" s="11">
        <f t="shared" ref="K84:K115" si="17">C$20-$D84</f>
        <v>11.428999999999998</v>
      </c>
      <c r="L84" s="11">
        <f t="shared" ref="L84:L115" si="18">$C$1-$D84</f>
        <v>43.328999999999994</v>
      </c>
      <c r="M84" s="11" cm="1">
        <f t="array" aca="1" ref="M84" ca="1">_xlfn.XLOOKUP($B84,    INDIRECT("'" &amp; $C$3 &amp; "'!$A$20:$A$219"),    _xlfn.XLOOKUP(M$18,INDIRECT("'" &amp; $C$3 &amp; "'!$B$18:$X$18"), INDIRECT("'" &amp; $C$3 &amp; "'!$B$20:$X$219"),"XXXXX",0,1),    "XX",    0,    1)</f>
        <v>30</v>
      </c>
      <c r="N84" s="11">
        <f t="shared" ref="N84:N115" ca="1" si="19">$I84-$J84-(-$H84)</f>
        <v>23.5</v>
      </c>
      <c r="O84" s="4">
        <f t="shared" ref="O84:O115" ca="1" si="20">$I84-$L84-(-$H84)</f>
        <v>12.071000000000005</v>
      </c>
      <c r="P84" s="11">
        <v>18.356948890643878</v>
      </c>
      <c r="Q84" s="11">
        <f t="shared" ref="Q84:Q115" ca="1" si="21">$I84-($P84+(ABS($H84)))</f>
        <v>37.043051109356121</v>
      </c>
      <c r="R84" s="11" t="str">
        <f t="shared" ref="R84:R115" ca="1" si="22">IF($Q84&lt;=$J84,"top",IF($Q84&lt;=$L84,"conical","bottom"))</f>
        <v>conical</v>
      </c>
      <c r="S84" s="13">
        <f t="shared" ref="S84:S115" ca="1" si="23">IF($R84="top",$E84,IF($R84="bottom",$F84,$E84-(($Q84-$J84)*$G84)/1000))</f>
        <v>8.9</v>
      </c>
      <c r="T84" s="13"/>
    </row>
    <row r="85" spans="1:20" x14ac:dyDescent="0.2">
      <c r="A85" s="11" t="s">
        <v>3</v>
      </c>
      <c r="B85" s="11" t="s">
        <v>141</v>
      </c>
      <c r="C85" s="11">
        <f>_xlfn.XLOOKUP($A85,'Conical section geometry'!$B$11:$B$17,'Conical section geometry'!$C$11:$C$17,"XXXX",0,1)</f>
        <v>-6.5</v>
      </c>
      <c r="D85" s="11">
        <f>_xlfn.XLOOKUP($A85,'Conical section geometry'!$B$11:$B$17,'Conical section geometry'!$D$11:$D$17,"XXXX",0,1)</f>
        <v>-17.928999999999998</v>
      </c>
      <c r="E85" s="11" cm="1">
        <f t="array" aca="1" ref="E85" ca="1">_xlfn.XLOOKUP($B85,    INDIRECT("'" &amp; $C$3 &amp; "'!$A$20:$A$219"),    _xlfn.XLOOKUP(E$18,INDIRECT("'" &amp; $C$3 &amp; "'!$B$18:$X$18"), INDIRECT("'" &amp; $C$3 &amp; "'!$B$20:$X$219"),"XXXXX",0,1),    "XX",    0,    1)</f>
        <v>8</v>
      </c>
      <c r="F85" s="11" cm="1">
        <f t="array" aca="1" ref="F85" ca="1">_xlfn.XLOOKUP($B85,    INDIRECT("'" &amp; $C$3 &amp; "'!$A$20:$A$219"),    _xlfn.XLOOKUP(F$18,INDIRECT("'" &amp; $C$3 &amp; "'!$B$18:$X$18"), INDIRECT("'" &amp; $C$3 &amp; "'!$B$20:$X$219"),"XXXXX",0,1),    "XX",    0,    1)</f>
        <v>10</v>
      </c>
      <c r="G85" s="11">
        <f>_xlfn.XLOOKUP($A85,'Conical section geometry'!$B$11:$B$17,'Conical section geometry'!$E$11:$E$17,"XXXX",0,1)</f>
        <v>-174.99340000000001</v>
      </c>
      <c r="H85" s="11" cm="1">
        <f t="array" aca="1" ref="H85" ca="1">_xlfn.XLOOKUP($B85,    INDIRECT("'" &amp; $C$3 &amp; "'!$A$20:$A$219"),    _xlfn.XLOOKUP(H$18,INDIRECT("'" &amp; $C$3 &amp; "'!$B$18:$X$18"), INDIRECT("'" &amp; $C$3 &amp; "'!$B$20:$X$219"),"XXXXX",0,1),    "XX",    0,    1)</f>
        <v>-30.1</v>
      </c>
      <c r="I85" s="11" cm="1">
        <f t="array" aca="1" ref="I85" ca="1">_xlfn.XLOOKUP($B85,    INDIRECT("'" &amp; $C$3 &amp; "'!$A$20:$A$219"),    _xlfn.XLOOKUP(I$18,INDIRECT("'" &amp; $C$3 &amp; "'!$B$18:$X$18"), INDIRECT("'" &amp; $C$3 &amp; "'!$B$20:$X$219"),"XXXXX",0,1),    "XX",    0,    1)</f>
        <v>85.4</v>
      </c>
      <c r="J85" s="11">
        <f t="shared" si="16"/>
        <v>31.9</v>
      </c>
      <c r="K85" s="11">
        <f t="shared" si="17"/>
        <v>11.428999999999998</v>
      </c>
      <c r="L85" s="11">
        <f t="shared" si="18"/>
        <v>43.328999999999994</v>
      </c>
      <c r="M85" s="11" cm="1">
        <f t="array" aca="1" ref="M85" ca="1">_xlfn.XLOOKUP($B85,    INDIRECT("'" &amp; $C$3 &amp; "'!$A$20:$A$219"),    _xlfn.XLOOKUP(M$18,INDIRECT("'" &amp; $C$3 &amp; "'!$B$18:$X$18"), INDIRECT("'" &amp; $C$3 &amp; "'!$B$20:$X$219"),"XXXXX",0,1),    "XX",    0,    1)</f>
        <v>29.9</v>
      </c>
      <c r="N85" s="11">
        <f t="shared" ca="1" si="19"/>
        <v>23.400000000000006</v>
      </c>
      <c r="O85" s="4">
        <f t="shared" ca="1" si="20"/>
        <v>11.971000000000011</v>
      </c>
      <c r="P85" s="11">
        <v>18.256948890643894</v>
      </c>
      <c r="Q85" s="11">
        <f t="shared" ca="1" si="21"/>
        <v>37.043051109356114</v>
      </c>
      <c r="R85" s="11" t="str">
        <f t="shared" ca="1" si="22"/>
        <v>conical</v>
      </c>
      <c r="S85" s="13">
        <f t="shared" ca="1" si="23"/>
        <v>8.8999999999999986</v>
      </c>
      <c r="T85" s="13"/>
    </row>
    <row r="86" spans="1:20" x14ac:dyDescent="0.2">
      <c r="A86" s="11" t="s">
        <v>3</v>
      </c>
      <c r="B86" s="11" t="s">
        <v>134</v>
      </c>
      <c r="C86" s="11">
        <f>_xlfn.XLOOKUP($A86,'Conical section geometry'!$B$11:$B$17,'Conical section geometry'!$C$11:$C$17,"XXXX",0,1)</f>
        <v>-6.5</v>
      </c>
      <c r="D86" s="11">
        <f>_xlfn.XLOOKUP($A86,'Conical section geometry'!$B$11:$B$17,'Conical section geometry'!$D$11:$D$17,"XXXX",0,1)</f>
        <v>-17.928999999999998</v>
      </c>
      <c r="E86" s="11" cm="1">
        <f t="array" aca="1" ref="E86" ca="1">_xlfn.XLOOKUP($B86,    INDIRECT("'" &amp; $C$3 &amp; "'!$A$20:$A$219"),    _xlfn.XLOOKUP(E$18,INDIRECT("'" &amp; $C$3 &amp; "'!$B$18:$X$18"), INDIRECT("'" &amp; $C$3 &amp; "'!$B$20:$X$219"),"XXXXX",0,1),    "XX",    0,    1)</f>
        <v>8</v>
      </c>
      <c r="F86" s="11" cm="1">
        <f t="array" aca="1" ref="F86" ca="1">_xlfn.XLOOKUP($B86,    INDIRECT("'" &amp; $C$3 &amp; "'!$A$20:$A$219"),    _xlfn.XLOOKUP(F$18,INDIRECT("'" &amp; $C$3 &amp; "'!$B$18:$X$18"), INDIRECT("'" &amp; $C$3 &amp; "'!$B$20:$X$219"),"XXXXX",0,1),    "XX",    0,    1)</f>
        <v>10</v>
      </c>
      <c r="G86" s="11">
        <f>_xlfn.XLOOKUP($A86,'Conical section geometry'!$B$11:$B$17,'Conical section geometry'!$E$11:$E$17,"XXXX",0,1)</f>
        <v>-174.99340000000001</v>
      </c>
      <c r="H86" s="11" cm="1">
        <f t="array" aca="1" ref="H86" ca="1">_xlfn.XLOOKUP($B86,    INDIRECT("'" &amp; $C$3 &amp; "'!$A$20:$A$219"),    _xlfn.XLOOKUP(H$18,INDIRECT("'" &amp; $C$3 &amp; "'!$B$18:$X$18"), INDIRECT("'" &amp; $C$3 &amp; "'!$B$20:$X$219"),"XXXXX",0,1),    "XX",    0,    1)</f>
        <v>-30.7</v>
      </c>
      <c r="I86" s="11" cm="1">
        <f t="array" aca="1" ref="I86" ca="1">_xlfn.XLOOKUP($B86,    INDIRECT("'" &amp; $C$3 &amp; "'!$A$20:$A$219"),    _xlfn.XLOOKUP(I$18,INDIRECT("'" &amp; $C$3 &amp; "'!$B$18:$X$18"), INDIRECT("'" &amp; $C$3 &amp; "'!$B$20:$X$219"),"XXXXX",0,1),    "XX",    0,    1)</f>
        <v>86</v>
      </c>
      <c r="J86" s="11">
        <f t="shared" si="16"/>
        <v>31.9</v>
      </c>
      <c r="K86" s="11">
        <f t="shared" si="17"/>
        <v>11.428999999999998</v>
      </c>
      <c r="L86" s="11">
        <f t="shared" si="18"/>
        <v>43.328999999999994</v>
      </c>
      <c r="M86" s="11" cm="1">
        <f t="array" aca="1" ref="M86" ca="1">_xlfn.XLOOKUP($B86,    INDIRECT("'" &amp; $C$3 &amp; "'!$A$20:$A$219"),    _xlfn.XLOOKUP(M$18,INDIRECT("'" &amp; $C$3 &amp; "'!$B$18:$X$18"), INDIRECT("'" &amp; $C$3 &amp; "'!$B$20:$X$219"),"XXXXX",0,1),    "XX",    0,    1)</f>
        <v>29.9</v>
      </c>
      <c r="N86" s="11">
        <f t="shared" ca="1" si="19"/>
        <v>23.400000000000002</v>
      </c>
      <c r="O86" s="4">
        <f t="shared" ca="1" si="20"/>
        <v>11.971000000000007</v>
      </c>
      <c r="P86" s="11">
        <v>18.256948890643894</v>
      </c>
      <c r="Q86" s="11">
        <f t="shared" ca="1" si="21"/>
        <v>37.043051109356107</v>
      </c>
      <c r="R86" s="11" t="str">
        <f t="shared" ca="1" si="22"/>
        <v>conical</v>
      </c>
      <c r="S86" s="13">
        <f t="shared" ca="1" si="23"/>
        <v>8.8999999999999968</v>
      </c>
      <c r="T86" s="13"/>
    </row>
    <row r="87" spans="1:20" x14ac:dyDescent="0.2">
      <c r="A87" s="11" t="s">
        <v>3</v>
      </c>
      <c r="B87" s="11" t="s">
        <v>45</v>
      </c>
      <c r="C87" s="11">
        <f>_xlfn.XLOOKUP($A87,'Conical section geometry'!$B$11:$B$17,'Conical section geometry'!$C$11:$C$17,"XXXX",0,1)</f>
        <v>-6.5</v>
      </c>
      <c r="D87" s="11">
        <f>_xlfn.XLOOKUP($A87,'Conical section geometry'!$B$11:$B$17,'Conical section geometry'!$D$11:$D$17,"XXXX",0,1)</f>
        <v>-17.928999999999998</v>
      </c>
      <c r="E87" s="11" cm="1">
        <f t="array" aca="1" ref="E87" ca="1">_xlfn.XLOOKUP($B87,    INDIRECT("'" &amp; $C$3 &amp; "'!$A$20:$A$219"),    _xlfn.XLOOKUP(E$18,INDIRECT("'" &amp; $C$3 &amp; "'!$B$18:$X$18"), INDIRECT("'" &amp; $C$3 &amp; "'!$B$20:$X$219"),"XXXXX",0,1),    "XX",    0,    1)</f>
        <v>8</v>
      </c>
      <c r="F87" s="11" cm="1">
        <f t="array" aca="1" ref="F87" ca="1">_xlfn.XLOOKUP($B87,    INDIRECT("'" &amp; $C$3 &amp; "'!$A$20:$A$219"),    _xlfn.XLOOKUP(F$18,INDIRECT("'" &amp; $C$3 &amp; "'!$B$18:$X$18"), INDIRECT("'" &amp; $C$3 &amp; "'!$B$20:$X$219"),"XXXXX",0,1),    "XX",    0,    1)</f>
        <v>10</v>
      </c>
      <c r="G87" s="11">
        <f>_xlfn.XLOOKUP($A87,'Conical section geometry'!$B$11:$B$17,'Conical section geometry'!$E$11:$E$17,"XXXX",0,1)</f>
        <v>-174.99340000000001</v>
      </c>
      <c r="H87" s="11" cm="1">
        <f t="array" aca="1" ref="H87" ca="1">_xlfn.XLOOKUP($B87,    INDIRECT("'" &amp; $C$3 &amp; "'!$A$20:$A$219"),    _xlfn.XLOOKUP(H$18,INDIRECT("'" &amp; $C$3 &amp; "'!$B$18:$X$18"), INDIRECT("'" &amp; $C$3 &amp; "'!$B$20:$X$219"),"XXXXX",0,1),    "XX",    0,    1)</f>
        <v>-36</v>
      </c>
      <c r="I87" s="11" cm="1">
        <f t="array" aca="1" ref="I87" ca="1">_xlfn.XLOOKUP($B87,    INDIRECT("'" &amp; $C$3 &amp; "'!$A$20:$A$219"),    _xlfn.XLOOKUP(I$18,INDIRECT("'" &amp; $C$3 &amp; "'!$B$18:$X$18"), INDIRECT("'" &amp; $C$3 &amp; "'!$B$20:$X$219"),"XXXXX",0,1),    "XX",    0,    1)</f>
        <v>91.3</v>
      </c>
      <c r="J87" s="11">
        <f t="shared" si="16"/>
        <v>31.9</v>
      </c>
      <c r="K87" s="11">
        <f t="shared" si="17"/>
        <v>11.428999999999998</v>
      </c>
      <c r="L87" s="11">
        <f t="shared" si="18"/>
        <v>43.328999999999994</v>
      </c>
      <c r="M87" s="11" cm="1">
        <f t="array" aca="1" ref="M87" ca="1">_xlfn.XLOOKUP($B87,    INDIRECT("'" &amp; $C$3 &amp; "'!$A$20:$A$219"),    _xlfn.XLOOKUP(M$18,INDIRECT("'" &amp; $C$3 &amp; "'!$B$18:$X$18"), INDIRECT("'" &amp; $C$3 &amp; "'!$B$20:$X$219"),"XXXXX",0,1),    "XX",    0,    1)</f>
        <v>29.9</v>
      </c>
      <c r="N87" s="11">
        <f t="shared" ca="1" si="19"/>
        <v>23.4</v>
      </c>
      <c r="O87" s="4">
        <f t="shared" ca="1" si="20"/>
        <v>11.971000000000004</v>
      </c>
      <c r="P87" s="11">
        <v>18.256948890643891</v>
      </c>
      <c r="Q87" s="11">
        <f t="shared" ca="1" si="21"/>
        <v>37.043051109356107</v>
      </c>
      <c r="R87" s="11" t="str">
        <f t="shared" ca="1" si="22"/>
        <v>conical</v>
      </c>
      <c r="S87" s="13">
        <f t="shared" ca="1" si="23"/>
        <v>8.8999999999999968</v>
      </c>
      <c r="T87" s="13"/>
    </row>
    <row r="88" spans="1:20" x14ac:dyDescent="0.2">
      <c r="A88" s="11" t="s">
        <v>3</v>
      </c>
      <c r="B88" s="11" t="s">
        <v>19</v>
      </c>
      <c r="C88" s="11">
        <f>_xlfn.XLOOKUP($A88,'Conical section geometry'!$B$11:$B$17,'Conical section geometry'!$C$11:$C$17,"XXXX",0,1)</f>
        <v>-6.5</v>
      </c>
      <c r="D88" s="11">
        <f>_xlfn.XLOOKUP($A88,'Conical section geometry'!$B$11:$B$17,'Conical section geometry'!$D$11:$D$17,"XXXX",0,1)</f>
        <v>-17.928999999999998</v>
      </c>
      <c r="E88" s="11" cm="1">
        <f t="array" aca="1" ref="E88" ca="1">_xlfn.XLOOKUP($B88,    INDIRECT("'" &amp; $C$3 &amp; "'!$A$20:$A$219"),    _xlfn.XLOOKUP(E$18,INDIRECT("'" &amp; $C$3 &amp; "'!$B$18:$X$18"), INDIRECT("'" &amp; $C$3 &amp; "'!$B$20:$X$219"),"XXXXX",0,1),    "XX",    0,    1)</f>
        <v>8</v>
      </c>
      <c r="F88" s="11" cm="1">
        <f t="array" aca="1" ref="F88" ca="1">_xlfn.XLOOKUP($B88,    INDIRECT("'" &amp; $C$3 &amp; "'!$A$20:$A$219"),    _xlfn.XLOOKUP(F$18,INDIRECT("'" &amp; $C$3 &amp; "'!$B$18:$X$18"), INDIRECT("'" &amp; $C$3 &amp; "'!$B$20:$X$219"),"XXXXX",0,1),    "XX",    0,    1)</f>
        <v>10</v>
      </c>
      <c r="G88" s="11">
        <f>_xlfn.XLOOKUP($A88,'Conical section geometry'!$B$11:$B$17,'Conical section geometry'!$E$11:$E$17,"XXXX",0,1)</f>
        <v>-174.99340000000001</v>
      </c>
      <c r="H88" s="11" cm="1">
        <f t="array" aca="1" ref="H88" ca="1">_xlfn.XLOOKUP($B88,    INDIRECT("'" &amp; $C$3 &amp; "'!$A$20:$A$219"),    _xlfn.XLOOKUP(H$18,INDIRECT("'" &amp; $C$3 &amp; "'!$B$18:$X$18"), INDIRECT("'" &amp; $C$3 &amp; "'!$B$20:$X$219"),"XXXXX",0,1),    "XX",    0,    1)</f>
        <v>-37.9</v>
      </c>
      <c r="I88" s="11" cm="1">
        <f t="array" aca="1" ref="I88" ca="1">_xlfn.XLOOKUP($B88,    INDIRECT("'" &amp; $C$3 &amp; "'!$A$20:$A$219"),    _xlfn.XLOOKUP(I$18,INDIRECT("'" &amp; $C$3 &amp; "'!$B$18:$X$18"), INDIRECT("'" &amp; $C$3 &amp; "'!$B$20:$X$219"),"XXXXX",0,1),    "XX",    0,    1)</f>
        <v>93.2</v>
      </c>
      <c r="J88" s="11">
        <f t="shared" si="16"/>
        <v>31.9</v>
      </c>
      <c r="K88" s="11">
        <f t="shared" si="17"/>
        <v>11.428999999999998</v>
      </c>
      <c r="L88" s="11">
        <f t="shared" si="18"/>
        <v>43.328999999999994</v>
      </c>
      <c r="M88" s="11" cm="1">
        <f t="array" aca="1" ref="M88" ca="1">_xlfn.XLOOKUP($B88,    INDIRECT("'" &amp; $C$3 &amp; "'!$A$20:$A$219"),    _xlfn.XLOOKUP(M$18,INDIRECT("'" &amp; $C$3 &amp; "'!$B$18:$X$18"), INDIRECT("'" &amp; $C$3 &amp; "'!$B$20:$X$219"),"XXXXX",0,1),    "XX",    0,    1)</f>
        <v>29.9</v>
      </c>
      <c r="N88" s="11">
        <f t="shared" ca="1" si="19"/>
        <v>23.400000000000006</v>
      </c>
      <c r="O88" s="4">
        <f t="shared" ca="1" si="20"/>
        <v>11.971000000000011</v>
      </c>
      <c r="P88" s="11">
        <v>18.256948890643873</v>
      </c>
      <c r="Q88" s="11">
        <f t="shared" ca="1" si="21"/>
        <v>37.043051109356128</v>
      </c>
      <c r="R88" s="11" t="str">
        <f t="shared" ca="1" si="22"/>
        <v>conical</v>
      </c>
      <c r="S88" s="13">
        <f t="shared" ca="1" si="23"/>
        <v>8.9</v>
      </c>
      <c r="T88" s="13"/>
    </row>
    <row r="89" spans="1:20" x14ac:dyDescent="0.2">
      <c r="A89" s="11" t="s">
        <v>3</v>
      </c>
      <c r="B89" s="11" t="s">
        <v>118</v>
      </c>
      <c r="C89" s="11">
        <f>_xlfn.XLOOKUP($A89,'Conical section geometry'!$B$11:$B$17,'Conical section geometry'!$C$11:$C$17,"XXXX",0,1)</f>
        <v>-6.5</v>
      </c>
      <c r="D89" s="11">
        <f>_xlfn.XLOOKUP($A89,'Conical section geometry'!$B$11:$B$17,'Conical section geometry'!$D$11:$D$17,"XXXX",0,1)</f>
        <v>-17.928999999999998</v>
      </c>
      <c r="E89" s="11" cm="1">
        <f t="array" aca="1" ref="E89" ca="1">_xlfn.XLOOKUP($B89,    INDIRECT("'" &amp; $C$3 &amp; "'!$A$20:$A$219"),    _xlfn.XLOOKUP(E$18,INDIRECT("'" &amp; $C$3 &amp; "'!$B$18:$X$18"), INDIRECT("'" &amp; $C$3 &amp; "'!$B$20:$X$219"),"XXXXX",0,1),    "XX",    0,    1)</f>
        <v>8</v>
      </c>
      <c r="F89" s="11" cm="1">
        <f t="array" aca="1" ref="F89" ca="1">_xlfn.XLOOKUP($B89,    INDIRECT("'" &amp; $C$3 &amp; "'!$A$20:$A$219"),    _xlfn.XLOOKUP(F$18,INDIRECT("'" &amp; $C$3 &amp; "'!$B$18:$X$18"), INDIRECT("'" &amp; $C$3 &amp; "'!$B$20:$X$219"),"XXXXX",0,1),    "XX",    0,    1)</f>
        <v>10</v>
      </c>
      <c r="G89" s="11">
        <f>_xlfn.XLOOKUP($A89,'Conical section geometry'!$B$11:$B$17,'Conical section geometry'!$E$11:$E$17,"XXXX",0,1)</f>
        <v>-174.99340000000001</v>
      </c>
      <c r="H89" s="11" cm="1">
        <f t="array" aca="1" ref="H89" ca="1">_xlfn.XLOOKUP($B89,    INDIRECT("'" &amp; $C$3 &amp; "'!$A$20:$A$219"),    _xlfn.XLOOKUP(H$18,INDIRECT("'" &amp; $C$3 &amp; "'!$B$18:$X$18"), INDIRECT("'" &amp; $C$3 &amp; "'!$B$20:$X$219"),"XXXXX",0,1),    "XX",    0,    1)</f>
        <v>-31.7</v>
      </c>
      <c r="I89" s="11" cm="1">
        <f t="array" aca="1" ref="I89" ca="1">_xlfn.XLOOKUP($B89,    INDIRECT("'" &amp; $C$3 &amp; "'!$A$20:$A$219"),    _xlfn.XLOOKUP(I$18,INDIRECT("'" &amp; $C$3 &amp; "'!$B$18:$X$18"), INDIRECT("'" &amp; $C$3 &amp; "'!$B$20:$X$219"),"XXXXX",0,1),    "XX",    0,    1)</f>
        <v>87</v>
      </c>
      <c r="J89" s="11">
        <f t="shared" si="16"/>
        <v>31.9</v>
      </c>
      <c r="K89" s="11">
        <f t="shared" si="17"/>
        <v>11.428999999999998</v>
      </c>
      <c r="L89" s="11">
        <f t="shared" si="18"/>
        <v>43.328999999999994</v>
      </c>
      <c r="M89" s="11" cm="1">
        <f t="array" aca="1" ref="M89" ca="1">_xlfn.XLOOKUP($B89,    INDIRECT("'" &amp; $C$3 &amp; "'!$A$20:$A$219"),    _xlfn.XLOOKUP(M$18,INDIRECT("'" &amp; $C$3 &amp; "'!$B$18:$X$18"), INDIRECT("'" &amp; $C$3 &amp; "'!$B$20:$X$219"),"XXXXX",0,1),    "XX",    0,    1)</f>
        <v>29.9</v>
      </c>
      <c r="N89" s="11">
        <f t="shared" ca="1" si="19"/>
        <v>23.400000000000002</v>
      </c>
      <c r="O89" s="4">
        <f t="shared" ca="1" si="20"/>
        <v>11.971000000000007</v>
      </c>
      <c r="P89" s="11">
        <v>18.256948890643869</v>
      </c>
      <c r="Q89" s="11">
        <f t="shared" ca="1" si="21"/>
        <v>37.043051109356128</v>
      </c>
      <c r="R89" s="11" t="str">
        <f t="shared" ca="1" si="22"/>
        <v>conical</v>
      </c>
      <c r="S89" s="13">
        <f t="shared" ca="1" si="23"/>
        <v>8.9</v>
      </c>
      <c r="T89" s="13"/>
    </row>
    <row r="90" spans="1:20" x14ac:dyDescent="0.2">
      <c r="A90" s="11" t="s">
        <v>3</v>
      </c>
      <c r="B90" s="11" t="s">
        <v>132</v>
      </c>
      <c r="C90" s="11">
        <f>_xlfn.XLOOKUP($A90,'Conical section geometry'!$B$11:$B$17,'Conical section geometry'!$C$11:$C$17,"XXXX",0,1)</f>
        <v>-6.5</v>
      </c>
      <c r="D90" s="11">
        <f>_xlfn.XLOOKUP($A90,'Conical section geometry'!$B$11:$B$17,'Conical section geometry'!$D$11:$D$17,"XXXX",0,1)</f>
        <v>-17.928999999999998</v>
      </c>
      <c r="E90" s="11" cm="1">
        <f t="array" aca="1" ref="E90" ca="1">_xlfn.XLOOKUP($B90,    INDIRECT("'" &amp; $C$3 &amp; "'!$A$20:$A$219"),    _xlfn.XLOOKUP(E$18,INDIRECT("'" &amp; $C$3 &amp; "'!$B$18:$X$18"), INDIRECT("'" &amp; $C$3 &amp; "'!$B$20:$X$219"),"XXXXX",0,1),    "XX",    0,    1)</f>
        <v>8</v>
      </c>
      <c r="F90" s="11" cm="1">
        <f t="array" aca="1" ref="F90" ca="1">_xlfn.XLOOKUP($B90,    INDIRECT("'" &amp; $C$3 &amp; "'!$A$20:$A$219"),    _xlfn.XLOOKUP(F$18,INDIRECT("'" &amp; $C$3 &amp; "'!$B$18:$X$18"), INDIRECT("'" &amp; $C$3 &amp; "'!$B$20:$X$219"),"XXXXX",0,1),    "XX",    0,    1)</f>
        <v>10</v>
      </c>
      <c r="G90" s="11">
        <f>_xlfn.XLOOKUP($A90,'Conical section geometry'!$B$11:$B$17,'Conical section geometry'!$E$11:$E$17,"XXXX",0,1)</f>
        <v>-174.99340000000001</v>
      </c>
      <c r="H90" s="11" cm="1">
        <f t="array" aca="1" ref="H90" ca="1">_xlfn.XLOOKUP($B90,    INDIRECT("'" &amp; $C$3 &amp; "'!$A$20:$A$219"),    _xlfn.XLOOKUP(H$18,INDIRECT("'" &amp; $C$3 &amp; "'!$B$18:$X$18"), INDIRECT("'" &amp; $C$3 &amp; "'!$B$20:$X$219"),"XXXXX",0,1),    "XX",    0,    1)</f>
        <v>-30.3</v>
      </c>
      <c r="I90" s="11" cm="1">
        <f t="array" aca="1" ref="I90" ca="1">_xlfn.XLOOKUP($B90,    INDIRECT("'" &amp; $C$3 &amp; "'!$A$20:$A$219"),    _xlfn.XLOOKUP(I$18,INDIRECT("'" &amp; $C$3 &amp; "'!$B$18:$X$18"), INDIRECT("'" &amp; $C$3 &amp; "'!$B$20:$X$219"),"XXXXX",0,1),    "XX",    0,    1)</f>
        <v>85.6</v>
      </c>
      <c r="J90" s="11">
        <f t="shared" si="16"/>
        <v>31.9</v>
      </c>
      <c r="K90" s="11">
        <f t="shared" si="17"/>
        <v>11.428999999999998</v>
      </c>
      <c r="L90" s="11">
        <f t="shared" si="18"/>
        <v>43.328999999999994</v>
      </c>
      <c r="M90" s="11" cm="1">
        <f t="array" aca="1" ref="M90" ca="1">_xlfn.XLOOKUP($B90,    INDIRECT("'" &amp; $C$3 &amp; "'!$A$20:$A$219"),    _xlfn.XLOOKUP(M$18,INDIRECT("'" &amp; $C$3 &amp; "'!$B$18:$X$18"), INDIRECT("'" &amp; $C$3 &amp; "'!$B$20:$X$219"),"XXXXX",0,1),    "XX",    0,    1)</f>
        <v>29.9</v>
      </c>
      <c r="N90" s="11">
        <f t="shared" ca="1" si="19"/>
        <v>23.399999999999995</v>
      </c>
      <c r="O90" s="4">
        <f t="shared" ca="1" si="20"/>
        <v>11.971</v>
      </c>
      <c r="P90" s="11">
        <v>18.256948890643855</v>
      </c>
      <c r="Q90" s="11">
        <f t="shared" ca="1" si="21"/>
        <v>37.043051109356142</v>
      </c>
      <c r="R90" s="11" t="str">
        <f t="shared" ca="1" si="22"/>
        <v>conical</v>
      </c>
      <c r="S90" s="13">
        <f t="shared" ca="1" si="23"/>
        <v>8.9000000000000039</v>
      </c>
      <c r="T90" s="13"/>
    </row>
    <row r="91" spans="1:20" x14ac:dyDescent="0.2">
      <c r="A91" s="11" t="s">
        <v>4</v>
      </c>
      <c r="B91" s="11" t="s">
        <v>177</v>
      </c>
      <c r="C91" s="11">
        <f>_xlfn.XLOOKUP($A91,'Conical section geometry'!$B$11:$B$17,'Conical section geometry'!$C$11:$C$17,"XXXX",0,1)</f>
        <v>-6.5</v>
      </c>
      <c r="D91" s="11">
        <f>_xlfn.XLOOKUP($A91,'Conical section geometry'!$B$11:$B$17,'Conical section geometry'!$D$11:$D$17,"XXXX",0,1)</f>
        <v>-20.786000000000001</v>
      </c>
      <c r="E91" s="11" cm="1">
        <f t="array" aca="1" ref="E91" ca="1">_xlfn.XLOOKUP($B91,    INDIRECT("'" &amp; $C$3 &amp; "'!$A$20:$A$219"),    _xlfn.XLOOKUP(E$18,INDIRECT("'" &amp; $C$3 &amp; "'!$B$18:$X$18"), INDIRECT("'" &amp; $C$3 &amp; "'!$B$20:$X$219"),"XXXXX",0,1),    "XX",    0,    1)</f>
        <v>8</v>
      </c>
      <c r="F91" s="11" cm="1">
        <f t="array" aca="1" ref="F91" ca="1">_xlfn.XLOOKUP($B91,    INDIRECT("'" &amp; $C$3 &amp; "'!$A$20:$A$219"),    _xlfn.XLOOKUP(F$18,INDIRECT("'" &amp; $C$3 &amp; "'!$B$18:$X$18"), INDIRECT("'" &amp; $C$3 &amp; "'!$B$20:$X$219"),"XXXXX",0,1),    "XX",    0,    1)</f>
        <v>10.5</v>
      </c>
      <c r="G91" s="11">
        <f>_xlfn.XLOOKUP($A91,'Conical section geometry'!$B$11:$B$17,'Conical section geometry'!$E$11:$E$17,"XXXX",0,1)</f>
        <v>-174.996500069999</v>
      </c>
      <c r="H91" s="11" cm="1">
        <f t="array" aca="1" ref="H91" ca="1">_xlfn.XLOOKUP($B91,    INDIRECT("'" &amp; $C$3 &amp; "'!$A$20:$A$219"),    _xlfn.XLOOKUP(H$18,INDIRECT("'" &amp; $C$3 &amp; "'!$B$18:$X$18"), INDIRECT("'" &amp; $C$3 &amp; "'!$B$20:$X$219"),"XXXXX",0,1),    "XX",    0,    1)</f>
        <v>-38.799999999999997</v>
      </c>
      <c r="I91" s="11" cm="1">
        <f t="array" aca="1" ref="I91" ca="1">_xlfn.XLOOKUP($B91,    INDIRECT("'" &amp; $C$3 &amp; "'!$A$20:$A$219"),    _xlfn.XLOOKUP(I$18,INDIRECT("'" &amp; $C$3 &amp; "'!$B$18:$X$18"), INDIRECT("'" &amp; $C$3 &amp; "'!$B$20:$X$219"),"XXXXX",0,1),    "XX",    0,    1)</f>
        <v>94</v>
      </c>
      <c r="J91" s="11">
        <f t="shared" si="16"/>
        <v>31.9</v>
      </c>
      <c r="K91" s="11">
        <f t="shared" si="17"/>
        <v>14.286000000000001</v>
      </c>
      <c r="L91" s="11">
        <f t="shared" si="18"/>
        <v>46.186</v>
      </c>
      <c r="M91" s="11" cm="1">
        <f t="array" aca="1" ref="M91" ca="1">_xlfn.XLOOKUP($B91,    INDIRECT("'" &amp; $C$3 &amp; "'!$A$20:$A$219"),    _xlfn.XLOOKUP(M$18,INDIRECT("'" &amp; $C$3 &amp; "'!$B$18:$X$18"), INDIRECT("'" &amp; $C$3 &amp; "'!$B$20:$X$219"),"XXXXX",0,1),    "XX",    0,    1)</f>
        <v>29.8</v>
      </c>
      <c r="N91" s="11">
        <f t="shared" ca="1" si="19"/>
        <v>23.300000000000004</v>
      </c>
      <c r="O91" s="4">
        <f t="shared" ca="1" si="20"/>
        <v>9.0140000000000029</v>
      </c>
      <c r="P91" s="11">
        <v>18.157040000000013</v>
      </c>
      <c r="Q91" s="11">
        <f t="shared" ca="1" si="21"/>
        <v>37.042959999999994</v>
      </c>
      <c r="R91" s="11" t="str">
        <f t="shared" ca="1" si="22"/>
        <v>conical</v>
      </c>
      <c r="S91" s="13">
        <f t="shared" ca="1" si="23"/>
        <v>8.9000000000000021</v>
      </c>
      <c r="T91" s="13"/>
    </row>
    <row r="92" spans="1:20" x14ac:dyDescent="0.2">
      <c r="A92" s="11" t="s">
        <v>3</v>
      </c>
      <c r="B92" s="11" t="s">
        <v>143</v>
      </c>
      <c r="C92" s="11">
        <f>_xlfn.XLOOKUP($A92,'Conical section geometry'!$B$11:$B$17,'Conical section geometry'!$C$11:$C$17,"XXXX",0,1)</f>
        <v>-6.5</v>
      </c>
      <c r="D92" s="11">
        <f>_xlfn.XLOOKUP($A92,'Conical section geometry'!$B$11:$B$17,'Conical section geometry'!$D$11:$D$17,"XXXX",0,1)</f>
        <v>-17.928999999999998</v>
      </c>
      <c r="E92" s="11" cm="1">
        <f t="array" aca="1" ref="E92" ca="1">_xlfn.XLOOKUP($B92,    INDIRECT("'" &amp; $C$3 &amp; "'!$A$20:$A$219"),    _xlfn.XLOOKUP(E$18,INDIRECT("'" &amp; $C$3 &amp; "'!$B$18:$X$18"), INDIRECT("'" &amp; $C$3 &amp; "'!$B$20:$X$219"),"XXXXX",0,1),    "XX",    0,    1)</f>
        <v>8</v>
      </c>
      <c r="F92" s="11" cm="1">
        <f t="array" aca="1" ref="F92" ca="1">_xlfn.XLOOKUP($B92,    INDIRECT("'" &amp; $C$3 &amp; "'!$A$20:$A$219"),    _xlfn.XLOOKUP(F$18,INDIRECT("'" &amp; $C$3 &amp; "'!$B$18:$X$18"), INDIRECT("'" &amp; $C$3 &amp; "'!$B$20:$X$219"),"XXXXX",0,1),    "XX",    0,    1)</f>
        <v>10</v>
      </c>
      <c r="G92" s="11">
        <f>_xlfn.XLOOKUP($A92,'Conical section geometry'!$B$11:$B$17,'Conical section geometry'!$E$11:$E$17,"XXXX",0,1)</f>
        <v>-174.99340000000001</v>
      </c>
      <c r="H92" s="11" cm="1">
        <f t="array" aca="1" ref="H92" ca="1">_xlfn.XLOOKUP($B92,    INDIRECT("'" &amp; $C$3 &amp; "'!$A$20:$A$219"),    _xlfn.XLOOKUP(H$18,INDIRECT("'" &amp; $C$3 &amp; "'!$B$18:$X$18"), INDIRECT("'" &amp; $C$3 &amp; "'!$B$20:$X$219"),"XXXXX",0,1),    "XX",    0,    1)</f>
        <v>-30</v>
      </c>
      <c r="I92" s="11" cm="1">
        <f t="array" aca="1" ref="I92" ca="1">_xlfn.XLOOKUP($B92,    INDIRECT("'" &amp; $C$3 &amp; "'!$A$20:$A$219"),    _xlfn.XLOOKUP(I$18,INDIRECT("'" &amp; $C$3 &amp; "'!$B$18:$X$18"), INDIRECT("'" &amp; $C$3 &amp; "'!$B$20:$X$219"),"XXXXX",0,1),    "XX",    0,    1)</f>
        <v>85.2</v>
      </c>
      <c r="J92" s="11">
        <f t="shared" si="16"/>
        <v>31.9</v>
      </c>
      <c r="K92" s="11">
        <f t="shared" si="17"/>
        <v>11.428999999999998</v>
      </c>
      <c r="L92" s="11">
        <f t="shared" si="18"/>
        <v>43.328999999999994</v>
      </c>
      <c r="M92" s="11" cm="1">
        <f t="array" aca="1" ref="M92" ca="1">_xlfn.XLOOKUP($B92,    INDIRECT("'" &amp; $C$3 &amp; "'!$A$20:$A$219"),    _xlfn.XLOOKUP(M$18,INDIRECT("'" &amp; $C$3 &amp; "'!$B$18:$X$18"), INDIRECT("'" &amp; $C$3 &amp; "'!$B$20:$X$219"),"XXXXX",0,1),    "XX",    0,    1)</f>
        <v>29.8</v>
      </c>
      <c r="N92" s="11">
        <f t="shared" ca="1" si="19"/>
        <v>23.300000000000004</v>
      </c>
      <c r="O92" s="4">
        <f t="shared" ca="1" si="20"/>
        <v>11.871000000000009</v>
      </c>
      <c r="P92" s="11">
        <v>18.15694889064391</v>
      </c>
      <c r="Q92" s="11">
        <f t="shared" ca="1" si="21"/>
        <v>37.043051109356092</v>
      </c>
      <c r="R92" s="11" t="str">
        <f t="shared" ca="1" si="22"/>
        <v>conical</v>
      </c>
      <c r="S92" s="13">
        <f t="shared" ca="1" si="23"/>
        <v>8.899999999999995</v>
      </c>
      <c r="T92" s="13"/>
    </row>
    <row r="93" spans="1:20" x14ac:dyDescent="0.2">
      <c r="A93" s="11" t="s">
        <v>3</v>
      </c>
      <c r="B93" s="11" t="s">
        <v>25</v>
      </c>
      <c r="C93" s="11">
        <f>_xlfn.XLOOKUP($A93,'Conical section geometry'!$B$11:$B$17,'Conical section geometry'!$C$11:$C$17,"XXXX",0,1)</f>
        <v>-6.5</v>
      </c>
      <c r="D93" s="11">
        <f>_xlfn.XLOOKUP($A93,'Conical section geometry'!$B$11:$B$17,'Conical section geometry'!$D$11:$D$17,"XXXX",0,1)</f>
        <v>-17.928999999999998</v>
      </c>
      <c r="E93" s="11" cm="1">
        <f t="array" aca="1" ref="E93" ca="1">_xlfn.XLOOKUP($B93,    INDIRECT("'" &amp; $C$3 &amp; "'!$A$20:$A$219"),    _xlfn.XLOOKUP(E$18,INDIRECT("'" &amp; $C$3 &amp; "'!$B$18:$X$18"), INDIRECT("'" &amp; $C$3 &amp; "'!$B$20:$X$219"),"XXXXX",0,1),    "XX",    0,    1)</f>
        <v>8</v>
      </c>
      <c r="F93" s="11" cm="1">
        <f t="array" aca="1" ref="F93" ca="1">_xlfn.XLOOKUP($B93,    INDIRECT("'" &amp; $C$3 &amp; "'!$A$20:$A$219"),    _xlfn.XLOOKUP(F$18,INDIRECT("'" &amp; $C$3 &amp; "'!$B$18:$X$18"), INDIRECT("'" &amp; $C$3 &amp; "'!$B$20:$X$219"),"XXXXX",0,1),    "XX",    0,    1)</f>
        <v>10</v>
      </c>
      <c r="G93" s="11">
        <f>_xlfn.XLOOKUP($A93,'Conical section geometry'!$B$11:$B$17,'Conical section geometry'!$E$11:$E$17,"XXXX",0,1)</f>
        <v>-174.99340000000001</v>
      </c>
      <c r="H93" s="11" cm="1">
        <f t="array" aca="1" ref="H93" ca="1">_xlfn.XLOOKUP($B93,    INDIRECT("'" &amp; $C$3 &amp; "'!$A$20:$A$219"),    _xlfn.XLOOKUP(H$18,INDIRECT("'" &amp; $C$3 &amp; "'!$B$18:$X$18"), INDIRECT("'" &amp; $C$3 &amp; "'!$B$20:$X$219"),"XXXXX",0,1),    "XX",    0,    1)</f>
        <v>-36.9</v>
      </c>
      <c r="I93" s="11" cm="1">
        <f t="array" aca="1" ref="I93" ca="1">_xlfn.XLOOKUP($B93,    INDIRECT("'" &amp; $C$3 &amp; "'!$A$20:$A$219"),    _xlfn.XLOOKUP(I$18,INDIRECT("'" &amp; $C$3 &amp; "'!$B$18:$X$18"), INDIRECT("'" &amp; $C$3 &amp; "'!$B$20:$X$219"),"XXXXX",0,1),    "XX",    0,    1)</f>
        <v>92.1</v>
      </c>
      <c r="J93" s="11">
        <f t="shared" si="16"/>
        <v>31.9</v>
      </c>
      <c r="K93" s="11">
        <f t="shared" si="17"/>
        <v>11.428999999999998</v>
      </c>
      <c r="L93" s="11">
        <f t="shared" si="18"/>
        <v>43.328999999999994</v>
      </c>
      <c r="M93" s="11" cm="1">
        <f t="array" aca="1" ref="M93" ca="1">_xlfn.XLOOKUP($B93,    INDIRECT("'" &amp; $C$3 &amp; "'!$A$20:$A$219"),    _xlfn.XLOOKUP(M$18,INDIRECT("'" &amp; $C$3 &amp; "'!$B$18:$X$18"), INDIRECT("'" &amp; $C$3 &amp; "'!$B$20:$X$219"),"XXXXX",0,1),    "XX",    0,    1)</f>
        <v>29.8</v>
      </c>
      <c r="N93" s="11">
        <f t="shared" ca="1" si="19"/>
        <v>23.299999999999997</v>
      </c>
      <c r="O93" s="4">
        <f t="shared" ca="1" si="20"/>
        <v>11.871000000000002</v>
      </c>
      <c r="P93" s="11">
        <v>18.156948890643879</v>
      </c>
      <c r="Q93" s="11">
        <f t="shared" ca="1" si="21"/>
        <v>37.043051109356114</v>
      </c>
      <c r="R93" s="11" t="str">
        <f t="shared" ca="1" si="22"/>
        <v>conical</v>
      </c>
      <c r="S93" s="13">
        <f t="shared" ca="1" si="23"/>
        <v>8.8999999999999986</v>
      </c>
      <c r="T93" s="13"/>
    </row>
    <row r="94" spans="1:20" x14ac:dyDescent="0.2">
      <c r="A94" s="11" t="s">
        <v>3</v>
      </c>
      <c r="B94" s="11" t="s">
        <v>84</v>
      </c>
      <c r="C94" s="11">
        <f>_xlfn.XLOOKUP($A94,'Conical section geometry'!$B$11:$B$17,'Conical section geometry'!$C$11:$C$17,"XXXX",0,1)</f>
        <v>-6.5</v>
      </c>
      <c r="D94" s="11">
        <f>_xlfn.XLOOKUP($A94,'Conical section geometry'!$B$11:$B$17,'Conical section geometry'!$D$11:$D$17,"XXXX",0,1)</f>
        <v>-17.928999999999998</v>
      </c>
      <c r="E94" s="11" cm="1">
        <f t="array" aca="1" ref="E94" ca="1">_xlfn.XLOOKUP($B94,    INDIRECT("'" &amp; $C$3 &amp; "'!$A$20:$A$219"),    _xlfn.XLOOKUP(E$18,INDIRECT("'" &amp; $C$3 &amp; "'!$B$18:$X$18"), INDIRECT("'" &amp; $C$3 &amp; "'!$B$20:$X$219"),"XXXXX",0,1),    "XX",    0,    1)</f>
        <v>8</v>
      </c>
      <c r="F94" s="11" cm="1">
        <f t="array" aca="1" ref="F94" ca="1">_xlfn.XLOOKUP($B94,    INDIRECT("'" &amp; $C$3 &amp; "'!$A$20:$A$219"),    _xlfn.XLOOKUP(F$18,INDIRECT("'" &amp; $C$3 &amp; "'!$B$18:$X$18"), INDIRECT("'" &amp; $C$3 &amp; "'!$B$20:$X$219"),"XXXXX",0,1),    "XX",    0,    1)</f>
        <v>10</v>
      </c>
      <c r="G94" s="11">
        <f>_xlfn.XLOOKUP($A94,'Conical section geometry'!$B$11:$B$17,'Conical section geometry'!$E$11:$E$17,"XXXX",0,1)</f>
        <v>-174.99340000000001</v>
      </c>
      <c r="H94" s="11" cm="1">
        <f t="array" aca="1" ref="H94" ca="1">_xlfn.XLOOKUP($B94,    INDIRECT("'" &amp; $C$3 &amp; "'!$A$20:$A$219"),    _xlfn.XLOOKUP(H$18,INDIRECT("'" &amp; $C$3 &amp; "'!$B$18:$X$18"), INDIRECT("'" &amp; $C$3 &amp; "'!$B$20:$X$219"),"XXXXX",0,1),    "XX",    0,    1)</f>
        <v>-34.1</v>
      </c>
      <c r="I94" s="11" cm="1">
        <f t="array" aca="1" ref="I94" ca="1">_xlfn.XLOOKUP($B94,    INDIRECT("'" &amp; $C$3 &amp; "'!$A$20:$A$219"),    _xlfn.XLOOKUP(I$18,INDIRECT("'" &amp; $C$3 &amp; "'!$B$18:$X$18"), INDIRECT("'" &amp; $C$3 &amp; "'!$B$20:$X$219"),"XXXXX",0,1),    "XX",    0,    1)</f>
        <v>89.2</v>
      </c>
      <c r="J94" s="11">
        <f t="shared" si="16"/>
        <v>31.9</v>
      </c>
      <c r="K94" s="11">
        <f t="shared" si="17"/>
        <v>11.428999999999998</v>
      </c>
      <c r="L94" s="11">
        <f t="shared" si="18"/>
        <v>43.328999999999994</v>
      </c>
      <c r="M94" s="11" cm="1">
        <f t="array" aca="1" ref="M94" ca="1">_xlfn.XLOOKUP($B94,    INDIRECT("'" &amp; $C$3 &amp; "'!$A$20:$A$219"),    _xlfn.XLOOKUP(M$18,INDIRECT("'" &amp; $C$3 &amp; "'!$B$18:$X$18"), INDIRECT("'" &amp; $C$3 &amp; "'!$B$20:$X$219"),"XXXXX",0,1),    "XX",    0,    1)</f>
        <v>29.7</v>
      </c>
      <c r="N94" s="11">
        <f t="shared" ca="1" si="19"/>
        <v>23.200000000000003</v>
      </c>
      <c r="O94" s="4">
        <f t="shared" ca="1" si="20"/>
        <v>11.771000000000008</v>
      </c>
      <c r="P94" s="11">
        <v>18.056948890643877</v>
      </c>
      <c r="Q94" s="11">
        <f t="shared" ca="1" si="21"/>
        <v>37.043051109356128</v>
      </c>
      <c r="R94" s="11" t="str">
        <f t="shared" ca="1" si="22"/>
        <v>conical</v>
      </c>
      <c r="S94" s="13">
        <f t="shared" ca="1" si="23"/>
        <v>8.9</v>
      </c>
      <c r="T94" s="13"/>
    </row>
    <row r="95" spans="1:20" x14ac:dyDescent="0.2">
      <c r="A95" s="11" t="s">
        <v>3</v>
      </c>
      <c r="B95" s="11" t="s">
        <v>34</v>
      </c>
      <c r="C95" s="11">
        <f>_xlfn.XLOOKUP($A95,'Conical section geometry'!$B$11:$B$17,'Conical section geometry'!$C$11:$C$17,"XXXX",0,1)</f>
        <v>-6.5</v>
      </c>
      <c r="D95" s="11">
        <f>_xlfn.XLOOKUP($A95,'Conical section geometry'!$B$11:$B$17,'Conical section geometry'!$D$11:$D$17,"XXXX",0,1)</f>
        <v>-17.928999999999998</v>
      </c>
      <c r="E95" s="11" cm="1">
        <f t="array" aca="1" ref="E95" ca="1">_xlfn.XLOOKUP($B95,    INDIRECT("'" &amp; $C$3 &amp; "'!$A$20:$A$219"),    _xlfn.XLOOKUP(E$18,INDIRECT("'" &amp; $C$3 &amp; "'!$B$18:$X$18"), INDIRECT("'" &amp; $C$3 &amp; "'!$B$20:$X$219"),"XXXXX",0,1),    "XX",    0,    1)</f>
        <v>8</v>
      </c>
      <c r="F95" s="11" cm="1">
        <f t="array" aca="1" ref="F95" ca="1">_xlfn.XLOOKUP($B95,    INDIRECT("'" &amp; $C$3 &amp; "'!$A$20:$A$219"),    _xlfn.XLOOKUP(F$18,INDIRECT("'" &amp; $C$3 &amp; "'!$B$18:$X$18"), INDIRECT("'" &amp; $C$3 &amp; "'!$B$20:$X$219"),"XXXXX",0,1),    "XX",    0,    1)</f>
        <v>10</v>
      </c>
      <c r="G95" s="11">
        <f>_xlfn.XLOOKUP($A95,'Conical section geometry'!$B$11:$B$17,'Conical section geometry'!$E$11:$E$17,"XXXX",0,1)</f>
        <v>-174.99340000000001</v>
      </c>
      <c r="H95" s="11" cm="1">
        <f t="array" aca="1" ref="H95" ca="1">_xlfn.XLOOKUP($B95,    INDIRECT("'" &amp; $C$3 &amp; "'!$A$20:$A$219"),    _xlfn.XLOOKUP(H$18,INDIRECT("'" &amp; $C$3 &amp; "'!$B$18:$X$18"), INDIRECT("'" &amp; $C$3 &amp; "'!$B$20:$X$219"),"XXXXX",0,1),    "XX",    0,    1)</f>
        <v>-36.700000000000003</v>
      </c>
      <c r="I95" s="11" cm="1">
        <f t="array" aca="1" ref="I95" ca="1">_xlfn.XLOOKUP($B95,    INDIRECT("'" &amp; $C$3 &amp; "'!$A$20:$A$219"),    _xlfn.XLOOKUP(I$18,INDIRECT("'" &amp; $C$3 &amp; "'!$B$18:$X$18"), INDIRECT("'" &amp; $C$3 &amp; "'!$B$20:$X$219"),"XXXXX",0,1),    "XX",    0,    1)</f>
        <v>91.8</v>
      </c>
      <c r="J95" s="11">
        <f t="shared" si="16"/>
        <v>31.9</v>
      </c>
      <c r="K95" s="11">
        <f t="shared" si="17"/>
        <v>11.428999999999998</v>
      </c>
      <c r="L95" s="11">
        <f t="shared" si="18"/>
        <v>43.328999999999994</v>
      </c>
      <c r="M95" s="11" cm="1">
        <f t="array" aca="1" ref="M95" ca="1">_xlfn.XLOOKUP($B95,    INDIRECT("'" &amp; $C$3 &amp; "'!$A$20:$A$219"),    _xlfn.XLOOKUP(M$18,INDIRECT("'" &amp; $C$3 &amp; "'!$B$18:$X$18"), INDIRECT("'" &amp; $C$3 &amp; "'!$B$20:$X$219"),"XXXXX",0,1),    "XX",    0,    1)</f>
        <v>29.7</v>
      </c>
      <c r="N95" s="11">
        <f t="shared" ca="1" si="19"/>
        <v>23.199999999999996</v>
      </c>
      <c r="O95" s="4">
        <f t="shared" ca="1" si="20"/>
        <v>11.771000000000001</v>
      </c>
      <c r="P95" s="11">
        <v>18.05694889064387</v>
      </c>
      <c r="Q95" s="11">
        <f t="shared" ca="1" si="21"/>
        <v>37.043051109356128</v>
      </c>
      <c r="R95" s="11" t="str">
        <f t="shared" ca="1" si="22"/>
        <v>conical</v>
      </c>
      <c r="S95" s="13">
        <f t="shared" ca="1" si="23"/>
        <v>8.9</v>
      </c>
      <c r="T95" s="13"/>
    </row>
    <row r="96" spans="1:20" x14ac:dyDescent="0.2">
      <c r="A96" s="11" t="s">
        <v>3</v>
      </c>
      <c r="B96" s="11" t="s">
        <v>39</v>
      </c>
      <c r="C96" s="11">
        <f>_xlfn.XLOOKUP($A96,'Conical section geometry'!$B$11:$B$17,'Conical section geometry'!$C$11:$C$17,"XXXX",0,1)</f>
        <v>-6.5</v>
      </c>
      <c r="D96" s="11">
        <f>_xlfn.XLOOKUP($A96,'Conical section geometry'!$B$11:$B$17,'Conical section geometry'!$D$11:$D$17,"XXXX",0,1)</f>
        <v>-17.928999999999998</v>
      </c>
      <c r="E96" s="11" cm="1">
        <f t="array" aca="1" ref="E96" ca="1">_xlfn.XLOOKUP($B96,    INDIRECT("'" &amp; $C$3 &amp; "'!$A$20:$A$219"),    _xlfn.XLOOKUP(E$18,INDIRECT("'" &amp; $C$3 &amp; "'!$B$18:$X$18"), INDIRECT("'" &amp; $C$3 &amp; "'!$B$20:$X$219"),"XXXXX",0,1),    "XX",    0,    1)</f>
        <v>8</v>
      </c>
      <c r="F96" s="11" cm="1">
        <f t="array" aca="1" ref="F96" ca="1">_xlfn.XLOOKUP($B96,    INDIRECT("'" &amp; $C$3 &amp; "'!$A$20:$A$219"),    _xlfn.XLOOKUP(F$18,INDIRECT("'" &amp; $C$3 &amp; "'!$B$18:$X$18"), INDIRECT("'" &amp; $C$3 &amp; "'!$B$20:$X$219"),"XXXXX",0,1),    "XX",    0,    1)</f>
        <v>10</v>
      </c>
      <c r="G96" s="11">
        <f>_xlfn.XLOOKUP($A96,'Conical section geometry'!$B$11:$B$17,'Conical section geometry'!$E$11:$E$17,"XXXX",0,1)</f>
        <v>-174.99340000000001</v>
      </c>
      <c r="H96" s="11" cm="1">
        <f t="array" aca="1" ref="H96" ca="1">_xlfn.XLOOKUP($B96,    INDIRECT("'" &amp; $C$3 &amp; "'!$A$20:$A$219"),    _xlfn.XLOOKUP(H$18,INDIRECT("'" &amp; $C$3 &amp; "'!$B$18:$X$18"), INDIRECT("'" &amp; $C$3 &amp; "'!$B$20:$X$219"),"XXXXX",0,1),    "XX",    0,    1)</f>
        <v>-36.299999999999997</v>
      </c>
      <c r="I96" s="11" cm="1">
        <f t="array" aca="1" ref="I96" ca="1">_xlfn.XLOOKUP($B96,    INDIRECT("'" &amp; $C$3 &amp; "'!$A$20:$A$219"),    _xlfn.XLOOKUP(I$18,INDIRECT("'" &amp; $C$3 &amp; "'!$B$18:$X$18"), INDIRECT("'" &amp; $C$3 &amp; "'!$B$20:$X$219"),"XXXXX",0,1),    "XX",    0,    1)</f>
        <v>91.3</v>
      </c>
      <c r="J96" s="11">
        <f t="shared" si="16"/>
        <v>31.9</v>
      </c>
      <c r="K96" s="11">
        <f t="shared" si="17"/>
        <v>11.428999999999998</v>
      </c>
      <c r="L96" s="11">
        <f t="shared" si="18"/>
        <v>43.328999999999994</v>
      </c>
      <c r="M96" s="11" cm="1">
        <f t="array" aca="1" ref="M96" ca="1">_xlfn.XLOOKUP($B96,    INDIRECT("'" &amp; $C$3 &amp; "'!$A$20:$A$219"),    _xlfn.XLOOKUP(M$18,INDIRECT("'" &amp; $C$3 &amp; "'!$B$18:$X$18"), INDIRECT("'" &amp; $C$3 &amp; "'!$B$20:$X$219"),"XXXXX",0,1),    "XX",    0,    1)</f>
        <v>29.6</v>
      </c>
      <c r="N96" s="11">
        <f t="shared" ca="1" si="19"/>
        <v>23.1</v>
      </c>
      <c r="O96" s="4">
        <f t="shared" ca="1" si="20"/>
        <v>11.671000000000006</v>
      </c>
      <c r="P96" s="11">
        <v>17.956948890643886</v>
      </c>
      <c r="Q96" s="11">
        <f t="shared" ca="1" si="21"/>
        <v>37.043051109356114</v>
      </c>
      <c r="R96" s="11" t="str">
        <f t="shared" ca="1" si="22"/>
        <v>conical</v>
      </c>
      <c r="S96" s="13">
        <f t="shared" ca="1" si="23"/>
        <v>8.8999999999999986</v>
      </c>
      <c r="T96" s="13"/>
    </row>
    <row r="97" spans="1:20" x14ac:dyDescent="0.2">
      <c r="A97" s="11" t="s">
        <v>3</v>
      </c>
      <c r="B97" s="11" t="s">
        <v>156</v>
      </c>
      <c r="C97" s="11">
        <f>_xlfn.XLOOKUP($A97,'Conical section geometry'!$B$11:$B$17,'Conical section geometry'!$C$11:$C$17,"XXXX",0,1)</f>
        <v>-6.5</v>
      </c>
      <c r="D97" s="11">
        <f>_xlfn.XLOOKUP($A97,'Conical section geometry'!$B$11:$B$17,'Conical section geometry'!$D$11:$D$17,"XXXX",0,1)</f>
        <v>-17.928999999999998</v>
      </c>
      <c r="E97" s="11" cm="1">
        <f t="array" aca="1" ref="E97" ca="1">_xlfn.XLOOKUP($B97,    INDIRECT("'" &amp; $C$3 &amp; "'!$A$20:$A$219"),    _xlfn.XLOOKUP(E$18,INDIRECT("'" &amp; $C$3 &amp; "'!$B$18:$X$18"), INDIRECT("'" &amp; $C$3 &amp; "'!$B$20:$X$219"),"XXXXX",0,1),    "XX",    0,    1)</f>
        <v>8</v>
      </c>
      <c r="F97" s="11" cm="1">
        <f t="array" aca="1" ref="F97" ca="1">_xlfn.XLOOKUP($B97,    INDIRECT("'" &amp; $C$3 &amp; "'!$A$20:$A$219"),    _xlfn.XLOOKUP(F$18,INDIRECT("'" &amp; $C$3 &amp; "'!$B$18:$X$18"), INDIRECT("'" &amp; $C$3 &amp; "'!$B$20:$X$219"),"XXXXX",0,1),    "XX",    0,    1)</f>
        <v>10</v>
      </c>
      <c r="G97" s="11">
        <f>_xlfn.XLOOKUP($A97,'Conical section geometry'!$B$11:$B$17,'Conical section geometry'!$E$11:$E$17,"XXXX",0,1)</f>
        <v>-174.99340000000001</v>
      </c>
      <c r="H97" s="11" cm="1">
        <f t="array" aca="1" ref="H97" ca="1">_xlfn.XLOOKUP($B97,    INDIRECT("'" &amp; $C$3 &amp; "'!$A$20:$A$219"),    _xlfn.XLOOKUP(H$18,INDIRECT("'" &amp; $C$3 &amp; "'!$B$18:$X$18"), INDIRECT("'" &amp; $C$3 &amp; "'!$B$20:$X$219"),"XXXXX",0,1),    "XX",    0,    1)</f>
        <v>-28.8</v>
      </c>
      <c r="I97" s="11" cm="1">
        <f t="array" aca="1" ref="I97" ca="1">_xlfn.XLOOKUP($B97,    INDIRECT("'" &amp; $C$3 &amp; "'!$A$20:$A$219"),    _xlfn.XLOOKUP(I$18,INDIRECT("'" &amp; $C$3 &amp; "'!$B$18:$X$18"), INDIRECT("'" &amp; $C$3 &amp; "'!$B$20:$X$219"),"XXXXX",0,1),    "XX",    0,    1)</f>
        <v>83.8</v>
      </c>
      <c r="J97" s="11">
        <f t="shared" si="16"/>
        <v>31.9</v>
      </c>
      <c r="K97" s="11">
        <f t="shared" si="17"/>
        <v>11.428999999999998</v>
      </c>
      <c r="L97" s="11">
        <f t="shared" si="18"/>
        <v>43.328999999999994</v>
      </c>
      <c r="M97" s="11" cm="1">
        <f t="array" aca="1" ref="M97" ca="1">_xlfn.XLOOKUP($B97,    INDIRECT("'" &amp; $C$3 &amp; "'!$A$20:$A$219"),    _xlfn.XLOOKUP(M$18,INDIRECT("'" &amp; $C$3 &amp; "'!$B$18:$X$18"), INDIRECT("'" &amp; $C$3 &amp; "'!$B$20:$X$219"),"XXXXX",0,1),    "XX",    0,    1)</f>
        <v>29.6</v>
      </c>
      <c r="N97" s="11">
        <f t="shared" ca="1" si="19"/>
        <v>23.099999999999998</v>
      </c>
      <c r="O97" s="4">
        <f t="shared" ca="1" si="20"/>
        <v>11.671000000000003</v>
      </c>
      <c r="P97" s="11">
        <v>17.956948890643883</v>
      </c>
      <c r="Q97" s="11">
        <f t="shared" ca="1" si="21"/>
        <v>37.043051109356114</v>
      </c>
      <c r="R97" s="11" t="str">
        <f t="shared" ca="1" si="22"/>
        <v>conical</v>
      </c>
      <c r="S97" s="13">
        <f t="shared" ca="1" si="23"/>
        <v>8.8999999999999986</v>
      </c>
      <c r="T97" s="13"/>
    </row>
    <row r="98" spans="1:20" x14ac:dyDescent="0.2">
      <c r="A98" s="11" t="s">
        <v>3</v>
      </c>
      <c r="B98" s="11" t="s">
        <v>138</v>
      </c>
      <c r="C98" s="11">
        <f>_xlfn.XLOOKUP($A98,'Conical section geometry'!$B$11:$B$17,'Conical section geometry'!$C$11:$C$17,"XXXX",0,1)</f>
        <v>-6.5</v>
      </c>
      <c r="D98" s="11">
        <f>_xlfn.XLOOKUP($A98,'Conical section geometry'!$B$11:$B$17,'Conical section geometry'!$D$11:$D$17,"XXXX",0,1)</f>
        <v>-17.928999999999998</v>
      </c>
      <c r="E98" s="11" cm="1">
        <f t="array" aca="1" ref="E98" ca="1">_xlfn.XLOOKUP($B98,    INDIRECT("'" &amp; $C$3 &amp; "'!$A$20:$A$219"),    _xlfn.XLOOKUP(E$18,INDIRECT("'" &amp; $C$3 &amp; "'!$B$18:$X$18"), INDIRECT("'" &amp; $C$3 &amp; "'!$B$20:$X$219"),"XXXXX",0,1),    "XX",    0,    1)</f>
        <v>8</v>
      </c>
      <c r="F98" s="11" cm="1">
        <f t="array" aca="1" ref="F98" ca="1">_xlfn.XLOOKUP($B98,    INDIRECT("'" &amp; $C$3 &amp; "'!$A$20:$A$219"),    _xlfn.XLOOKUP(F$18,INDIRECT("'" &amp; $C$3 &amp; "'!$B$18:$X$18"), INDIRECT("'" &amp; $C$3 &amp; "'!$B$20:$X$219"),"XXXXX",0,1),    "XX",    0,    1)</f>
        <v>10</v>
      </c>
      <c r="G98" s="11">
        <f>_xlfn.XLOOKUP($A98,'Conical section geometry'!$B$11:$B$17,'Conical section geometry'!$E$11:$E$17,"XXXX",0,1)</f>
        <v>-174.99340000000001</v>
      </c>
      <c r="H98" s="11" cm="1">
        <f t="array" aca="1" ref="H98" ca="1">_xlfn.XLOOKUP($B98,    INDIRECT("'" &amp; $C$3 &amp; "'!$A$20:$A$219"),    _xlfn.XLOOKUP(H$18,INDIRECT("'" &amp; $C$3 &amp; "'!$B$18:$X$18"), INDIRECT("'" &amp; $C$3 &amp; "'!$B$20:$X$219"),"XXXXX",0,1),    "XX",    0,    1)</f>
        <v>-31.1</v>
      </c>
      <c r="I98" s="11" cm="1">
        <f t="array" aca="1" ref="I98" ca="1">_xlfn.XLOOKUP($B98,    INDIRECT("'" &amp; $C$3 &amp; "'!$A$20:$A$219"),    _xlfn.XLOOKUP(I$18,INDIRECT("'" &amp; $C$3 &amp; "'!$B$18:$X$18"), INDIRECT("'" &amp; $C$3 &amp; "'!$B$20:$X$219"),"XXXXX",0,1),    "XX",    0,    1)</f>
        <v>86.1</v>
      </c>
      <c r="J98" s="11">
        <f t="shared" si="16"/>
        <v>31.9</v>
      </c>
      <c r="K98" s="11">
        <f t="shared" si="17"/>
        <v>11.428999999999998</v>
      </c>
      <c r="L98" s="11">
        <f t="shared" si="18"/>
        <v>43.328999999999994</v>
      </c>
      <c r="M98" s="11" cm="1">
        <f t="array" aca="1" ref="M98" ca="1">_xlfn.XLOOKUP($B98,    INDIRECT("'" &amp; $C$3 &amp; "'!$A$20:$A$219"),    _xlfn.XLOOKUP(M$18,INDIRECT("'" &amp; $C$3 &amp; "'!$B$18:$X$18"), INDIRECT("'" &amp; $C$3 &amp; "'!$B$20:$X$219"),"XXXXX",0,1),    "XX",    0,    1)</f>
        <v>29.6</v>
      </c>
      <c r="N98" s="11">
        <f t="shared" ca="1" si="19"/>
        <v>23.099999999999994</v>
      </c>
      <c r="O98" s="4">
        <f t="shared" ca="1" si="20"/>
        <v>11.670999999999999</v>
      </c>
      <c r="P98" s="11">
        <v>17.956948890643858</v>
      </c>
      <c r="Q98" s="11">
        <f t="shared" ca="1" si="21"/>
        <v>37.043051109356135</v>
      </c>
      <c r="R98" s="11" t="str">
        <f t="shared" ca="1" si="22"/>
        <v>conical</v>
      </c>
      <c r="S98" s="13">
        <f t="shared" ca="1" si="23"/>
        <v>8.9000000000000021</v>
      </c>
      <c r="T98" s="13"/>
    </row>
    <row r="99" spans="1:20" x14ac:dyDescent="0.2">
      <c r="A99" s="11" t="s">
        <v>3</v>
      </c>
      <c r="B99" s="11" t="s">
        <v>88</v>
      </c>
      <c r="C99" s="11">
        <f>_xlfn.XLOOKUP($A99,'Conical section geometry'!$B$11:$B$17,'Conical section geometry'!$C$11:$C$17,"XXXX",0,1)</f>
        <v>-6.5</v>
      </c>
      <c r="D99" s="11">
        <f>_xlfn.XLOOKUP($A99,'Conical section geometry'!$B$11:$B$17,'Conical section geometry'!$D$11:$D$17,"XXXX",0,1)</f>
        <v>-17.928999999999998</v>
      </c>
      <c r="E99" s="11" cm="1">
        <f t="array" aca="1" ref="E99" ca="1">_xlfn.XLOOKUP($B99,    INDIRECT("'" &amp; $C$3 &amp; "'!$A$20:$A$219"),    _xlfn.XLOOKUP(E$18,INDIRECT("'" &amp; $C$3 &amp; "'!$B$18:$X$18"), INDIRECT("'" &amp; $C$3 &amp; "'!$B$20:$X$219"),"XXXXX",0,1),    "XX",    0,    1)</f>
        <v>8</v>
      </c>
      <c r="F99" s="11" cm="1">
        <f t="array" aca="1" ref="F99" ca="1">_xlfn.XLOOKUP($B99,    INDIRECT("'" &amp; $C$3 &amp; "'!$A$20:$A$219"),    _xlfn.XLOOKUP(F$18,INDIRECT("'" &amp; $C$3 &amp; "'!$B$18:$X$18"), INDIRECT("'" &amp; $C$3 &amp; "'!$B$20:$X$219"),"XXXXX",0,1),    "XX",    0,    1)</f>
        <v>10</v>
      </c>
      <c r="G99" s="11">
        <f>_xlfn.XLOOKUP($A99,'Conical section geometry'!$B$11:$B$17,'Conical section geometry'!$E$11:$E$17,"XXXX",0,1)</f>
        <v>-174.99340000000001</v>
      </c>
      <c r="H99" s="11" cm="1">
        <f t="array" aca="1" ref="H99" ca="1">_xlfn.XLOOKUP($B99,    INDIRECT("'" &amp; $C$3 &amp; "'!$A$20:$A$219"),    _xlfn.XLOOKUP(H$18,INDIRECT("'" &amp; $C$3 &amp; "'!$B$18:$X$18"), INDIRECT("'" &amp; $C$3 &amp; "'!$B$20:$X$219"),"XXXXX",0,1),    "XX",    0,    1)</f>
        <v>-34.200000000000003</v>
      </c>
      <c r="I99" s="11" cm="1">
        <f t="array" aca="1" ref="I99" ca="1">_xlfn.XLOOKUP($B99,    INDIRECT("'" &amp; $C$3 &amp; "'!$A$20:$A$219"),    _xlfn.XLOOKUP(I$18,INDIRECT("'" &amp; $C$3 &amp; "'!$B$18:$X$18"), INDIRECT("'" &amp; $C$3 &amp; "'!$B$20:$X$219"),"XXXXX",0,1),    "XX",    0,    1)</f>
        <v>89.2</v>
      </c>
      <c r="J99" s="11">
        <f t="shared" si="16"/>
        <v>31.9</v>
      </c>
      <c r="K99" s="11">
        <f t="shared" si="17"/>
        <v>11.428999999999998</v>
      </c>
      <c r="L99" s="11">
        <f t="shared" si="18"/>
        <v>43.328999999999994</v>
      </c>
      <c r="M99" s="11" cm="1">
        <f t="array" aca="1" ref="M99" ca="1">_xlfn.XLOOKUP($B99,    INDIRECT("'" &amp; $C$3 &amp; "'!$A$20:$A$219"),    _xlfn.XLOOKUP(M$18,INDIRECT("'" &amp; $C$3 &amp; "'!$B$18:$X$18"), INDIRECT("'" &amp; $C$3 &amp; "'!$B$20:$X$219"),"XXXXX",0,1),    "XX",    0,    1)</f>
        <v>29.6</v>
      </c>
      <c r="N99" s="11">
        <f t="shared" ca="1" si="19"/>
        <v>23.1</v>
      </c>
      <c r="O99" s="4">
        <f t="shared" ca="1" si="20"/>
        <v>11.671000000000006</v>
      </c>
      <c r="P99" s="11">
        <v>17.956948890643883</v>
      </c>
      <c r="Q99" s="11">
        <f t="shared" ca="1" si="21"/>
        <v>37.043051109356114</v>
      </c>
      <c r="R99" s="11" t="str">
        <f t="shared" ca="1" si="22"/>
        <v>conical</v>
      </c>
      <c r="S99" s="13">
        <f t="shared" ca="1" si="23"/>
        <v>8.8999999999999986</v>
      </c>
      <c r="T99" s="13"/>
    </row>
    <row r="100" spans="1:20" x14ac:dyDescent="0.2">
      <c r="A100" s="11" t="s">
        <v>7</v>
      </c>
      <c r="B100" s="11" t="s">
        <v>206</v>
      </c>
      <c r="C100" s="11">
        <f>_xlfn.XLOOKUP($A100,'Conical section geometry'!$B$11:$B$17,'Conical section geometry'!$C$11:$C$17,"XXXX",0,1)</f>
        <v>-6.5</v>
      </c>
      <c r="D100" s="11">
        <f>_xlfn.XLOOKUP($A100,'Conical section geometry'!$B$11:$B$17,'Conical section geometry'!$D$11:$D$17,"XXXX",0,1)</f>
        <v>-23.643000000000001</v>
      </c>
      <c r="E100" s="11" cm="1">
        <f t="array" aca="1" ref="E100" ca="1">_xlfn.XLOOKUP($B100,    INDIRECT("'" &amp; $C$3 &amp; "'!$A$20:$A$219"),    _xlfn.XLOOKUP(E$18,INDIRECT("'" &amp; $C$3 &amp; "'!$B$18:$X$18"), INDIRECT("'" &amp; $C$3 &amp; "'!$B$20:$X$219"),"XXXXX",0,1),    "XX",    0,    1)</f>
        <v>8</v>
      </c>
      <c r="F100" s="11" cm="1">
        <f t="array" aca="1" ref="F100" ca="1">_xlfn.XLOOKUP($B100,    INDIRECT("'" &amp; $C$3 &amp; "'!$A$20:$A$219"),    _xlfn.XLOOKUP(F$18,INDIRECT("'" &amp; $C$3 &amp; "'!$B$18:$X$18"), INDIRECT("'" &amp; $C$3 &amp; "'!$B$20:$X$219"),"XXXXX",0,1),    "XX",    0,    1)</f>
        <v>11</v>
      </c>
      <c r="G100" s="11">
        <f>_xlfn.XLOOKUP($A100,'Conical section geometry'!$B$11:$B$17,'Conical section geometry'!$E$11:$E$17,"XXXX",0,1)</f>
        <v>-174.99854167881901</v>
      </c>
      <c r="H100" s="11" cm="1">
        <f t="array" aca="1" ref="H100" ca="1">_xlfn.XLOOKUP($B100,    INDIRECT("'" &amp; $C$3 &amp; "'!$A$20:$A$219"),    _xlfn.XLOOKUP(H$18,INDIRECT("'" &amp; $C$3 &amp; "'!$B$18:$X$18"), INDIRECT("'" &amp; $C$3 &amp; "'!$B$20:$X$219"),"XXXXX",0,1),    "XX",    0,    1)</f>
        <v>-44.6</v>
      </c>
      <c r="I100" s="11" cm="1">
        <f t="array" aca="1" ref="I100" ca="1">_xlfn.XLOOKUP($B100,    INDIRECT("'" &amp; $C$3 &amp; "'!$A$20:$A$219"),    _xlfn.XLOOKUP(I$18,INDIRECT("'" &amp; $C$3 &amp; "'!$B$18:$X$18"), INDIRECT("'" &amp; $C$3 &amp; "'!$B$20:$X$219"),"XXXXX",0,1),    "XX",    0,    1)</f>
        <v>99.5</v>
      </c>
      <c r="J100" s="11">
        <f t="shared" si="16"/>
        <v>31.9</v>
      </c>
      <c r="K100" s="11">
        <f t="shared" si="17"/>
        <v>17.143000000000001</v>
      </c>
      <c r="L100" s="11">
        <f t="shared" si="18"/>
        <v>49.042999999999999</v>
      </c>
      <c r="M100" s="11" cm="1">
        <f t="array" aca="1" ref="M100" ca="1">_xlfn.XLOOKUP($B100,    INDIRECT("'" &amp; $C$3 &amp; "'!$A$20:$A$219"),    _xlfn.XLOOKUP(M$18,INDIRECT("'" &amp; $C$3 &amp; "'!$B$18:$X$18"), INDIRECT("'" &amp; $C$3 &amp; "'!$B$20:$X$219"),"XXXXX",0,1),    "XX",    0,    1)</f>
        <v>29.5</v>
      </c>
      <c r="N100" s="11">
        <f t="shared" ca="1" si="19"/>
        <v>22.999999999999993</v>
      </c>
      <c r="O100" s="4">
        <f t="shared" ca="1" si="20"/>
        <v>5.8569999999999993</v>
      </c>
      <c r="P100" s="11">
        <v>17.857099999999988</v>
      </c>
      <c r="Q100" s="11">
        <f t="shared" ca="1" si="21"/>
        <v>37.04290000000001</v>
      </c>
      <c r="R100" s="11" t="str">
        <f t="shared" ca="1" si="22"/>
        <v>conical</v>
      </c>
      <c r="S100" s="13">
        <f t="shared" ca="1" si="23"/>
        <v>8.9</v>
      </c>
      <c r="T100" s="13"/>
    </row>
    <row r="101" spans="1:20" x14ac:dyDescent="0.2">
      <c r="A101" s="11" t="s">
        <v>3</v>
      </c>
      <c r="B101" s="11" t="s">
        <v>71</v>
      </c>
      <c r="C101" s="11">
        <f>_xlfn.XLOOKUP($A101,'Conical section geometry'!$B$11:$B$17,'Conical section geometry'!$C$11:$C$17,"XXXX",0,1)</f>
        <v>-6.5</v>
      </c>
      <c r="D101" s="11">
        <f>_xlfn.XLOOKUP($A101,'Conical section geometry'!$B$11:$B$17,'Conical section geometry'!$D$11:$D$17,"XXXX",0,1)</f>
        <v>-17.928999999999998</v>
      </c>
      <c r="E101" s="11" cm="1">
        <f t="array" aca="1" ref="E101" ca="1">_xlfn.XLOOKUP($B101,    INDIRECT("'" &amp; $C$3 &amp; "'!$A$20:$A$219"),    _xlfn.XLOOKUP(E$18,INDIRECT("'" &amp; $C$3 &amp; "'!$B$18:$X$18"), INDIRECT("'" &amp; $C$3 &amp; "'!$B$20:$X$219"),"XXXXX",0,1),    "XX",    0,    1)</f>
        <v>8</v>
      </c>
      <c r="F101" s="11" cm="1">
        <f t="array" aca="1" ref="F101" ca="1">_xlfn.XLOOKUP($B101,    INDIRECT("'" &amp; $C$3 &amp; "'!$A$20:$A$219"),    _xlfn.XLOOKUP(F$18,INDIRECT("'" &amp; $C$3 &amp; "'!$B$18:$X$18"), INDIRECT("'" &amp; $C$3 &amp; "'!$B$20:$X$219"),"XXXXX",0,1),    "XX",    0,    1)</f>
        <v>10</v>
      </c>
      <c r="G101" s="11">
        <f>_xlfn.XLOOKUP($A101,'Conical section geometry'!$B$11:$B$17,'Conical section geometry'!$E$11:$E$17,"XXXX",0,1)</f>
        <v>-174.99340000000001</v>
      </c>
      <c r="H101" s="11" cm="1">
        <f t="array" aca="1" ref="H101" ca="1">_xlfn.XLOOKUP($B101,    INDIRECT("'" &amp; $C$3 &amp; "'!$A$20:$A$219"),    _xlfn.XLOOKUP(H$18,INDIRECT("'" &amp; $C$3 &amp; "'!$B$18:$X$18"), INDIRECT("'" &amp; $C$3 &amp; "'!$B$20:$X$219"),"XXXXX",0,1),    "XX",    0,    1)</f>
        <v>-35.1</v>
      </c>
      <c r="I101" s="11" cm="1">
        <f t="array" aca="1" ref="I101" ca="1">_xlfn.XLOOKUP($B101,    INDIRECT("'" &amp; $C$3 &amp; "'!$A$20:$A$219"),    _xlfn.XLOOKUP(I$18,INDIRECT("'" &amp; $C$3 &amp; "'!$B$18:$X$18"), INDIRECT("'" &amp; $C$3 &amp; "'!$B$20:$X$219"),"XXXXX",0,1),    "XX",    0,    1)</f>
        <v>90</v>
      </c>
      <c r="J101" s="11">
        <f t="shared" si="16"/>
        <v>31.9</v>
      </c>
      <c r="K101" s="11">
        <f t="shared" si="17"/>
        <v>11.428999999999998</v>
      </c>
      <c r="L101" s="11">
        <f t="shared" si="18"/>
        <v>43.328999999999994</v>
      </c>
      <c r="M101" s="11" cm="1">
        <f t="array" aca="1" ref="M101" ca="1">_xlfn.XLOOKUP($B101,    INDIRECT("'" &amp; $C$3 &amp; "'!$A$20:$A$219"),    _xlfn.XLOOKUP(M$18,INDIRECT("'" &amp; $C$3 &amp; "'!$B$18:$X$18"), INDIRECT("'" &amp; $C$3 &amp; "'!$B$20:$X$219"),"XXXXX",0,1),    "XX",    0,    1)</f>
        <v>29.5</v>
      </c>
      <c r="N101" s="11">
        <f t="shared" ca="1" si="19"/>
        <v>23</v>
      </c>
      <c r="O101" s="4">
        <f t="shared" ca="1" si="20"/>
        <v>11.571000000000005</v>
      </c>
      <c r="P101" s="11">
        <v>17.85694889064386</v>
      </c>
      <c r="Q101" s="11">
        <f t="shared" ca="1" si="21"/>
        <v>37.043051109356142</v>
      </c>
      <c r="R101" s="11" t="str">
        <f t="shared" ca="1" si="22"/>
        <v>conical</v>
      </c>
      <c r="S101" s="13">
        <f t="shared" ca="1" si="23"/>
        <v>8.9000000000000039</v>
      </c>
      <c r="T101" s="13"/>
    </row>
    <row r="102" spans="1:20" x14ac:dyDescent="0.2">
      <c r="A102" s="11" t="s">
        <v>3</v>
      </c>
      <c r="B102" s="11" t="s">
        <v>48</v>
      </c>
      <c r="C102" s="11">
        <f>_xlfn.XLOOKUP($A102,'Conical section geometry'!$B$11:$B$17,'Conical section geometry'!$C$11:$C$17,"XXXX",0,1)</f>
        <v>-6.5</v>
      </c>
      <c r="D102" s="11">
        <f>_xlfn.XLOOKUP($A102,'Conical section geometry'!$B$11:$B$17,'Conical section geometry'!$D$11:$D$17,"XXXX",0,1)</f>
        <v>-17.928999999999998</v>
      </c>
      <c r="E102" s="11" cm="1">
        <f t="array" aca="1" ref="E102" ca="1">_xlfn.XLOOKUP($B102,    INDIRECT("'" &amp; $C$3 &amp; "'!$A$20:$A$219"),    _xlfn.XLOOKUP(E$18,INDIRECT("'" &amp; $C$3 &amp; "'!$B$18:$X$18"), INDIRECT("'" &amp; $C$3 &amp; "'!$B$20:$X$219"),"XXXXX",0,1),    "XX",    0,    1)</f>
        <v>8</v>
      </c>
      <c r="F102" s="11" cm="1">
        <f t="array" aca="1" ref="F102" ca="1">_xlfn.XLOOKUP($B102,    INDIRECT("'" &amp; $C$3 &amp; "'!$A$20:$A$219"),    _xlfn.XLOOKUP(F$18,INDIRECT("'" &amp; $C$3 &amp; "'!$B$18:$X$18"), INDIRECT("'" &amp; $C$3 &amp; "'!$B$20:$X$219"),"XXXXX",0,1),    "XX",    0,    1)</f>
        <v>10</v>
      </c>
      <c r="G102" s="11">
        <f>_xlfn.XLOOKUP($A102,'Conical section geometry'!$B$11:$B$17,'Conical section geometry'!$E$11:$E$17,"XXXX",0,1)</f>
        <v>-174.99340000000001</v>
      </c>
      <c r="H102" s="11" cm="1">
        <f t="array" aca="1" ref="H102" ca="1">_xlfn.XLOOKUP($B102,    INDIRECT("'" &amp; $C$3 &amp; "'!$A$20:$A$219"),    _xlfn.XLOOKUP(H$18,INDIRECT("'" &amp; $C$3 &amp; "'!$B$18:$X$18"), INDIRECT("'" &amp; $C$3 &amp; "'!$B$20:$X$219"),"XXXXX",0,1),    "XX",    0,    1)</f>
        <v>-36.4</v>
      </c>
      <c r="I102" s="11" cm="1">
        <f t="array" aca="1" ref="I102" ca="1">_xlfn.XLOOKUP($B102,    INDIRECT("'" &amp; $C$3 &amp; "'!$A$20:$A$219"),    _xlfn.XLOOKUP(I$18,INDIRECT("'" &amp; $C$3 &amp; "'!$B$18:$X$18"), INDIRECT("'" &amp; $C$3 &amp; "'!$B$20:$X$219"),"XXXXX",0,1),    "XX",    0,    1)</f>
        <v>91.3</v>
      </c>
      <c r="J102" s="11">
        <f t="shared" si="16"/>
        <v>31.9</v>
      </c>
      <c r="K102" s="11">
        <f t="shared" si="17"/>
        <v>11.428999999999998</v>
      </c>
      <c r="L102" s="11">
        <f t="shared" si="18"/>
        <v>43.328999999999994</v>
      </c>
      <c r="M102" s="11" cm="1">
        <f t="array" aca="1" ref="M102" ca="1">_xlfn.XLOOKUP($B102,    INDIRECT("'" &amp; $C$3 &amp; "'!$A$20:$A$219"),    _xlfn.XLOOKUP(M$18,INDIRECT("'" &amp; $C$3 &amp; "'!$B$18:$X$18"), INDIRECT("'" &amp; $C$3 &amp; "'!$B$20:$X$219"),"XXXXX",0,1),    "XX",    0,    1)</f>
        <v>29.5</v>
      </c>
      <c r="N102" s="11">
        <f t="shared" ca="1" si="19"/>
        <v>23</v>
      </c>
      <c r="O102" s="4">
        <f t="shared" ca="1" si="20"/>
        <v>11.571000000000005</v>
      </c>
      <c r="P102" s="11">
        <v>17.856948890643885</v>
      </c>
      <c r="Q102" s="11">
        <f t="shared" ca="1" si="21"/>
        <v>37.043051109356114</v>
      </c>
      <c r="R102" s="11" t="str">
        <f t="shared" ca="1" si="22"/>
        <v>conical</v>
      </c>
      <c r="S102" s="13">
        <f t="shared" ca="1" si="23"/>
        <v>8.8999999999999986</v>
      </c>
      <c r="T102" s="13"/>
    </row>
    <row r="103" spans="1:20" x14ac:dyDescent="0.2">
      <c r="A103" s="11" t="s">
        <v>3</v>
      </c>
      <c r="B103" s="11" t="s">
        <v>131</v>
      </c>
      <c r="C103" s="11">
        <f>_xlfn.XLOOKUP($A103,'Conical section geometry'!$B$11:$B$17,'Conical section geometry'!$C$11:$C$17,"XXXX",0,1)</f>
        <v>-6.5</v>
      </c>
      <c r="D103" s="11">
        <f>_xlfn.XLOOKUP($A103,'Conical section geometry'!$B$11:$B$17,'Conical section geometry'!$D$11:$D$17,"XXXX",0,1)</f>
        <v>-17.928999999999998</v>
      </c>
      <c r="E103" s="11" cm="1">
        <f t="array" aca="1" ref="E103" ca="1">_xlfn.XLOOKUP($B103,    INDIRECT("'" &amp; $C$3 &amp; "'!$A$20:$A$219"),    _xlfn.XLOOKUP(E$18,INDIRECT("'" &amp; $C$3 &amp; "'!$B$18:$X$18"), INDIRECT("'" &amp; $C$3 &amp; "'!$B$20:$X$219"),"XXXXX",0,1),    "XX",    0,    1)</f>
        <v>8</v>
      </c>
      <c r="F103" s="11" cm="1">
        <f t="array" aca="1" ref="F103" ca="1">_xlfn.XLOOKUP($B103,    INDIRECT("'" &amp; $C$3 &amp; "'!$A$20:$A$219"),    _xlfn.XLOOKUP(F$18,INDIRECT("'" &amp; $C$3 &amp; "'!$B$18:$X$18"), INDIRECT("'" &amp; $C$3 &amp; "'!$B$20:$X$219"),"XXXXX",0,1),    "XX",    0,    1)</f>
        <v>10</v>
      </c>
      <c r="G103" s="11">
        <f>_xlfn.XLOOKUP($A103,'Conical section geometry'!$B$11:$B$17,'Conical section geometry'!$E$11:$E$17,"XXXX",0,1)</f>
        <v>-174.99340000000001</v>
      </c>
      <c r="H103" s="11" cm="1">
        <f t="array" aca="1" ref="H103" ca="1">_xlfn.XLOOKUP($B103,    INDIRECT("'" &amp; $C$3 &amp; "'!$A$20:$A$219"),    _xlfn.XLOOKUP(H$18,INDIRECT("'" &amp; $C$3 &amp; "'!$B$18:$X$18"), INDIRECT("'" &amp; $C$3 &amp; "'!$B$20:$X$219"),"XXXXX",0,1),    "XX",    0,    1)</f>
        <v>-31.1</v>
      </c>
      <c r="I103" s="11" cm="1">
        <f t="array" aca="1" ref="I103" ca="1">_xlfn.XLOOKUP($B103,    INDIRECT("'" &amp; $C$3 &amp; "'!$A$20:$A$219"),    _xlfn.XLOOKUP(I$18,INDIRECT("'" &amp; $C$3 &amp; "'!$B$18:$X$18"), INDIRECT("'" &amp; $C$3 &amp; "'!$B$20:$X$219"),"XXXXX",0,1),    "XX",    0,    1)</f>
        <v>86</v>
      </c>
      <c r="J103" s="11">
        <f t="shared" si="16"/>
        <v>31.9</v>
      </c>
      <c r="K103" s="11">
        <f t="shared" si="17"/>
        <v>11.428999999999998</v>
      </c>
      <c r="L103" s="11">
        <f t="shared" si="18"/>
        <v>43.328999999999994</v>
      </c>
      <c r="M103" s="11" cm="1">
        <f t="array" aca="1" ref="M103" ca="1">_xlfn.XLOOKUP($B103,    INDIRECT("'" &amp; $C$3 &amp; "'!$A$20:$A$219"),    _xlfn.XLOOKUP(M$18,INDIRECT("'" &amp; $C$3 &amp; "'!$B$18:$X$18"), INDIRECT("'" &amp; $C$3 &amp; "'!$B$20:$X$219"),"XXXXX",0,1),    "XX",    0,    1)</f>
        <v>29.5</v>
      </c>
      <c r="N103" s="11">
        <f t="shared" ca="1" si="19"/>
        <v>23</v>
      </c>
      <c r="O103" s="4">
        <f t="shared" ca="1" si="20"/>
        <v>11.571000000000005</v>
      </c>
      <c r="P103" s="11">
        <v>17.856948890643853</v>
      </c>
      <c r="Q103" s="11">
        <f t="shared" ca="1" si="21"/>
        <v>37.043051109356142</v>
      </c>
      <c r="R103" s="11" t="str">
        <f t="shared" ca="1" si="22"/>
        <v>conical</v>
      </c>
      <c r="S103" s="13">
        <f t="shared" ca="1" si="23"/>
        <v>8.9000000000000039</v>
      </c>
      <c r="T103" s="13"/>
    </row>
    <row r="104" spans="1:20" x14ac:dyDescent="0.2">
      <c r="A104" s="11" t="s">
        <v>3</v>
      </c>
      <c r="B104" s="11" t="s">
        <v>147</v>
      </c>
      <c r="C104" s="11">
        <f>_xlfn.XLOOKUP($A104,'Conical section geometry'!$B$11:$B$17,'Conical section geometry'!$C$11:$C$17,"XXXX",0,1)</f>
        <v>-6.5</v>
      </c>
      <c r="D104" s="11">
        <f>_xlfn.XLOOKUP($A104,'Conical section geometry'!$B$11:$B$17,'Conical section geometry'!$D$11:$D$17,"XXXX",0,1)</f>
        <v>-17.928999999999998</v>
      </c>
      <c r="E104" s="11" cm="1">
        <f t="array" aca="1" ref="E104" ca="1">_xlfn.XLOOKUP($B104,    INDIRECT("'" &amp; $C$3 &amp; "'!$A$20:$A$219"),    _xlfn.XLOOKUP(E$18,INDIRECT("'" &amp; $C$3 &amp; "'!$B$18:$X$18"), INDIRECT("'" &amp; $C$3 &amp; "'!$B$20:$X$219"),"XXXXX",0,1),    "XX",    0,    1)</f>
        <v>8</v>
      </c>
      <c r="F104" s="11" cm="1">
        <f t="array" aca="1" ref="F104" ca="1">_xlfn.XLOOKUP($B104,    INDIRECT("'" &amp; $C$3 &amp; "'!$A$20:$A$219"),    _xlfn.XLOOKUP(F$18,INDIRECT("'" &amp; $C$3 &amp; "'!$B$18:$X$18"), INDIRECT("'" &amp; $C$3 &amp; "'!$B$20:$X$219"),"XXXXX",0,1),    "XX",    0,    1)</f>
        <v>10</v>
      </c>
      <c r="G104" s="11">
        <f>_xlfn.XLOOKUP($A104,'Conical section geometry'!$B$11:$B$17,'Conical section geometry'!$E$11:$E$17,"XXXX",0,1)</f>
        <v>-174.99340000000001</v>
      </c>
      <c r="H104" s="11" cm="1">
        <f t="array" aca="1" ref="H104" ca="1">_xlfn.XLOOKUP($B104,    INDIRECT("'" &amp; $C$3 &amp; "'!$A$20:$A$219"),    _xlfn.XLOOKUP(H$18,INDIRECT("'" &amp; $C$3 &amp; "'!$B$18:$X$18"), INDIRECT("'" &amp; $C$3 &amp; "'!$B$20:$X$219"),"XXXXX",0,1),    "XX",    0,    1)</f>
        <v>-30.2</v>
      </c>
      <c r="I104" s="11" cm="1">
        <f t="array" aca="1" ref="I104" ca="1">_xlfn.XLOOKUP($B104,    INDIRECT("'" &amp; $C$3 &amp; "'!$A$20:$A$219"),    _xlfn.XLOOKUP(I$18,INDIRECT("'" &amp; $C$3 &amp; "'!$B$18:$X$18"), INDIRECT("'" &amp; $C$3 &amp; "'!$B$20:$X$219"),"XXXXX",0,1),    "XX",    0,    1)</f>
        <v>85.1</v>
      </c>
      <c r="J104" s="11">
        <f t="shared" si="16"/>
        <v>31.9</v>
      </c>
      <c r="K104" s="11">
        <f t="shared" si="17"/>
        <v>11.428999999999998</v>
      </c>
      <c r="L104" s="11">
        <f t="shared" si="18"/>
        <v>43.328999999999994</v>
      </c>
      <c r="M104" s="11" cm="1">
        <f t="array" aca="1" ref="M104" ca="1">_xlfn.XLOOKUP($B104,    INDIRECT("'" &amp; $C$3 &amp; "'!$A$20:$A$219"),    _xlfn.XLOOKUP(M$18,INDIRECT("'" &amp; $C$3 &amp; "'!$B$18:$X$18"), INDIRECT("'" &amp; $C$3 &amp; "'!$B$20:$X$219"),"XXXXX",0,1),    "XX",    0,    1)</f>
        <v>29.5</v>
      </c>
      <c r="N104" s="11">
        <f t="shared" ca="1" si="19"/>
        <v>22.999999999999996</v>
      </c>
      <c r="O104" s="4">
        <f t="shared" ca="1" si="20"/>
        <v>11.571000000000002</v>
      </c>
      <c r="P104" s="11">
        <v>17.856948890643846</v>
      </c>
      <c r="Q104" s="11">
        <f t="shared" ca="1" si="21"/>
        <v>37.043051109356149</v>
      </c>
      <c r="R104" s="11" t="str">
        <f t="shared" ca="1" si="22"/>
        <v>conical</v>
      </c>
      <c r="S104" s="13">
        <f t="shared" ca="1" si="23"/>
        <v>8.9000000000000039</v>
      </c>
      <c r="T104" s="13"/>
    </row>
    <row r="105" spans="1:20" x14ac:dyDescent="0.2">
      <c r="A105" s="11" t="s">
        <v>3</v>
      </c>
      <c r="B105" s="11" t="s">
        <v>112</v>
      </c>
      <c r="C105" s="11">
        <f>_xlfn.XLOOKUP($A105,'Conical section geometry'!$B$11:$B$17,'Conical section geometry'!$C$11:$C$17,"XXXX",0,1)</f>
        <v>-6.5</v>
      </c>
      <c r="D105" s="11">
        <f>_xlfn.XLOOKUP($A105,'Conical section geometry'!$B$11:$B$17,'Conical section geometry'!$D$11:$D$17,"XXXX",0,1)</f>
        <v>-17.928999999999998</v>
      </c>
      <c r="E105" s="11" cm="1">
        <f t="array" aca="1" ref="E105" ca="1">_xlfn.XLOOKUP($B105,    INDIRECT("'" &amp; $C$3 &amp; "'!$A$20:$A$219"),    _xlfn.XLOOKUP(E$18,INDIRECT("'" &amp; $C$3 &amp; "'!$B$18:$X$18"), INDIRECT("'" &amp; $C$3 &amp; "'!$B$20:$X$219"),"XXXXX",0,1),    "XX",    0,    1)</f>
        <v>8</v>
      </c>
      <c r="F105" s="11" cm="1">
        <f t="array" aca="1" ref="F105" ca="1">_xlfn.XLOOKUP($B105,    INDIRECT("'" &amp; $C$3 &amp; "'!$A$20:$A$219"),    _xlfn.XLOOKUP(F$18,INDIRECT("'" &amp; $C$3 &amp; "'!$B$18:$X$18"), INDIRECT("'" &amp; $C$3 &amp; "'!$B$20:$X$219"),"XXXXX",0,1),    "XX",    0,    1)</f>
        <v>10</v>
      </c>
      <c r="G105" s="11">
        <f>_xlfn.XLOOKUP($A105,'Conical section geometry'!$B$11:$B$17,'Conical section geometry'!$E$11:$E$17,"XXXX",0,1)</f>
        <v>-174.99340000000001</v>
      </c>
      <c r="H105" s="11" cm="1">
        <f t="array" aca="1" ref="H105" ca="1">_xlfn.XLOOKUP($B105,    INDIRECT("'" &amp; $C$3 &amp; "'!$A$20:$A$219"),    _xlfn.XLOOKUP(H$18,INDIRECT("'" &amp; $C$3 &amp; "'!$B$18:$X$18"), INDIRECT("'" &amp; $C$3 &amp; "'!$B$20:$X$219"),"XXXXX",0,1),    "XX",    0,    1)</f>
        <v>-32.799999999999997</v>
      </c>
      <c r="I105" s="11" cm="1">
        <f t="array" aca="1" ref="I105" ca="1">_xlfn.XLOOKUP($B105,    INDIRECT("'" &amp; $C$3 &amp; "'!$A$20:$A$219"),    _xlfn.XLOOKUP(I$18,INDIRECT("'" &amp; $C$3 &amp; "'!$B$18:$X$18"), INDIRECT("'" &amp; $C$3 &amp; "'!$B$20:$X$219"),"XXXXX",0,1),    "XX",    0,    1)</f>
        <v>87.6</v>
      </c>
      <c r="J105" s="11">
        <f t="shared" si="16"/>
        <v>31.9</v>
      </c>
      <c r="K105" s="11">
        <f t="shared" si="17"/>
        <v>11.428999999999998</v>
      </c>
      <c r="L105" s="11">
        <f t="shared" si="18"/>
        <v>43.328999999999994</v>
      </c>
      <c r="M105" s="11" cm="1">
        <f t="array" aca="1" ref="M105" ca="1">_xlfn.XLOOKUP($B105,    INDIRECT("'" &amp; $C$3 &amp; "'!$A$20:$A$219"),    _xlfn.XLOOKUP(M$18,INDIRECT("'" &amp; $C$3 &amp; "'!$B$18:$X$18"), INDIRECT("'" &amp; $C$3 &amp; "'!$B$20:$X$219"),"XXXXX",0,1),    "XX",    0,    1)</f>
        <v>29.4</v>
      </c>
      <c r="N105" s="11">
        <f t="shared" ca="1" si="19"/>
        <v>22.9</v>
      </c>
      <c r="O105" s="4">
        <f t="shared" ca="1" si="20"/>
        <v>11.471000000000004</v>
      </c>
      <c r="P105" s="11">
        <v>17.756948890643876</v>
      </c>
      <c r="Q105" s="11">
        <f t="shared" ca="1" si="21"/>
        <v>37.043051109356121</v>
      </c>
      <c r="R105" s="11" t="str">
        <f t="shared" ca="1" si="22"/>
        <v>conical</v>
      </c>
      <c r="S105" s="13">
        <f t="shared" ca="1" si="23"/>
        <v>8.9</v>
      </c>
      <c r="T105" s="13"/>
    </row>
    <row r="106" spans="1:20" x14ac:dyDescent="0.2">
      <c r="A106" s="11" t="s">
        <v>3</v>
      </c>
      <c r="B106" s="11" t="s">
        <v>121</v>
      </c>
      <c r="C106" s="11">
        <f>_xlfn.XLOOKUP($A106,'Conical section geometry'!$B$11:$B$17,'Conical section geometry'!$C$11:$C$17,"XXXX",0,1)</f>
        <v>-6.5</v>
      </c>
      <c r="D106" s="11">
        <f>_xlfn.XLOOKUP($A106,'Conical section geometry'!$B$11:$B$17,'Conical section geometry'!$D$11:$D$17,"XXXX",0,1)</f>
        <v>-17.928999999999998</v>
      </c>
      <c r="E106" s="11" cm="1">
        <f t="array" aca="1" ref="E106" ca="1">_xlfn.XLOOKUP($B106,    INDIRECT("'" &amp; $C$3 &amp; "'!$A$20:$A$219"),    _xlfn.XLOOKUP(E$18,INDIRECT("'" &amp; $C$3 &amp; "'!$B$18:$X$18"), INDIRECT("'" &amp; $C$3 &amp; "'!$B$20:$X$219"),"XXXXX",0,1),    "XX",    0,    1)</f>
        <v>8</v>
      </c>
      <c r="F106" s="11" cm="1">
        <f t="array" aca="1" ref="F106" ca="1">_xlfn.XLOOKUP($B106,    INDIRECT("'" &amp; $C$3 &amp; "'!$A$20:$A$219"),    _xlfn.XLOOKUP(F$18,INDIRECT("'" &amp; $C$3 &amp; "'!$B$18:$X$18"), INDIRECT("'" &amp; $C$3 &amp; "'!$B$20:$X$219"),"XXXXX",0,1),    "XX",    0,    1)</f>
        <v>10</v>
      </c>
      <c r="G106" s="11">
        <f>_xlfn.XLOOKUP($A106,'Conical section geometry'!$B$11:$B$17,'Conical section geometry'!$E$11:$E$17,"XXXX",0,1)</f>
        <v>-174.99340000000001</v>
      </c>
      <c r="H106" s="11" cm="1">
        <f t="array" aca="1" ref="H106" ca="1">_xlfn.XLOOKUP($B106,    INDIRECT("'" &amp; $C$3 &amp; "'!$A$20:$A$219"),    _xlfn.XLOOKUP(H$18,INDIRECT("'" &amp; $C$3 &amp; "'!$B$18:$X$18"), INDIRECT("'" &amp; $C$3 &amp; "'!$B$20:$X$219"),"XXXXX",0,1),    "XX",    0,    1)</f>
        <v>-32.1</v>
      </c>
      <c r="I106" s="11" cm="1">
        <f t="array" aca="1" ref="I106" ca="1">_xlfn.XLOOKUP($B106,    INDIRECT("'" &amp; $C$3 &amp; "'!$A$20:$A$219"),    _xlfn.XLOOKUP(I$18,INDIRECT("'" &amp; $C$3 &amp; "'!$B$18:$X$18"), INDIRECT("'" &amp; $C$3 &amp; "'!$B$20:$X$219"),"XXXXX",0,1),    "XX",    0,    1)</f>
        <v>86.9</v>
      </c>
      <c r="J106" s="11">
        <f t="shared" si="16"/>
        <v>31.9</v>
      </c>
      <c r="K106" s="11">
        <f t="shared" si="17"/>
        <v>11.428999999999998</v>
      </c>
      <c r="L106" s="11">
        <f t="shared" si="18"/>
        <v>43.328999999999994</v>
      </c>
      <c r="M106" s="11" cm="1">
        <f t="array" aca="1" ref="M106" ca="1">_xlfn.XLOOKUP($B106,    INDIRECT("'" &amp; $C$3 &amp; "'!$A$20:$A$219"),    _xlfn.XLOOKUP(M$18,INDIRECT("'" &amp; $C$3 &amp; "'!$B$18:$X$18"), INDIRECT("'" &amp; $C$3 &amp; "'!$B$20:$X$219"),"XXXXX",0,1),    "XX",    0,    1)</f>
        <v>29.4</v>
      </c>
      <c r="N106" s="11">
        <f t="shared" ca="1" si="19"/>
        <v>22.900000000000006</v>
      </c>
      <c r="O106" s="4">
        <f t="shared" ca="1" si="20"/>
        <v>11.471000000000011</v>
      </c>
      <c r="P106" s="11">
        <v>17.756948890643898</v>
      </c>
      <c r="Q106" s="11">
        <f t="shared" ca="1" si="21"/>
        <v>37.043051109356107</v>
      </c>
      <c r="R106" s="11" t="str">
        <f t="shared" ca="1" si="22"/>
        <v>conical</v>
      </c>
      <c r="S106" s="13">
        <f t="shared" ca="1" si="23"/>
        <v>8.8999999999999968</v>
      </c>
      <c r="T106" s="13"/>
    </row>
    <row r="107" spans="1:20" x14ac:dyDescent="0.2">
      <c r="A107" s="11" t="s">
        <v>3</v>
      </c>
      <c r="B107" s="11" t="s">
        <v>115</v>
      </c>
      <c r="C107" s="11">
        <f>_xlfn.XLOOKUP($A107,'Conical section geometry'!$B$11:$B$17,'Conical section geometry'!$C$11:$C$17,"XXXX",0,1)</f>
        <v>-6.5</v>
      </c>
      <c r="D107" s="11">
        <f>_xlfn.XLOOKUP($A107,'Conical section geometry'!$B$11:$B$17,'Conical section geometry'!$D$11:$D$17,"XXXX",0,1)</f>
        <v>-17.928999999999998</v>
      </c>
      <c r="E107" s="11" cm="1">
        <f t="array" aca="1" ref="E107" ca="1">_xlfn.XLOOKUP($B107,    INDIRECT("'" &amp; $C$3 &amp; "'!$A$20:$A$219"),    _xlfn.XLOOKUP(E$18,INDIRECT("'" &amp; $C$3 &amp; "'!$B$18:$X$18"), INDIRECT("'" &amp; $C$3 &amp; "'!$B$20:$X$219"),"XXXXX",0,1),    "XX",    0,    1)</f>
        <v>8</v>
      </c>
      <c r="F107" s="11" cm="1">
        <f t="array" aca="1" ref="F107" ca="1">_xlfn.XLOOKUP($B107,    INDIRECT("'" &amp; $C$3 &amp; "'!$A$20:$A$219"),    _xlfn.XLOOKUP(F$18,INDIRECT("'" &amp; $C$3 &amp; "'!$B$18:$X$18"), INDIRECT("'" &amp; $C$3 &amp; "'!$B$20:$X$219"),"XXXXX",0,1),    "XX",    0,    1)</f>
        <v>10</v>
      </c>
      <c r="G107" s="11">
        <f>_xlfn.XLOOKUP($A107,'Conical section geometry'!$B$11:$B$17,'Conical section geometry'!$E$11:$E$17,"XXXX",0,1)</f>
        <v>-174.99340000000001</v>
      </c>
      <c r="H107" s="11" cm="1">
        <f t="array" aca="1" ref="H107" ca="1">_xlfn.XLOOKUP($B107,    INDIRECT("'" &amp; $C$3 &amp; "'!$A$20:$A$219"),    _xlfn.XLOOKUP(H$18,INDIRECT("'" &amp; $C$3 &amp; "'!$B$18:$X$18"), INDIRECT("'" &amp; $C$3 &amp; "'!$B$20:$X$219"),"XXXXX",0,1),    "XX",    0,    1)</f>
        <v>-32.5</v>
      </c>
      <c r="I107" s="11" cm="1">
        <f t="array" aca="1" ref="I107" ca="1">_xlfn.XLOOKUP($B107,    INDIRECT("'" &amp; $C$3 &amp; "'!$A$20:$A$219"),    _xlfn.XLOOKUP(I$18,INDIRECT("'" &amp; $C$3 &amp; "'!$B$18:$X$18"), INDIRECT("'" &amp; $C$3 &amp; "'!$B$20:$X$219"),"XXXXX",0,1),    "XX",    0,    1)</f>
        <v>87.3</v>
      </c>
      <c r="J107" s="11">
        <f t="shared" si="16"/>
        <v>31.9</v>
      </c>
      <c r="K107" s="11">
        <f t="shared" si="17"/>
        <v>11.428999999999998</v>
      </c>
      <c r="L107" s="11">
        <f t="shared" si="18"/>
        <v>43.328999999999994</v>
      </c>
      <c r="M107" s="11" cm="1">
        <f t="array" aca="1" ref="M107" ca="1">_xlfn.XLOOKUP($B107,    INDIRECT("'" &amp; $C$3 &amp; "'!$A$20:$A$219"),    _xlfn.XLOOKUP(M$18,INDIRECT("'" &amp; $C$3 &amp; "'!$B$18:$X$18"), INDIRECT("'" &amp; $C$3 &amp; "'!$B$20:$X$219"),"XXXXX",0,1),    "XX",    0,    1)</f>
        <v>29.4</v>
      </c>
      <c r="N107" s="11">
        <f t="shared" ca="1" si="19"/>
        <v>22.9</v>
      </c>
      <c r="O107" s="4">
        <f t="shared" ca="1" si="20"/>
        <v>11.471000000000004</v>
      </c>
      <c r="P107" s="11">
        <v>17.756948890643891</v>
      </c>
      <c r="Q107" s="11">
        <f t="shared" ca="1" si="21"/>
        <v>37.043051109356107</v>
      </c>
      <c r="R107" s="11" t="str">
        <f t="shared" ca="1" si="22"/>
        <v>conical</v>
      </c>
      <c r="S107" s="13">
        <f t="shared" ca="1" si="23"/>
        <v>8.8999999999999968</v>
      </c>
      <c r="T107" s="13"/>
    </row>
    <row r="108" spans="1:20" x14ac:dyDescent="0.2">
      <c r="A108" s="11" t="s">
        <v>3</v>
      </c>
      <c r="B108" s="11" t="s">
        <v>145</v>
      </c>
      <c r="C108" s="11">
        <f>_xlfn.XLOOKUP($A108,'Conical section geometry'!$B$11:$B$17,'Conical section geometry'!$C$11:$C$17,"XXXX",0,1)</f>
        <v>-6.5</v>
      </c>
      <c r="D108" s="11">
        <f>_xlfn.XLOOKUP($A108,'Conical section geometry'!$B$11:$B$17,'Conical section geometry'!$D$11:$D$17,"XXXX",0,1)</f>
        <v>-17.928999999999998</v>
      </c>
      <c r="E108" s="11" cm="1">
        <f t="array" aca="1" ref="E108" ca="1">_xlfn.XLOOKUP($B108,    INDIRECT("'" &amp; $C$3 &amp; "'!$A$20:$A$219"),    _xlfn.XLOOKUP(E$18,INDIRECT("'" &amp; $C$3 &amp; "'!$B$18:$X$18"), INDIRECT("'" &amp; $C$3 &amp; "'!$B$20:$X$219"),"XXXXX",0,1),    "XX",    0,    1)</f>
        <v>8</v>
      </c>
      <c r="F108" s="11" cm="1">
        <f t="array" aca="1" ref="F108" ca="1">_xlfn.XLOOKUP($B108,    INDIRECT("'" &amp; $C$3 &amp; "'!$A$20:$A$219"),    _xlfn.XLOOKUP(F$18,INDIRECT("'" &amp; $C$3 &amp; "'!$B$18:$X$18"), INDIRECT("'" &amp; $C$3 &amp; "'!$B$20:$X$219"),"XXXXX",0,1),    "XX",    0,    1)</f>
        <v>10</v>
      </c>
      <c r="G108" s="11">
        <f>_xlfn.XLOOKUP($A108,'Conical section geometry'!$B$11:$B$17,'Conical section geometry'!$E$11:$E$17,"XXXX",0,1)</f>
        <v>-174.99340000000001</v>
      </c>
      <c r="H108" s="11" cm="1">
        <f t="array" aca="1" ref="H108" ca="1">_xlfn.XLOOKUP($B108,    INDIRECT("'" &amp; $C$3 &amp; "'!$A$20:$A$219"),    _xlfn.XLOOKUP(H$18,INDIRECT("'" &amp; $C$3 &amp; "'!$B$18:$X$18"), INDIRECT("'" &amp; $C$3 &amp; "'!$B$20:$X$219"),"XXXXX",0,1),    "XX",    0,    1)</f>
        <v>-30.5</v>
      </c>
      <c r="I108" s="11" cm="1">
        <f t="array" aca="1" ref="I108" ca="1">_xlfn.XLOOKUP($B108,    INDIRECT("'" &amp; $C$3 &amp; "'!$A$20:$A$219"),    _xlfn.XLOOKUP(I$18,INDIRECT("'" &amp; $C$3 &amp; "'!$B$18:$X$18"), INDIRECT("'" &amp; $C$3 &amp; "'!$B$20:$X$219"),"XXXXX",0,1),    "XX",    0,    1)</f>
        <v>85.2</v>
      </c>
      <c r="J108" s="11">
        <f t="shared" si="16"/>
        <v>31.9</v>
      </c>
      <c r="K108" s="11">
        <f t="shared" si="17"/>
        <v>11.428999999999998</v>
      </c>
      <c r="L108" s="11">
        <f t="shared" si="18"/>
        <v>43.328999999999994</v>
      </c>
      <c r="M108" s="11" cm="1">
        <f t="array" aca="1" ref="M108" ca="1">_xlfn.XLOOKUP($B108,    INDIRECT("'" &amp; $C$3 &amp; "'!$A$20:$A$219"),    _xlfn.XLOOKUP(M$18,INDIRECT("'" &amp; $C$3 &amp; "'!$B$18:$X$18"), INDIRECT("'" &amp; $C$3 &amp; "'!$B$20:$X$219"),"XXXXX",0,1),    "XX",    0,    1)</f>
        <v>29.3</v>
      </c>
      <c r="N108" s="11">
        <f t="shared" ca="1" si="19"/>
        <v>22.800000000000004</v>
      </c>
      <c r="O108" s="4">
        <f t="shared" ca="1" si="20"/>
        <v>11.371000000000009</v>
      </c>
      <c r="P108" s="11">
        <v>17.656948890643875</v>
      </c>
      <c r="Q108" s="11">
        <f t="shared" ca="1" si="21"/>
        <v>37.043051109356128</v>
      </c>
      <c r="R108" s="11" t="str">
        <f t="shared" ca="1" si="22"/>
        <v>conical</v>
      </c>
      <c r="S108" s="13">
        <f t="shared" ca="1" si="23"/>
        <v>8.9</v>
      </c>
      <c r="T108" s="13"/>
    </row>
    <row r="109" spans="1:20" x14ac:dyDescent="0.2">
      <c r="A109" s="11" t="s">
        <v>3</v>
      </c>
      <c r="B109" s="11" t="s">
        <v>164</v>
      </c>
      <c r="C109" s="11">
        <f>_xlfn.XLOOKUP($A109,'Conical section geometry'!$B$11:$B$17,'Conical section geometry'!$C$11:$C$17,"XXXX",0,1)</f>
        <v>-6.5</v>
      </c>
      <c r="D109" s="11">
        <f>_xlfn.XLOOKUP($A109,'Conical section geometry'!$B$11:$B$17,'Conical section geometry'!$D$11:$D$17,"XXXX",0,1)</f>
        <v>-17.928999999999998</v>
      </c>
      <c r="E109" s="11" cm="1">
        <f t="array" aca="1" ref="E109" ca="1">_xlfn.XLOOKUP($B109,    INDIRECT("'" &amp; $C$3 &amp; "'!$A$20:$A$219"),    _xlfn.XLOOKUP(E$18,INDIRECT("'" &amp; $C$3 &amp; "'!$B$18:$X$18"), INDIRECT("'" &amp; $C$3 &amp; "'!$B$20:$X$219"),"XXXXX",0,1),    "XX",    0,    1)</f>
        <v>8</v>
      </c>
      <c r="F109" s="11" cm="1">
        <f t="array" aca="1" ref="F109" ca="1">_xlfn.XLOOKUP($B109,    INDIRECT("'" &amp; $C$3 &amp; "'!$A$20:$A$219"),    _xlfn.XLOOKUP(F$18,INDIRECT("'" &amp; $C$3 &amp; "'!$B$18:$X$18"), INDIRECT("'" &amp; $C$3 &amp; "'!$B$20:$X$219"),"XXXXX",0,1),    "XX",    0,    1)</f>
        <v>10</v>
      </c>
      <c r="G109" s="11">
        <f>_xlfn.XLOOKUP($A109,'Conical section geometry'!$B$11:$B$17,'Conical section geometry'!$E$11:$E$17,"XXXX",0,1)</f>
        <v>-174.99340000000001</v>
      </c>
      <c r="H109" s="11" cm="1">
        <f t="array" aca="1" ref="H109" ca="1">_xlfn.XLOOKUP($B109,    INDIRECT("'" &amp; $C$3 &amp; "'!$A$20:$A$219"),    _xlfn.XLOOKUP(H$18,INDIRECT("'" &amp; $C$3 &amp; "'!$B$18:$X$18"), INDIRECT("'" &amp; $C$3 &amp; "'!$B$20:$X$219"),"XXXXX",0,1),    "XX",    0,    1)</f>
        <v>-37.299999999999997</v>
      </c>
      <c r="I109" s="11" cm="1">
        <f t="array" aca="1" ref="I109" ca="1">_xlfn.XLOOKUP($B109,    INDIRECT("'" &amp; $C$3 &amp; "'!$A$20:$A$219"),    _xlfn.XLOOKUP(I$18,INDIRECT("'" &amp; $C$3 &amp; "'!$B$18:$X$18"), INDIRECT("'" &amp; $C$3 &amp; "'!$B$20:$X$219"),"XXXXX",0,1),    "XX",    0,    1)</f>
        <v>92</v>
      </c>
      <c r="J109" s="11">
        <f t="shared" si="16"/>
        <v>31.9</v>
      </c>
      <c r="K109" s="11">
        <f t="shared" si="17"/>
        <v>11.428999999999998</v>
      </c>
      <c r="L109" s="11">
        <f t="shared" si="18"/>
        <v>43.328999999999994</v>
      </c>
      <c r="M109" s="11" cm="1">
        <f t="array" aca="1" ref="M109" ca="1">_xlfn.XLOOKUP($B109,    INDIRECT("'" &amp; $C$3 &amp; "'!$A$20:$A$219"),    _xlfn.XLOOKUP(M$18,INDIRECT("'" &amp; $C$3 &amp; "'!$B$18:$X$18"), INDIRECT("'" &amp; $C$3 &amp; "'!$B$20:$X$219"),"XXXXX",0,1),    "XX",    0,    1)</f>
        <v>29.3</v>
      </c>
      <c r="N109" s="11">
        <f t="shared" ca="1" si="19"/>
        <v>22.800000000000004</v>
      </c>
      <c r="O109" s="4">
        <f t="shared" ca="1" si="20"/>
        <v>11.371000000000009</v>
      </c>
      <c r="P109" s="11">
        <v>17.656948890643868</v>
      </c>
      <c r="Q109" s="11">
        <f t="shared" ca="1" si="21"/>
        <v>37.043051109356135</v>
      </c>
      <c r="R109" s="11" t="str">
        <f t="shared" ca="1" si="22"/>
        <v>conical</v>
      </c>
      <c r="S109" s="13">
        <f t="shared" ca="1" si="23"/>
        <v>8.9000000000000021</v>
      </c>
      <c r="T109" s="13"/>
    </row>
    <row r="110" spans="1:20" x14ac:dyDescent="0.2">
      <c r="A110" s="11" t="s">
        <v>3</v>
      </c>
      <c r="B110" s="11" t="s">
        <v>58</v>
      </c>
      <c r="C110" s="11">
        <f>_xlfn.XLOOKUP($A110,'Conical section geometry'!$B$11:$B$17,'Conical section geometry'!$C$11:$C$17,"XXXX",0,1)</f>
        <v>-6.5</v>
      </c>
      <c r="D110" s="11">
        <f>_xlfn.XLOOKUP($A110,'Conical section geometry'!$B$11:$B$17,'Conical section geometry'!$D$11:$D$17,"XXXX",0,1)</f>
        <v>-17.928999999999998</v>
      </c>
      <c r="E110" s="11" cm="1">
        <f t="array" aca="1" ref="E110" ca="1">_xlfn.XLOOKUP($B110,    INDIRECT("'" &amp; $C$3 &amp; "'!$A$20:$A$219"),    _xlfn.XLOOKUP(E$18,INDIRECT("'" &amp; $C$3 &amp; "'!$B$18:$X$18"), INDIRECT("'" &amp; $C$3 &amp; "'!$B$20:$X$219"),"XXXXX",0,1),    "XX",    0,    1)</f>
        <v>8</v>
      </c>
      <c r="F110" s="11" cm="1">
        <f t="array" aca="1" ref="F110" ca="1">_xlfn.XLOOKUP($B110,    INDIRECT("'" &amp; $C$3 &amp; "'!$A$20:$A$219"),    _xlfn.XLOOKUP(F$18,INDIRECT("'" &amp; $C$3 &amp; "'!$B$18:$X$18"), INDIRECT("'" &amp; $C$3 &amp; "'!$B$20:$X$219"),"XXXXX",0,1),    "XX",    0,    1)</f>
        <v>10</v>
      </c>
      <c r="G110" s="11">
        <f>_xlfn.XLOOKUP($A110,'Conical section geometry'!$B$11:$B$17,'Conical section geometry'!$E$11:$E$17,"XXXX",0,1)</f>
        <v>-174.99340000000001</v>
      </c>
      <c r="H110" s="11" cm="1">
        <f t="array" aca="1" ref="H110" ca="1">_xlfn.XLOOKUP($B110,    INDIRECT("'" &amp; $C$3 &amp; "'!$A$20:$A$219"),    _xlfn.XLOOKUP(H$18,INDIRECT("'" &amp; $C$3 &amp; "'!$B$18:$X$18"), INDIRECT("'" &amp; $C$3 &amp; "'!$B$20:$X$219"),"XXXXX",0,1),    "XX",    0,    1)</f>
        <v>-36</v>
      </c>
      <c r="I110" s="11" cm="1">
        <f t="array" aca="1" ref="I110" ca="1">_xlfn.XLOOKUP($B110,    INDIRECT("'" &amp; $C$3 &amp; "'!$A$20:$A$219"),    _xlfn.XLOOKUP(I$18,INDIRECT("'" &amp; $C$3 &amp; "'!$B$18:$X$18"), INDIRECT("'" &amp; $C$3 &amp; "'!$B$20:$X$219"),"XXXXX",0,1),    "XX",    0,    1)</f>
        <v>90.7</v>
      </c>
      <c r="J110" s="11">
        <f t="shared" si="16"/>
        <v>31.9</v>
      </c>
      <c r="K110" s="11">
        <f t="shared" si="17"/>
        <v>11.428999999999998</v>
      </c>
      <c r="L110" s="11">
        <f t="shared" si="18"/>
        <v>43.328999999999994</v>
      </c>
      <c r="M110" s="11" cm="1">
        <f t="array" aca="1" ref="M110" ca="1">_xlfn.XLOOKUP($B110,    INDIRECT("'" &amp; $C$3 &amp; "'!$A$20:$A$219"),    _xlfn.XLOOKUP(M$18,INDIRECT("'" &amp; $C$3 &amp; "'!$B$18:$X$18"), INDIRECT("'" &amp; $C$3 &amp; "'!$B$20:$X$219"),"XXXXX",0,1),    "XX",    0,    1)</f>
        <v>29.3</v>
      </c>
      <c r="N110" s="11">
        <f t="shared" ca="1" si="19"/>
        <v>22.800000000000004</v>
      </c>
      <c r="O110" s="4">
        <f t="shared" ca="1" si="20"/>
        <v>11.371000000000009</v>
      </c>
      <c r="P110" s="11">
        <v>17.656948890643864</v>
      </c>
      <c r="Q110" s="11">
        <f t="shared" ca="1" si="21"/>
        <v>37.043051109356142</v>
      </c>
      <c r="R110" s="11" t="str">
        <f t="shared" ca="1" si="22"/>
        <v>conical</v>
      </c>
      <c r="S110" s="13">
        <f t="shared" ca="1" si="23"/>
        <v>8.9000000000000039</v>
      </c>
      <c r="T110" s="13"/>
    </row>
    <row r="111" spans="1:20" x14ac:dyDescent="0.2">
      <c r="A111" s="11" t="s">
        <v>4</v>
      </c>
      <c r="B111" s="11" t="s">
        <v>170</v>
      </c>
      <c r="C111" s="11">
        <f>_xlfn.XLOOKUP($A111,'Conical section geometry'!$B$11:$B$17,'Conical section geometry'!$C$11:$C$17,"XXXX",0,1)</f>
        <v>-6.5</v>
      </c>
      <c r="D111" s="11">
        <f>_xlfn.XLOOKUP($A111,'Conical section geometry'!$B$11:$B$17,'Conical section geometry'!$D$11:$D$17,"XXXX",0,1)</f>
        <v>-20.786000000000001</v>
      </c>
      <c r="E111" s="11" cm="1">
        <f t="array" aca="1" ref="E111" ca="1">_xlfn.XLOOKUP($B111,    INDIRECT("'" &amp; $C$3 &amp; "'!$A$20:$A$219"),    _xlfn.XLOOKUP(E$18,INDIRECT("'" &amp; $C$3 &amp; "'!$B$18:$X$18"), INDIRECT("'" &amp; $C$3 &amp; "'!$B$20:$X$219"),"XXXXX",0,1),    "XX",    0,    1)</f>
        <v>8</v>
      </c>
      <c r="F111" s="11" cm="1">
        <f t="array" aca="1" ref="F111" ca="1">_xlfn.XLOOKUP($B111,    INDIRECT("'" &amp; $C$3 &amp; "'!$A$20:$A$219"),    _xlfn.XLOOKUP(F$18,INDIRECT("'" &amp; $C$3 &amp; "'!$B$18:$X$18"), INDIRECT("'" &amp; $C$3 &amp; "'!$B$20:$X$219"),"XXXXX",0,1),    "XX",    0,    1)</f>
        <v>10.5</v>
      </c>
      <c r="G111" s="11">
        <f>_xlfn.XLOOKUP($A111,'Conical section geometry'!$B$11:$B$17,'Conical section geometry'!$E$11:$E$17,"XXXX",0,1)</f>
        <v>-174.996500069999</v>
      </c>
      <c r="H111" s="11" cm="1">
        <f t="array" aca="1" ref="H111" ca="1">_xlfn.XLOOKUP($B111,    INDIRECT("'" &amp; $C$3 &amp; "'!$A$20:$A$219"),    _xlfn.XLOOKUP(H$18,INDIRECT("'" &amp; $C$3 &amp; "'!$B$18:$X$18"), INDIRECT("'" &amp; $C$3 &amp; "'!$B$20:$X$219"),"XXXXX",0,1),    "XX",    0,    1)</f>
        <v>-41.3</v>
      </c>
      <c r="I111" s="11" cm="1">
        <f t="array" aca="1" ref="I111" ca="1">_xlfn.XLOOKUP($B111,    INDIRECT("'" &amp; $C$3 &amp; "'!$A$20:$A$219"),    _xlfn.XLOOKUP(I$18,INDIRECT("'" &amp; $C$3 &amp; "'!$B$18:$X$18"), INDIRECT("'" &amp; $C$3 &amp; "'!$B$20:$X$219"),"XXXXX",0,1),    "XX",    0,    1)</f>
        <v>95.9</v>
      </c>
      <c r="J111" s="11">
        <f t="shared" si="16"/>
        <v>31.9</v>
      </c>
      <c r="K111" s="11">
        <f t="shared" si="17"/>
        <v>14.286000000000001</v>
      </c>
      <c r="L111" s="11">
        <f t="shared" si="18"/>
        <v>46.186</v>
      </c>
      <c r="M111" s="11" cm="1">
        <f t="array" aca="1" ref="M111" ca="1">_xlfn.XLOOKUP($B111,    INDIRECT("'" &amp; $C$3 &amp; "'!$A$20:$A$219"),    _xlfn.XLOOKUP(M$18,INDIRECT("'" &amp; $C$3 &amp; "'!$B$18:$X$18"), INDIRECT("'" &amp; $C$3 &amp; "'!$B$20:$X$219"),"XXXXX",0,1),    "XX",    0,    1)</f>
        <v>29.2</v>
      </c>
      <c r="N111" s="11">
        <f t="shared" ca="1" si="19"/>
        <v>22.700000000000003</v>
      </c>
      <c r="O111" s="4">
        <f t="shared" ca="1" si="20"/>
        <v>8.4140000000000086</v>
      </c>
      <c r="P111" s="11">
        <v>17.557039999999997</v>
      </c>
      <c r="Q111" s="11">
        <f t="shared" ca="1" si="21"/>
        <v>37.042960000000008</v>
      </c>
      <c r="R111" s="11" t="str">
        <f t="shared" ca="1" si="22"/>
        <v>conical</v>
      </c>
      <c r="S111" s="13">
        <f t="shared" ca="1" si="23"/>
        <v>8.9000000000000039</v>
      </c>
      <c r="T111" s="13"/>
    </row>
    <row r="112" spans="1:20" x14ac:dyDescent="0.2">
      <c r="A112" s="11" t="s">
        <v>3</v>
      </c>
      <c r="B112" s="11" t="s">
        <v>155</v>
      </c>
      <c r="C112" s="11">
        <f>_xlfn.XLOOKUP($A112,'Conical section geometry'!$B$11:$B$17,'Conical section geometry'!$C$11:$C$17,"XXXX",0,1)</f>
        <v>-6.5</v>
      </c>
      <c r="D112" s="11">
        <f>_xlfn.XLOOKUP($A112,'Conical section geometry'!$B$11:$B$17,'Conical section geometry'!$D$11:$D$17,"XXXX",0,1)</f>
        <v>-17.928999999999998</v>
      </c>
      <c r="E112" s="11" cm="1">
        <f t="array" aca="1" ref="E112" ca="1">_xlfn.XLOOKUP($B112,    INDIRECT("'" &amp; $C$3 &amp; "'!$A$20:$A$219"),    _xlfn.XLOOKUP(E$18,INDIRECT("'" &amp; $C$3 &amp; "'!$B$18:$X$18"), INDIRECT("'" &amp; $C$3 &amp; "'!$B$20:$X$219"),"XXXXX",0,1),    "XX",    0,    1)</f>
        <v>8</v>
      </c>
      <c r="F112" s="11" cm="1">
        <f t="array" aca="1" ref="F112" ca="1">_xlfn.XLOOKUP($B112,    INDIRECT("'" &amp; $C$3 &amp; "'!$A$20:$A$219"),    _xlfn.XLOOKUP(F$18,INDIRECT("'" &amp; $C$3 &amp; "'!$B$18:$X$18"), INDIRECT("'" &amp; $C$3 &amp; "'!$B$20:$X$219"),"XXXXX",0,1),    "XX",    0,    1)</f>
        <v>10</v>
      </c>
      <c r="G112" s="11">
        <f>_xlfn.XLOOKUP($A112,'Conical section geometry'!$B$11:$B$17,'Conical section geometry'!$E$11:$E$17,"XXXX",0,1)</f>
        <v>-174.99340000000001</v>
      </c>
      <c r="H112" s="11" cm="1">
        <f t="array" aca="1" ref="H112" ca="1">_xlfn.XLOOKUP($B112,    INDIRECT("'" &amp; $C$3 &amp; "'!$A$20:$A$219"),    _xlfn.XLOOKUP(H$18,INDIRECT("'" &amp; $C$3 &amp; "'!$B$18:$X$18"), INDIRECT("'" &amp; $C$3 &amp; "'!$B$20:$X$219"),"XXXXX",0,1),    "XX",    0,    1)</f>
        <v>-29.4</v>
      </c>
      <c r="I112" s="11" cm="1">
        <f t="array" aca="1" ref="I112" ca="1">_xlfn.XLOOKUP($B112,    INDIRECT("'" &amp; $C$3 &amp; "'!$A$20:$A$219"),    _xlfn.XLOOKUP(I$18,INDIRECT("'" &amp; $C$3 &amp; "'!$B$18:$X$18"), INDIRECT("'" &amp; $C$3 &amp; "'!$B$20:$X$219"),"XXXXX",0,1),    "XX",    0,    1)</f>
        <v>84</v>
      </c>
      <c r="J112" s="11">
        <f t="shared" si="16"/>
        <v>31.9</v>
      </c>
      <c r="K112" s="11">
        <f t="shared" si="17"/>
        <v>11.428999999999998</v>
      </c>
      <c r="L112" s="11">
        <f t="shared" si="18"/>
        <v>43.328999999999994</v>
      </c>
      <c r="M112" s="11" cm="1">
        <f t="array" aca="1" ref="M112" ca="1">_xlfn.XLOOKUP($B112,    INDIRECT("'" &amp; $C$3 &amp; "'!$A$20:$A$219"),    _xlfn.XLOOKUP(M$18,INDIRECT("'" &amp; $C$3 &amp; "'!$B$18:$X$18"), INDIRECT("'" &amp; $C$3 &amp; "'!$B$20:$X$219"),"XXXXX",0,1),    "XX",    0,    1)</f>
        <v>29.2</v>
      </c>
      <c r="N112" s="11">
        <f t="shared" ca="1" si="19"/>
        <v>22.700000000000003</v>
      </c>
      <c r="O112" s="4">
        <f t="shared" ca="1" si="20"/>
        <v>11.271000000000008</v>
      </c>
      <c r="P112" s="11">
        <v>17.556948890643888</v>
      </c>
      <c r="Q112" s="11">
        <f t="shared" ca="1" si="21"/>
        <v>37.043051109356114</v>
      </c>
      <c r="R112" s="11" t="str">
        <f t="shared" ca="1" si="22"/>
        <v>conical</v>
      </c>
      <c r="S112" s="13">
        <f t="shared" ca="1" si="23"/>
        <v>8.8999999999999986</v>
      </c>
      <c r="T112" s="13"/>
    </row>
    <row r="113" spans="1:20" x14ac:dyDescent="0.2">
      <c r="A113" s="11" t="s">
        <v>3</v>
      </c>
      <c r="B113" s="11" t="s">
        <v>68</v>
      </c>
      <c r="C113" s="11">
        <f>_xlfn.XLOOKUP($A113,'Conical section geometry'!$B$11:$B$17,'Conical section geometry'!$C$11:$C$17,"XXXX",0,1)</f>
        <v>-6.5</v>
      </c>
      <c r="D113" s="11">
        <f>_xlfn.XLOOKUP($A113,'Conical section geometry'!$B$11:$B$17,'Conical section geometry'!$D$11:$D$17,"XXXX",0,1)</f>
        <v>-17.928999999999998</v>
      </c>
      <c r="E113" s="11" cm="1">
        <f t="array" aca="1" ref="E113" ca="1">_xlfn.XLOOKUP($B113,    INDIRECT("'" &amp; $C$3 &amp; "'!$A$20:$A$219"),    _xlfn.XLOOKUP(E$18,INDIRECT("'" &amp; $C$3 &amp; "'!$B$18:$X$18"), INDIRECT("'" &amp; $C$3 &amp; "'!$B$20:$X$219"),"XXXXX",0,1),    "XX",    0,    1)</f>
        <v>8</v>
      </c>
      <c r="F113" s="11" cm="1">
        <f t="array" aca="1" ref="F113" ca="1">_xlfn.XLOOKUP($B113,    INDIRECT("'" &amp; $C$3 &amp; "'!$A$20:$A$219"),    _xlfn.XLOOKUP(F$18,INDIRECT("'" &amp; $C$3 &amp; "'!$B$18:$X$18"), INDIRECT("'" &amp; $C$3 &amp; "'!$B$20:$X$219"),"XXXXX",0,1),    "XX",    0,    1)</f>
        <v>10</v>
      </c>
      <c r="G113" s="11">
        <f>_xlfn.XLOOKUP($A113,'Conical section geometry'!$B$11:$B$17,'Conical section geometry'!$E$11:$E$17,"XXXX",0,1)</f>
        <v>-174.99340000000001</v>
      </c>
      <c r="H113" s="11" cm="1">
        <f t="array" aca="1" ref="H113" ca="1">_xlfn.XLOOKUP($B113,    INDIRECT("'" &amp; $C$3 &amp; "'!$A$20:$A$219"),    _xlfn.XLOOKUP(H$18,INDIRECT("'" &amp; $C$3 &amp; "'!$B$18:$X$18"), INDIRECT("'" &amp; $C$3 &amp; "'!$B$20:$X$219"),"XXXXX",0,1),    "XX",    0,    1)</f>
        <v>-34.799999999999997</v>
      </c>
      <c r="I113" s="11" cm="1">
        <f t="array" aca="1" ref="I113" ca="1">_xlfn.XLOOKUP($B113,    INDIRECT("'" &amp; $C$3 &amp; "'!$A$20:$A$219"),    _xlfn.XLOOKUP(I$18,INDIRECT("'" &amp; $C$3 &amp; "'!$B$18:$X$18"), INDIRECT("'" &amp; $C$3 &amp; "'!$B$20:$X$219"),"XXXXX",0,1),    "XX",    0,    1)</f>
        <v>89.4</v>
      </c>
      <c r="J113" s="11">
        <f t="shared" si="16"/>
        <v>31.9</v>
      </c>
      <c r="K113" s="11">
        <f t="shared" si="17"/>
        <v>11.428999999999998</v>
      </c>
      <c r="L113" s="11">
        <f t="shared" si="18"/>
        <v>43.328999999999994</v>
      </c>
      <c r="M113" s="11" cm="1">
        <f t="array" aca="1" ref="M113" ca="1">_xlfn.XLOOKUP($B113,    INDIRECT("'" &amp; $C$3 &amp; "'!$A$20:$A$219"),    _xlfn.XLOOKUP(M$18,INDIRECT("'" &amp; $C$3 &amp; "'!$B$18:$X$18"), INDIRECT("'" &amp; $C$3 &amp; "'!$B$20:$X$219"),"XXXXX",0,1),    "XX",    0,    1)</f>
        <v>29.2</v>
      </c>
      <c r="N113" s="11">
        <f t="shared" ca="1" si="19"/>
        <v>22.70000000000001</v>
      </c>
      <c r="O113" s="4">
        <f t="shared" ca="1" si="20"/>
        <v>11.271000000000015</v>
      </c>
      <c r="P113" s="11">
        <v>17.556948890643866</v>
      </c>
      <c r="Q113" s="11">
        <f t="shared" ca="1" si="21"/>
        <v>37.043051109356142</v>
      </c>
      <c r="R113" s="11" t="str">
        <f t="shared" ca="1" si="22"/>
        <v>conical</v>
      </c>
      <c r="S113" s="13">
        <f t="shared" ca="1" si="23"/>
        <v>8.9000000000000039</v>
      </c>
      <c r="T113" s="13"/>
    </row>
    <row r="114" spans="1:20" x14ac:dyDescent="0.2">
      <c r="A114" s="11" t="s">
        <v>3</v>
      </c>
      <c r="B114" s="11" t="s">
        <v>40</v>
      </c>
      <c r="C114" s="11">
        <f>_xlfn.XLOOKUP($A114,'Conical section geometry'!$B$11:$B$17,'Conical section geometry'!$C$11:$C$17,"XXXX",0,1)</f>
        <v>-6.5</v>
      </c>
      <c r="D114" s="11">
        <f>_xlfn.XLOOKUP($A114,'Conical section geometry'!$B$11:$B$17,'Conical section geometry'!$D$11:$D$17,"XXXX",0,1)</f>
        <v>-17.928999999999998</v>
      </c>
      <c r="E114" s="11" cm="1">
        <f t="array" aca="1" ref="E114" ca="1">_xlfn.XLOOKUP($B114,    INDIRECT("'" &amp; $C$3 &amp; "'!$A$20:$A$219"),    _xlfn.XLOOKUP(E$18,INDIRECT("'" &amp; $C$3 &amp; "'!$B$18:$X$18"), INDIRECT("'" &amp; $C$3 &amp; "'!$B$20:$X$219"),"XXXXX",0,1),    "XX",    0,    1)</f>
        <v>8</v>
      </c>
      <c r="F114" s="11" cm="1">
        <f t="array" aca="1" ref="F114" ca="1">_xlfn.XLOOKUP($B114,    INDIRECT("'" &amp; $C$3 &amp; "'!$A$20:$A$219"),    _xlfn.XLOOKUP(F$18,INDIRECT("'" &amp; $C$3 &amp; "'!$B$18:$X$18"), INDIRECT("'" &amp; $C$3 &amp; "'!$B$20:$X$219"),"XXXXX",0,1),    "XX",    0,    1)</f>
        <v>10</v>
      </c>
      <c r="G114" s="11">
        <f>_xlfn.XLOOKUP($A114,'Conical section geometry'!$B$11:$B$17,'Conical section geometry'!$E$11:$E$17,"XXXX",0,1)</f>
        <v>-174.99340000000001</v>
      </c>
      <c r="H114" s="11" cm="1">
        <f t="array" aca="1" ref="H114" ca="1">_xlfn.XLOOKUP($B114,    INDIRECT("'" &amp; $C$3 &amp; "'!$A$20:$A$219"),    _xlfn.XLOOKUP(H$18,INDIRECT("'" &amp; $C$3 &amp; "'!$B$18:$X$18"), INDIRECT("'" &amp; $C$3 &amp; "'!$B$20:$X$219"),"XXXXX",0,1),    "XX",    0,    1)</f>
        <v>-36.1</v>
      </c>
      <c r="I114" s="11" cm="1">
        <f t="array" aca="1" ref="I114" ca="1">_xlfn.XLOOKUP($B114,    INDIRECT("'" &amp; $C$3 &amp; "'!$A$20:$A$219"),    _xlfn.XLOOKUP(I$18,INDIRECT("'" &amp; $C$3 &amp; "'!$B$18:$X$18"), INDIRECT("'" &amp; $C$3 &amp; "'!$B$20:$X$219"),"XXXXX",0,1),    "XX",    0,    1)</f>
        <v>90.7</v>
      </c>
      <c r="J114" s="11">
        <f t="shared" si="16"/>
        <v>31.9</v>
      </c>
      <c r="K114" s="11">
        <f t="shared" si="17"/>
        <v>11.428999999999998</v>
      </c>
      <c r="L114" s="11">
        <f t="shared" si="18"/>
        <v>43.328999999999994</v>
      </c>
      <c r="M114" s="11" cm="1">
        <f t="array" aca="1" ref="M114" ca="1">_xlfn.XLOOKUP($B114,    INDIRECT("'" &amp; $C$3 &amp; "'!$A$20:$A$219"),    _xlfn.XLOOKUP(M$18,INDIRECT("'" &amp; $C$3 &amp; "'!$B$18:$X$18"), INDIRECT("'" &amp; $C$3 &amp; "'!$B$20:$X$219"),"XXXXX",0,1),    "XX",    0,    1)</f>
        <v>29.2</v>
      </c>
      <c r="N114" s="11">
        <f t="shared" ca="1" si="19"/>
        <v>22.700000000000003</v>
      </c>
      <c r="O114" s="4">
        <f t="shared" ca="1" si="20"/>
        <v>11.271000000000008</v>
      </c>
      <c r="P114" s="11">
        <v>17.556948890643881</v>
      </c>
      <c r="Q114" s="11">
        <f t="shared" ca="1" si="21"/>
        <v>37.043051109356121</v>
      </c>
      <c r="R114" s="11" t="str">
        <f t="shared" ca="1" si="22"/>
        <v>conical</v>
      </c>
      <c r="S114" s="13">
        <f t="shared" ca="1" si="23"/>
        <v>8.9</v>
      </c>
      <c r="T114" s="13"/>
    </row>
    <row r="115" spans="1:20" x14ac:dyDescent="0.2">
      <c r="A115" s="11" t="s">
        <v>3</v>
      </c>
      <c r="B115" s="11" t="s">
        <v>23</v>
      </c>
      <c r="C115" s="11">
        <f>_xlfn.XLOOKUP($A115,'Conical section geometry'!$B$11:$B$17,'Conical section geometry'!$C$11:$C$17,"XXXX",0,1)</f>
        <v>-6.5</v>
      </c>
      <c r="D115" s="11">
        <f>_xlfn.XLOOKUP($A115,'Conical section geometry'!$B$11:$B$17,'Conical section geometry'!$D$11:$D$17,"XXXX",0,1)</f>
        <v>-17.928999999999998</v>
      </c>
      <c r="E115" s="11" cm="1">
        <f t="array" aca="1" ref="E115" ca="1">_xlfn.XLOOKUP($B115,    INDIRECT("'" &amp; $C$3 &amp; "'!$A$20:$A$219"),    _xlfn.XLOOKUP(E$18,INDIRECT("'" &amp; $C$3 &amp; "'!$B$18:$X$18"), INDIRECT("'" &amp; $C$3 &amp; "'!$B$20:$X$219"),"XXXXX",0,1),    "XX",    0,    1)</f>
        <v>8</v>
      </c>
      <c r="F115" s="11" cm="1">
        <f t="array" aca="1" ref="F115" ca="1">_xlfn.XLOOKUP($B115,    INDIRECT("'" &amp; $C$3 &amp; "'!$A$20:$A$219"),    _xlfn.XLOOKUP(F$18,INDIRECT("'" &amp; $C$3 &amp; "'!$B$18:$X$18"), INDIRECT("'" &amp; $C$3 &amp; "'!$B$20:$X$219"),"XXXXX",0,1),    "XX",    0,    1)</f>
        <v>10</v>
      </c>
      <c r="G115" s="11">
        <f>_xlfn.XLOOKUP($A115,'Conical section geometry'!$B$11:$B$17,'Conical section geometry'!$E$11:$E$17,"XXXX",0,1)</f>
        <v>-174.99340000000001</v>
      </c>
      <c r="H115" s="11" cm="1">
        <f t="array" aca="1" ref="H115" ca="1">_xlfn.XLOOKUP($B115,    INDIRECT("'" &amp; $C$3 &amp; "'!$A$20:$A$219"),    _xlfn.XLOOKUP(H$18,INDIRECT("'" &amp; $C$3 &amp; "'!$B$18:$X$18"), INDIRECT("'" &amp; $C$3 &amp; "'!$B$20:$X$219"),"XXXXX",0,1),    "XX",    0,    1)</f>
        <v>-38.1</v>
      </c>
      <c r="I115" s="11" cm="1">
        <f t="array" aca="1" ref="I115" ca="1">_xlfn.XLOOKUP($B115,    INDIRECT("'" &amp; $C$3 &amp; "'!$A$20:$A$219"),    _xlfn.XLOOKUP(I$18,INDIRECT("'" &amp; $C$3 &amp; "'!$B$18:$X$18"), INDIRECT("'" &amp; $C$3 &amp; "'!$B$20:$X$219"),"XXXXX",0,1),    "XX",    0,    1)</f>
        <v>92.7</v>
      </c>
      <c r="J115" s="11">
        <f t="shared" si="16"/>
        <v>31.9</v>
      </c>
      <c r="K115" s="11">
        <f t="shared" si="17"/>
        <v>11.428999999999998</v>
      </c>
      <c r="L115" s="11">
        <f t="shared" si="18"/>
        <v>43.328999999999994</v>
      </c>
      <c r="M115" s="11" cm="1">
        <f t="array" aca="1" ref="M115" ca="1">_xlfn.XLOOKUP($B115,    INDIRECT("'" &amp; $C$3 &amp; "'!$A$20:$A$219"),    _xlfn.XLOOKUP(M$18,INDIRECT("'" &amp; $C$3 &amp; "'!$B$18:$X$18"), INDIRECT("'" &amp; $C$3 &amp; "'!$B$20:$X$219"),"XXXXX",0,1),    "XX",    0,    1)</f>
        <v>29.2</v>
      </c>
      <c r="N115" s="11">
        <f t="shared" ca="1" si="19"/>
        <v>22.700000000000003</v>
      </c>
      <c r="O115" s="4">
        <f t="shared" ca="1" si="20"/>
        <v>11.271000000000008</v>
      </c>
      <c r="P115" s="11">
        <v>17.556948890643902</v>
      </c>
      <c r="Q115" s="11">
        <f t="shared" ca="1" si="21"/>
        <v>37.043051109356099</v>
      </c>
      <c r="R115" s="11" t="str">
        <f t="shared" ca="1" si="22"/>
        <v>conical</v>
      </c>
      <c r="S115" s="13">
        <f t="shared" ca="1" si="23"/>
        <v>8.899999999999995</v>
      </c>
      <c r="T115" s="13"/>
    </row>
    <row r="116" spans="1:20" x14ac:dyDescent="0.2">
      <c r="A116" s="11" t="s">
        <v>7</v>
      </c>
      <c r="B116" s="11" t="s">
        <v>190</v>
      </c>
      <c r="C116" s="11">
        <f>_xlfn.XLOOKUP($A116,'Conical section geometry'!$B$11:$B$17,'Conical section geometry'!$C$11:$C$17,"XXXX",0,1)</f>
        <v>-6.5</v>
      </c>
      <c r="D116" s="11">
        <f>_xlfn.XLOOKUP($A116,'Conical section geometry'!$B$11:$B$17,'Conical section geometry'!$D$11:$D$17,"XXXX",0,1)</f>
        <v>-23.643000000000001</v>
      </c>
      <c r="E116" s="11" cm="1">
        <f t="array" aca="1" ref="E116" ca="1">_xlfn.XLOOKUP($B116,    INDIRECT("'" &amp; $C$3 &amp; "'!$A$20:$A$219"),    _xlfn.XLOOKUP(E$18,INDIRECT("'" &amp; $C$3 &amp; "'!$B$18:$X$18"), INDIRECT("'" &amp; $C$3 &amp; "'!$B$20:$X$219"),"XXXXX",0,1),    "XX",    0,    1)</f>
        <v>8</v>
      </c>
      <c r="F116" s="11" cm="1">
        <f t="array" aca="1" ref="F116" ca="1">_xlfn.XLOOKUP($B116,    INDIRECT("'" &amp; $C$3 &amp; "'!$A$20:$A$219"),    _xlfn.XLOOKUP(F$18,INDIRECT("'" &amp; $C$3 &amp; "'!$B$18:$X$18"), INDIRECT("'" &amp; $C$3 &amp; "'!$B$20:$X$219"),"XXXXX",0,1),    "XX",    0,    1)</f>
        <v>11</v>
      </c>
      <c r="G116" s="11">
        <f>_xlfn.XLOOKUP($A116,'Conical section geometry'!$B$11:$B$17,'Conical section geometry'!$E$11:$E$17,"XXXX",0,1)</f>
        <v>-174.99854167881901</v>
      </c>
      <c r="H116" s="11" cm="1">
        <f t="array" aca="1" ref="H116" ca="1">_xlfn.XLOOKUP($B116,    INDIRECT("'" &amp; $C$3 &amp; "'!$A$20:$A$219"),    _xlfn.XLOOKUP(H$18,INDIRECT("'" &amp; $C$3 &amp; "'!$B$18:$X$18"), INDIRECT("'" &amp; $C$3 &amp; "'!$B$20:$X$219"),"XXXXX",0,1),    "XX",    0,    1)</f>
        <v>-49.9</v>
      </c>
      <c r="I116" s="11" cm="1">
        <f t="array" aca="1" ref="I116" ca="1">_xlfn.XLOOKUP($B116,    INDIRECT("'" &amp; $C$3 &amp; "'!$A$20:$A$219"),    _xlfn.XLOOKUP(I$18,INDIRECT("'" &amp; $C$3 &amp; "'!$B$18:$X$18"), INDIRECT("'" &amp; $C$3 &amp; "'!$B$20:$X$219"),"XXXXX",0,1),    "XX",    0,    1)</f>
        <v>104.4</v>
      </c>
      <c r="J116" s="11">
        <f t="shared" ref="J116:J147" si="24">$C$1-$C116</f>
        <v>31.9</v>
      </c>
      <c r="K116" s="11">
        <f t="shared" ref="K116:K147" si="25">C$20-$D116</f>
        <v>17.143000000000001</v>
      </c>
      <c r="L116" s="11">
        <f t="shared" ref="L116:L147" si="26">$C$1-$D116</f>
        <v>49.042999999999999</v>
      </c>
      <c r="M116" s="11" cm="1">
        <f t="array" aca="1" ref="M116" ca="1">_xlfn.XLOOKUP($B116,    INDIRECT("'" &amp; $C$3 &amp; "'!$A$20:$A$219"),    _xlfn.XLOOKUP(M$18,INDIRECT("'" &amp; $C$3 &amp; "'!$B$18:$X$18"), INDIRECT("'" &amp; $C$3 &amp; "'!$B$20:$X$219"),"XXXXX",0,1),    "XX",    0,    1)</f>
        <v>29.1</v>
      </c>
      <c r="N116" s="11">
        <f t="shared" ref="N116:N147" ca="1" si="27">$I116-$J116-(-$H116)</f>
        <v>22.6</v>
      </c>
      <c r="O116" s="4">
        <f t="shared" ref="O116:O147" ca="1" si="28">$I116-$L116-(-$H116)</f>
        <v>5.4570000000000078</v>
      </c>
      <c r="P116" s="11">
        <v>17.457100000000015</v>
      </c>
      <c r="Q116" s="11">
        <f t="shared" ref="Q116:Q147" ca="1" si="29">$I116-($P116+(ABS($H116)))</f>
        <v>37.042899999999989</v>
      </c>
      <c r="R116" s="11" t="str">
        <f t="shared" ref="R116:R147" ca="1" si="30">IF($Q116&lt;=$J116,"top",IF($Q116&lt;=$L116,"conical","bottom"))</f>
        <v>conical</v>
      </c>
      <c r="S116" s="13">
        <f t="shared" ref="S116:S147" ca="1" si="31">IF($R116="top",$E116,IF($R116="bottom",$F116,$E116-(($Q116-$J116)*$G116)/1000))</f>
        <v>8.8999999999999968</v>
      </c>
      <c r="T116" s="13"/>
    </row>
    <row r="117" spans="1:20" x14ac:dyDescent="0.2">
      <c r="A117" s="11" t="s">
        <v>3</v>
      </c>
      <c r="B117" s="11" t="s">
        <v>111</v>
      </c>
      <c r="C117" s="11">
        <f>_xlfn.XLOOKUP($A117,'Conical section geometry'!$B$11:$B$17,'Conical section geometry'!$C$11:$C$17,"XXXX",0,1)</f>
        <v>-6.5</v>
      </c>
      <c r="D117" s="11">
        <f>_xlfn.XLOOKUP($A117,'Conical section geometry'!$B$11:$B$17,'Conical section geometry'!$D$11:$D$17,"XXXX",0,1)</f>
        <v>-17.928999999999998</v>
      </c>
      <c r="E117" s="11" cm="1">
        <f t="array" aca="1" ref="E117" ca="1">_xlfn.XLOOKUP($B117,    INDIRECT("'" &amp; $C$3 &amp; "'!$A$20:$A$219"),    _xlfn.XLOOKUP(E$18,INDIRECT("'" &amp; $C$3 &amp; "'!$B$18:$X$18"), INDIRECT("'" &amp; $C$3 &amp; "'!$B$20:$X$219"),"XXXXX",0,1),    "XX",    0,    1)</f>
        <v>8</v>
      </c>
      <c r="F117" s="11" cm="1">
        <f t="array" aca="1" ref="F117" ca="1">_xlfn.XLOOKUP($B117,    INDIRECT("'" &amp; $C$3 &amp; "'!$A$20:$A$219"),    _xlfn.XLOOKUP(F$18,INDIRECT("'" &amp; $C$3 &amp; "'!$B$18:$X$18"), INDIRECT("'" &amp; $C$3 &amp; "'!$B$20:$X$219"),"XXXXX",0,1),    "XX",    0,    1)</f>
        <v>10</v>
      </c>
      <c r="G117" s="11">
        <f>_xlfn.XLOOKUP($A117,'Conical section geometry'!$B$11:$B$17,'Conical section geometry'!$E$11:$E$17,"XXXX",0,1)</f>
        <v>-174.99340000000001</v>
      </c>
      <c r="H117" s="11" cm="1">
        <f t="array" aca="1" ref="H117" ca="1">_xlfn.XLOOKUP($B117,    INDIRECT("'" &amp; $C$3 &amp; "'!$A$20:$A$219"),    _xlfn.XLOOKUP(H$18,INDIRECT("'" &amp; $C$3 &amp; "'!$B$18:$X$18"), INDIRECT("'" &amp; $C$3 &amp; "'!$B$20:$X$219"),"XXXXX",0,1),    "XX",    0,    1)</f>
        <v>-32.9</v>
      </c>
      <c r="I117" s="11" cm="1">
        <f t="array" aca="1" ref="I117" ca="1">_xlfn.XLOOKUP($B117,    INDIRECT("'" &amp; $C$3 &amp; "'!$A$20:$A$219"),    _xlfn.XLOOKUP(I$18,INDIRECT("'" &amp; $C$3 &amp; "'!$B$18:$X$18"), INDIRECT("'" &amp; $C$3 &amp; "'!$B$20:$X$219"),"XXXXX",0,1),    "XX",    0,    1)</f>
        <v>87.4</v>
      </c>
      <c r="J117" s="11">
        <f t="shared" si="24"/>
        <v>31.9</v>
      </c>
      <c r="K117" s="11">
        <f t="shared" si="25"/>
        <v>11.428999999999998</v>
      </c>
      <c r="L117" s="11">
        <f t="shared" si="26"/>
        <v>43.328999999999994</v>
      </c>
      <c r="M117" s="11" cm="1">
        <f t="array" aca="1" ref="M117" ca="1">_xlfn.XLOOKUP($B117,    INDIRECT("'" &amp; $C$3 &amp; "'!$A$20:$A$219"),    _xlfn.XLOOKUP(M$18,INDIRECT("'" &amp; $C$3 &amp; "'!$B$18:$X$18"), INDIRECT("'" &amp; $C$3 &amp; "'!$B$20:$X$219"),"XXXXX",0,1),    "XX",    0,    1)</f>
        <v>29.1</v>
      </c>
      <c r="N117" s="11">
        <f t="shared" ca="1" si="27"/>
        <v>22.600000000000009</v>
      </c>
      <c r="O117" s="4">
        <f t="shared" ca="1" si="28"/>
        <v>11.171000000000014</v>
      </c>
      <c r="P117" s="11">
        <v>17.456948890643861</v>
      </c>
      <c r="Q117" s="11">
        <f t="shared" ca="1" si="29"/>
        <v>37.043051109356142</v>
      </c>
      <c r="R117" s="11" t="str">
        <f t="shared" ca="1" si="30"/>
        <v>conical</v>
      </c>
      <c r="S117" s="13">
        <f t="shared" ca="1" si="31"/>
        <v>8.9000000000000039</v>
      </c>
      <c r="T117" s="13"/>
    </row>
    <row r="118" spans="1:20" x14ac:dyDescent="0.2">
      <c r="A118" s="11" t="s">
        <v>3</v>
      </c>
      <c r="B118" s="11" t="s">
        <v>90</v>
      </c>
      <c r="C118" s="11">
        <f>_xlfn.XLOOKUP($A118,'Conical section geometry'!$B$11:$B$17,'Conical section geometry'!$C$11:$C$17,"XXXX",0,1)</f>
        <v>-6.5</v>
      </c>
      <c r="D118" s="11">
        <f>_xlfn.XLOOKUP($A118,'Conical section geometry'!$B$11:$B$17,'Conical section geometry'!$D$11:$D$17,"XXXX",0,1)</f>
        <v>-17.928999999999998</v>
      </c>
      <c r="E118" s="11" cm="1">
        <f t="array" aca="1" ref="E118" ca="1">_xlfn.XLOOKUP($B118,    INDIRECT("'" &amp; $C$3 &amp; "'!$A$20:$A$219"),    _xlfn.XLOOKUP(E$18,INDIRECT("'" &amp; $C$3 &amp; "'!$B$18:$X$18"), INDIRECT("'" &amp; $C$3 &amp; "'!$B$20:$X$219"),"XXXXX",0,1),    "XX",    0,    1)</f>
        <v>8</v>
      </c>
      <c r="F118" s="11" cm="1">
        <f t="array" aca="1" ref="F118" ca="1">_xlfn.XLOOKUP($B118,    INDIRECT("'" &amp; $C$3 &amp; "'!$A$20:$A$219"),    _xlfn.XLOOKUP(F$18,INDIRECT("'" &amp; $C$3 &amp; "'!$B$18:$X$18"), INDIRECT("'" &amp; $C$3 &amp; "'!$B$20:$X$219"),"XXXXX",0,1),    "XX",    0,    1)</f>
        <v>10</v>
      </c>
      <c r="G118" s="11">
        <f>_xlfn.XLOOKUP($A118,'Conical section geometry'!$B$11:$B$17,'Conical section geometry'!$E$11:$E$17,"XXXX",0,1)</f>
        <v>-174.99340000000001</v>
      </c>
      <c r="H118" s="11" cm="1">
        <f t="array" aca="1" ref="H118" ca="1">_xlfn.XLOOKUP($B118,    INDIRECT("'" &amp; $C$3 &amp; "'!$A$20:$A$219"),    _xlfn.XLOOKUP(H$18,INDIRECT("'" &amp; $C$3 &amp; "'!$B$18:$X$18"), INDIRECT("'" &amp; $C$3 &amp; "'!$B$20:$X$219"),"XXXXX",0,1),    "XX",    0,    1)</f>
        <v>-34.5</v>
      </c>
      <c r="I118" s="11" cm="1">
        <f t="array" aca="1" ref="I118" ca="1">_xlfn.XLOOKUP($B118,    INDIRECT("'" &amp; $C$3 &amp; "'!$A$20:$A$219"),    _xlfn.XLOOKUP(I$18,INDIRECT("'" &amp; $C$3 &amp; "'!$B$18:$X$18"), INDIRECT("'" &amp; $C$3 &amp; "'!$B$20:$X$219"),"XXXXX",0,1),    "XX",    0,    1)</f>
        <v>89</v>
      </c>
      <c r="J118" s="11">
        <f t="shared" si="24"/>
        <v>31.9</v>
      </c>
      <c r="K118" s="11">
        <f t="shared" si="25"/>
        <v>11.428999999999998</v>
      </c>
      <c r="L118" s="11">
        <f t="shared" si="26"/>
        <v>43.328999999999994</v>
      </c>
      <c r="M118" s="11" cm="1">
        <f t="array" aca="1" ref="M118" ca="1">_xlfn.XLOOKUP($B118,    INDIRECT("'" &amp; $C$3 &amp; "'!$A$20:$A$219"),    _xlfn.XLOOKUP(M$18,INDIRECT("'" &amp; $C$3 &amp; "'!$B$18:$X$18"), INDIRECT("'" &amp; $C$3 &amp; "'!$B$20:$X$219"),"XXXXX",0,1),    "XX",    0,    1)</f>
        <v>29.1</v>
      </c>
      <c r="N118" s="11">
        <f t="shared" ca="1" si="27"/>
        <v>22.6</v>
      </c>
      <c r="O118" s="4">
        <f t="shared" ca="1" si="28"/>
        <v>11.171000000000006</v>
      </c>
      <c r="P118" s="11">
        <v>17.456948890643876</v>
      </c>
      <c r="Q118" s="11">
        <f t="shared" ca="1" si="29"/>
        <v>37.043051109356128</v>
      </c>
      <c r="R118" s="11" t="str">
        <f t="shared" ca="1" si="30"/>
        <v>conical</v>
      </c>
      <c r="S118" s="13">
        <f t="shared" ca="1" si="31"/>
        <v>8.9</v>
      </c>
      <c r="T118" s="13"/>
    </row>
    <row r="119" spans="1:20" x14ac:dyDescent="0.2">
      <c r="A119" s="11" t="s">
        <v>3</v>
      </c>
      <c r="B119" s="11" t="s">
        <v>109</v>
      </c>
      <c r="C119" s="11">
        <f>_xlfn.XLOOKUP($A119,'Conical section geometry'!$B$11:$B$17,'Conical section geometry'!$C$11:$C$17,"XXXX",0,1)</f>
        <v>-6.5</v>
      </c>
      <c r="D119" s="11">
        <f>_xlfn.XLOOKUP($A119,'Conical section geometry'!$B$11:$B$17,'Conical section geometry'!$D$11:$D$17,"XXXX",0,1)</f>
        <v>-17.928999999999998</v>
      </c>
      <c r="E119" s="11" cm="1">
        <f t="array" aca="1" ref="E119" ca="1">_xlfn.XLOOKUP($B119,    INDIRECT("'" &amp; $C$3 &amp; "'!$A$20:$A$219"),    _xlfn.XLOOKUP(E$18,INDIRECT("'" &amp; $C$3 &amp; "'!$B$18:$X$18"), INDIRECT("'" &amp; $C$3 &amp; "'!$B$20:$X$219"),"XXXXX",0,1),    "XX",    0,    1)</f>
        <v>8</v>
      </c>
      <c r="F119" s="11" cm="1">
        <f t="array" aca="1" ref="F119" ca="1">_xlfn.XLOOKUP($B119,    INDIRECT("'" &amp; $C$3 &amp; "'!$A$20:$A$219"),    _xlfn.XLOOKUP(F$18,INDIRECT("'" &amp; $C$3 &amp; "'!$B$18:$X$18"), INDIRECT("'" &amp; $C$3 &amp; "'!$B$20:$X$219"),"XXXXX",0,1),    "XX",    0,    1)</f>
        <v>10</v>
      </c>
      <c r="G119" s="11">
        <f>_xlfn.XLOOKUP($A119,'Conical section geometry'!$B$11:$B$17,'Conical section geometry'!$E$11:$E$17,"XXXX",0,1)</f>
        <v>-174.99340000000001</v>
      </c>
      <c r="H119" s="11" cm="1">
        <f t="array" aca="1" ref="H119" ca="1">_xlfn.XLOOKUP($B119,    INDIRECT("'" &amp; $C$3 &amp; "'!$A$20:$A$219"),    _xlfn.XLOOKUP(H$18,INDIRECT("'" &amp; $C$3 &amp; "'!$B$18:$X$18"), INDIRECT("'" &amp; $C$3 &amp; "'!$B$20:$X$219"),"XXXXX",0,1),    "XX",    0,    1)</f>
        <v>-33.200000000000003</v>
      </c>
      <c r="I119" s="11" cm="1">
        <f t="array" aca="1" ref="I119" ca="1">_xlfn.XLOOKUP($B119,    INDIRECT("'" &amp; $C$3 &amp; "'!$A$20:$A$219"),    _xlfn.XLOOKUP(I$18,INDIRECT("'" &amp; $C$3 &amp; "'!$B$18:$X$18"), INDIRECT("'" &amp; $C$3 &amp; "'!$B$20:$X$219"),"XXXXX",0,1),    "XX",    0,    1)</f>
        <v>87.7</v>
      </c>
      <c r="J119" s="11">
        <f t="shared" si="24"/>
        <v>31.9</v>
      </c>
      <c r="K119" s="11">
        <f t="shared" si="25"/>
        <v>11.428999999999998</v>
      </c>
      <c r="L119" s="11">
        <f t="shared" si="26"/>
        <v>43.328999999999994</v>
      </c>
      <c r="M119" s="11" cm="1">
        <f t="array" aca="1" ref="M119" ca="1">_xlfn.XLOOKUP($B119,    INDIRECT("'" &amp; $C$3 &amp; "'!$A$20:$A$219"),    _xlfn.XLOOKUP(M$18,INDIRECT("'" &amp; $C$3 &amp; "'!$B$18:$X$18"), INDIRECT("'" &amp; $C$3 &amp; "'!$B$20:$X$219"),"XXXXX",0,1),    "XX",    0,    1)</f>
        <v>29.1</v>
      </c>
      <c r="N119" s="11">
        <f t="shared" ca="1" si="27"/>
        <v>22.6</v>
      </c>
      <c r="O119" s="4">
        <f t="shared" ca="1" si="28"/>
        <v>11.171000000000006</v>
      </c>
      <c r="P119" s="11">
        <v>17.456948890643876</v>
      </c>
      <c r="Q119" s="11">
        <f t="shared" ca="1" si="29"/>
        <v>37.043051109356128</v>
      </c>
      <c r="R119" s="11" t="str">
        <f t="shared" ca="1" si="30"/>
        <v>conical</v>
      </c>
      <c r="S119" s="13">
        <f t="shared" ca="1" si="31"/>
        <v>8.9</v>
      </c>
      <c r="T119" s="13"/>
    </row>
    <row r="120" spans="1:20" x14ac:dyDescent="0.2">
      <c r="A120" s="11" t="s">
        <v>3</v>
      </c>
      <c r="B120" s="11" t="s">
        <v>152</v>
      </c>
      <c r="C120" s="11">
        <f>_xlfn.XLOOKUP($A120,'Conical section geometry'!$B$11:$B$17,'Conical section geometry'!$C$11:$C$17,"XXXX",0,1)</f>
        <v>-6.5</v>
      </c>
      <c r="D120" s="11">
        <f>_xlfn.XLOOKUP($A120,'Conical section geometry'!$B$11:$B$17,'Conical section geometry'!$D$11:$D$17,"XXXX",0,1)</f>
        <v>-17.928999999999998</v>
      </c>
      <c r="E120" s="11" cm="1">
        <f t="array" aca="1" ref="E120" ca="1">_xlfn.XLOOKUP($B120,    INDIRECT("'" &amp; $C$3 &amp; "'!$A$20:$A$219"),    _xlfn.XLOOKUP(E$18,INDIRECT("'" &amp; $C$3 &amp; "'!$B$18:$X$18"), INDIRECT("'" &amp; $C$3 &amp; "'!$B$20:$X$219"),"XXXXX",0,1),    "XX",    0,    1)</f>
        <v>8</v>
      </c>
      <c r="F120" s="11" cm="1">
        <f t="array" aca="1" ref="F120" ca="1">_xlfn.XLOOKUP($B120,    INDIRECT("'" &amp; $C$3 &amp; "'!$A$20:$A$219"),    _xlfn.XLOOKUP(F$18,INDIRECT("'" &amp; $C$3 &amp; "'!$B$18:$X$18"), INDIRECT("'" &amp; $C$3 &amp; "'!$B$20:$X$219"),"XXXXX",0,1),    "XX",    0,    1)</f>
        <v>10</v>
      </c>
      <c r="G120" s="11">
        <f>_xlfn.XLOOKUP($A120,'Conical section geometry'!$B$11:$B$17,'Conical section geometry'!$E$11:$E$17,"XXXX",0,1)</f>
        <v>-174.99340000000001</v>
      </c>
      <c r="H120" s="11" cm="1">
        <f t="array" aca="1" ref="H120" ca="1">_xlfn.XLOOKUP($B120,    INDIRECT("'" &amp; $C$3 &amp; "'!$A$20:$A$219"),    _xlfn.XLOOKUP(H$18,INDIRECT("'" &amp; $C$3 &amp; "'!$B$18:$X$18"), INDIRECT("'" &amp; $C$3 &amp; "'!$B$20:$X$219"),"XXXXX",0,1),    "XX",    0,    1)</f>
        <v>-30.5</v>
      </c>
      <c r="I120" s="11" cm="1">
        <f t="array" aca="1" ref="I120" ca="1">_xlfn.XLOOKUP($B120,    INDIRECT("'" &amp; $C$3 &amp; "'!$A$20:$A$219"),    _xlfn.XLOOKUP(I$18,INDIRECT("'" &amp; $C$3 &amp; "'!$B$18:$X$18"), INDIRECT("'" &amp; $C$3 &amp; "'!$B$20:$X$219"),"XXXXX",0,1),    "XX",    0,    1)</f>
        <v>85</v>
      </c>
      <c r="J120" s="11">
        <f t="shared" si="24"/>
        <v>31.9</v>
      </c>
      <c r="K120" s="11">
        <f t="shared" si="25"/>
        <v>11.428999999999998</v>
      </c>
      <c r="L120" s="11">
        <f t="shared" si="26"/>
        <v>43.328999999999994</v>
      </c>
      <c r="M120" s="11" cm="1">
        <f t="array" aca="1" ref="M120" ca="1">_xlfn.XLOOKUP($B120,    INDIRECT("'" &amp; $C$3 &amp; "'!$A$20:$A$219"),    _xlfn.XLOOKUP(M$18,INDIRECT("'" &amp; $C$3 &amp; "'!$B$18:$X$18"), INDIRECT("'" &amp; $C$3 &amp; "'!$B$20:$X$219"),"XXXXX",0,1),    "XX",    0,    1)</f>
        <v>29.1</v>
      </c>
      <c r="N120" s="11">
        <f t="shared" ca="1" si="27"/>
        <v>22.6</v>
      </c>
      <c r="O120" s="4">
        <f t="shared" ca="1" si="28"/>
        <v>11.171000000000006</v>
      </c>
      <c r="P120" s="11">
        <v>17.456948890643876</v>
      </c>
      <c r="Q120" s="11">
        <f t="shared" ca="1" si="29"/>
        <v>37.043051109356128</v>
      </c>
      <c r="R120" s="11" t="str">
        <f t="shared" ca="1" si="30"/>
        <v>conical</v>
      </c>
      <c r="S120" s="13">
        <f t="shared" ca="1" si="31"/>
        <v>8.9</v>
      </c>
      <c r="T120" s="13"/>
    </row>
    <row r="121" spans="1:20" x14ac:dyDescent="0.2">
      <c r="A121" s="11" t="s">
        <v>3</v>
      </c>
      <c r="B121" s="11" t="s">
        <v>120</v>
      </c>
      <c r="C121" s="11">
        <f>_xlfn.XLOOKUP($A121,'Conical section geometry'!$B$11:$B$17,'Conical section geometry'!$C$11:$C$17,"XXXX",0,1)</f>
        <v>-6.5</v>
      </c>
      <c r="D121" s="11">
        <f>_xlfn.XLOOKUP($A121,'Conical section geometry'!$B$11:$B$17,'Conical section geometry'!$D$11:$D$17,"XXXX",0,1)</f>
        <v>-17.928999999999998</v>
      </c>
      <c r="E121" s="11" cm="1">
        <f t="array" aca="1" ref="E121" ca="1">_xlfn.XLOOKUP($B121,    INDIRECT("'" &amp; $C$3 &amp; "'!$A$20:$A$219"),    _xlfn.XLOOKUP(E$18,INDIRECT("'" &amp; $C$3 &amp; "'!$B$18:$X$18"), INDIRECT("'" &amp; $C$3 &amp; "'!$B$20:$X$219"),"XXXXX",0,1),    "XX",    0,    1)</f>
        <v>8</v>
      </c>
      <c r="F121" s="11" cm="1">
        <f t="array" aca="1" ref="F121" ca="1">_xlfn.XLOOKUP($B121,    INDIRECT("'" &amp; $C$3 &amp; "'!$A$20:$A$219"),    _xlfn.XLOOKUP(F$18,INDIRECT("'" &amp; $C$3 &amp; "'!$B$18:$X$18"), INDIRECT("'" &amp; $C$3 &amp; "'!$B$20:$X$219"),"XXXXX",0,1),    "XX",    0,    1)</f>
        <v>10</v>
      </c>
      <c r="G121" s="11">
        <f>_xlfn.XLOOKUP($A121,'Conical section geometry'!$B$11:$B$17,'Conical section geometry'!$E$11:$E$17,"XXXX",0,1)</f>
        <v>-174.99340000000001</v>
      </c>
      <c r="H121" s="11" cm="1">
        <f t="array" aca="1" ref="H121" ca="1">_xlfn.XLOOKUP($B121,    INDIRECT("'" &amp; $C$3 &amp; "'!$A$20:$A$219"),    _xlfn.XLOOKUP(H$18,INDIRECT("'" &amp; $C$3 &amp; "'!$B$18:$X$18"), INDIRECT("'" &amp; $C$3 &amp; "'!$B$20:$X$219"),"XXXXX",0,1),    "XX",    0,    1)</f>
        <v>-32.1</v>
      </c>
      <c r="I121" s="11" cm="1">
        <f t="array" aca="1" ref="I121" ca="1">_xlfn.XLOOKUP($B121,    INDIRECT("'" &amp; $C$3 &amp; "'!$A$20:$A$219"),    _xlfn.XLOOKUP(I$18,INDIRECT("'" &amp; $C$3 &amp; "'!$B$18:$X$18"), INDIRECT("'" &amp; $C$3 &amp; "'!$B$20:$X$219"),"XXXXX",0,1),    "XX",    0,    1)</f>
        <v>86.6</v>
      </c>
      <c r="J121" s="11">
        <f t="shared" si="24"/>
        <v>31.9</v>
      </c>
      <c r="K121" s="11">
        <f t="shared" si="25"/>
        <v>11.428999999999998</v>
      </c>
      <c r="L121" s="11">
        <f t="shared" si="26"/>
        <v>43.328999999999994</v>
      </c>
      <c r="M121" s="11" cm="1">
        <f t="array" aca="1" ref="M121" ca="1">_xlfn.XLOOKUP($B121,    INDIRECT("'" &amp; $C$3 &amp; "'!$A$20:$A$219"),    _xlfn.XLOOKUP(M$18,INDIRECT("'" &amp; $C$3 &amp; "'!$B$18:$X$18"), INDIRECT("'" &amp; $C$3 &amp; "'!$B$20:$X$219"),"XXXXX",0,1),    "XX",    0,    1)</f>
        <v>29.1</v>
      </c>
      <c r="N121" s="11">
        <f t="shared" ca="1" si="27"/>
        <v>22.599999999999994</v>
      </c>
      <c r="O121" s="4">
        <f t="shared" ca="1" si="28"/>
        <v>11.170999999999999</v>
      </c>
      <c r="P121" s="11">
        <v>17.456948890643865</v>
      </c>
      <c r="Q121" s="11">
        <f t="shared" ca="1" si="29"/>
        <v>37.043051109356128</v>
      </c>
      <c r="R121" s="11" t="str">
        <f t="shared" ca="1" si="30"/>
        <v>conical</v>
      </c>
      <c r="S121" s="13">
        <f t="shared" ca="1" si="31"/>
        <v>8.9</v>
      </c>
      <c r="T121" s="13"/>
    </row>
    <row r="122" spans="1:20" x14ac:dyDescent="0.2">
      <c r="A122" s="11" t="s">
        <v>3</v>
      </c>
      <c r="B122" s="11" t="s">
        <v>65</v>
      </c>
      <c r="C122" s="11">
        <f>_xlfn.XLOOKUP($A122,'Conical section geometry'!$B$11:$B$17,'Conical section geometry'!$C$11:$C$17,"XXXX",0,1)</f>
        <v>-6.5</v>
      </c>
      <c r="D122" s="11">
        <f>_xlfn.XLOOKUP($A122,'Conical section geometry'!$B$11:$B$17,'Conical section geometry'!$D$11:$D$17,"XXXX",0,1)</f>
        <v>-17.928999999999998</v>
      </c>
      <c r="E122" s="11" cm="1">
        <f t="array" aca="1" ref="E122" ca="1">_xlfn.XLOOKUP($B122,    INDIRECT("'" &amp; $C$3 &amp; "'!$A$20:$A$219"),    _xlfn.XLOOKUP(E$18,INDIRECT("'" &amp; $C$3 &amp; "'!$B$18:$X$18"), INDIRECT("'" &amp; $C$3 &amp; "'!$B$20:$X$219"),"XXXXX",0,1),    "XX",    0,    1)</f>
        <v>8</v>
      </c>
      <c r="F122" s="11" cm="1">
        <f t="array" aca="1" ref="F122" ca="1">_xlfn.XLOOKUP($B122,    INDIRECT("'" &amp; $C$3 &amp; "'!$A$20:$A$219"),    _xlfn.XLOOKUP(F$18,INDIRECT("'" &amp; $C$3 &amp; "'!$B$18:$X$18"), INDIRECT("'" &amp; $C$3 &amp; "'!$B$20:$X$219"),"XXXXX",0,1),    "XX",    0,    1)</f>
        <v>10</v>
      </c>
      <c r="G122" s="11">
        <f>_xlfn.XLOOKUP($A122,'Conical section geometry'!$B$11:$B$17,'Conical section geometry'!$E$11:$E$17,"XXXX",0,1)</f>
        <v>-174.99340000000001</v>
      </c>
      <c r="H122" s="11" cm="1">
        <f t="array" aca="1" ref="H122" ca="1">_xlfn.XLOOKUP($B122,    INDIRECT("'" &amp; $C$3 &amp; "'!$A$20:$A$219"),    _xlfn.XLOOKUP(H$18,INDIRECT("'" &amp; $C$3 &amp; "'!$B$18:$X$18"), INDIRECT("'" &amp; $C$3 &amp; "'!$B$20:$X$219"),"XXXXX",0,1),    "XX",    0,    1)</f>
        <v>-35.6</v>
      </c>
      <c r="I122" s="11" cm="1">
        <f t="array" aca="1" ref="I122" ca="1">_xlfn.XLOOKUP($B122,    INDIRECT("'" &amp; $C$3 &amp; "'!$A$20:$A$219"),    _xlfn.XLOOKUP(I$18,INDIRECT("'" &amp; $C$3 &amp; "'!$B$18:$X$18"), INDIRECT("'" &amp; $C$3 &amp; "'!$B$20:$X$219"),"XXXXX",0,1),    "XX",    0,    1)</f>
        <v>90</v>
      </c>
      <c r="J122" s="11">
        <f t="shared" si="24"/>
        <v>31.9</v>
      </c>
      <c r="K122" s="11">
        <f t="shared" si="25"/>
        <v>11.428999999999998</v>
      </c>
      <c r="L122" s="11">
        <f t="shared" si="26"/>
        <v>43.328999999999994</v>
      </c>
      <c r="M122" s="11" cm="1">
        <f t="array" aca="1" ref="M122" ca="1">_xlfn.XLOOKUP($B122,    INDIRECT("'" &amp; $C$3 &amp; "'!$A$20:$A$219"),    _xlfn.XLOOKUP(M$18,INDIRECT("'" &amp; $C$3 &amp; "'!$B$18:$X$18"), INDIRECT("'" &amp; $C$3 &amp; "'!$B$20:$X$219"),"XXXXX",0,1),    "XX",    0,    1)</f>
        <v>29</v>
      </c>
      <c r="N122" s="11">
        <f t="shared" ca="1" si="27"/>
        <v>22.5</v>
      </c>
      <c r="O122" s="4">
        <f t="shared" ca="1" si="28"/>
        <v>11.071000000000005</v>
      </c>
      <c r="P122" s="11">
        <v>17.356948890643856</v>
      </c>
      <c r="Q122" s="11">
        <f t="shared" ca="1" si="29"/>
        <v>37.043051109356142</v>
      </c>
      <c r="R122" s="11" t="str">
        <f t="shared" ca="1" si="30"/>
        <v>conical</v>
      </c>
      <c r="S122" s="13">
        <f t="shared" ca="1" si="31"/>
        <v>8.9000000000000039</v>
      </c>
      <c r="T122" s="13"/>
    </row>
    <row r="123" spans="1:20" x14ac:dyDescent="0.2">
      <c r="A123" s="11" t="s">
        <v>3</v>
      </c>
      <c r="B123" s="11" t="s">
        <v>30</v>
      </c>
      <c r="C123" s="11">
        <f>_xlfn.XLOOKUP($A123,'Conical section geometry'!$B$11:$B$17,'Conical section geometry'!$C$11:$C$17,"XXXX",0,1)</f>
        <v>-6.5</v>
      </c>
      <c r="D123" s="11">
        <f>_xlfn.XLOOKUP($A123,'Conical section geometry'!$B$11:$B$17,'Conical section geometry'!$D$11:$D$17,"XXXX",0,1)</f>
        <v>-17.928999999999998</v>
      </c>
      <c r="E123" s="11" cm="1">
        <f t="array" aca="1" ref="E123" ca="1">_xlfn.XLOOKUP($B123,    INDIRECT("'" &amp; $C$3 &amp; "'!$A$20:$A$219"),    _xlfn.XLOOKUP(E$18,INDIRECT("'" &amp; $C$3 &amp; "'!$B$18:$X$18"), INDIRECT("'" &amp; $C$3 &amp; "'!$B$20:$X$219"),"XXXXX",0,1),    "XX",    0,    1)</f>
        <v>8</v>
      </c>
      <c r="F123" s="11" cm="1">
        <f t="array" aca="1" ref="F123" ca="1">_xlfn.XLOOKUP($B123,    INDIRECT("'" &amp; $C$3 &amp; "'!$A$20:$A$219"),    _xlfn.XLOOKUP(F$18,INDIRECT("'" &amp; $C$3 &amp; "'!$B$18:$X$18"), INDIRECT("'" &amp; $C$3 &amp; "'!$B$20:$X$219"),"XXXXX",0,1),    "XX",    0,    1)</f>
        <v>10</v>
      </c>
      <c r="G123" s="11">
        <f>_xlfn.XLOOKUP($A123,'Conical section geometry'!$B$11:$B$17,'Conical section geometry'!$E$11:$E$17,"XXXX",0,1)</f>
        <v>-174.99340000000001</v>
      </c>
      <c r="H123" s="11" cm="1">
        <f t="array" aca="1" ref="H123" ca="1">_xlfn.XLOOKUP($B123,    INDIRECT("'" &amp; $C$3 &amp; "'!$A$20:$A$219"),    _xlfn.XLOOKUP(H$18,INDIRECT("'" &amp; $C$3 &amp; "'!$B$18:$X$18"), INDIRECT("'" &amp; $C$3 &amp; "'!$B$20:$X$219"),"XXXXX",0,1),    "XX",    0,    1)</f>
        <v>-36.4</v>
      </c>
      <c r="I123" s="11" cm="1">
        <f t="array" aca="1" ref="I123" ca="1">_xlfn.XLOOKUP($B123,    INDIRECT("'" &amp; $C$3 &amp; "'!$A$20:$A$219"),    _xlfn.XLOOKUP(I$18,INDIRECT("'" &amp; $C$3 &amp; "'!$B$18:$X$18"), INDIRECT("'" &amp; $C$3 &amp; "'!$B$20:$X$219"),"XXXXX",0,1),    "XX",    0,    1)</f>
        <v>90.8</v>
      </c>
      <c r="J123" s="11">
        <f t="shared" si="24"/>
        <v>31.9</v>
      </c>
      <c r="K123" s="11">
        <f t="shared" si="25"/>
        <v>11.428999999999998</v>
      </c>
      <c r="L123" s="11">
        <f t="shared" si="26"/>
        <v>43.328999999999994</v>
      </c>
      <c r="M123" s="11" cm="1">
        <f t="array" aca="1" ref="M123" ca="1">_xlfn.XLOOKUP($B123,    INDIRECT("'" &amp; $C$3 &amp; "'!$A$20:$A$219"),    _xlfn.XLOOKUP(M$18,INDIRECT("'" &amp; $C$3 &amp; "'!$B$18:$X$18"), INDIRECT("'" &amp; $C$3 &amp; "'!$B$20:$X$219"),"XXXXX",0,1),    "XX",    0,    1)</f>
        <v>29</v>
      </c>
      <c r="N123" s="11">
        <f t="shared" ca="1" si="27"/>
        <v>22.5</v>
      </c>
      <c r="O123" s="4">
        <f t="shared" ca="1" si="28"/>
        <v>11.071000000000005</v>
      </c>
      <c r="P123" s="11">
        <v>17.356948890643864</v>
      </c>
      <c r="Q123" s="11">
        <f t="shared" ca="1" si="29"/>
        <v>37.043051109356135</v>
      </c>
      <c r="R123" s="11" t="str">
        <f t="shared" ca="1" si="30"/>
        <v>conical</v>
      </c>
      <c r="S123" s="13">
        <f t="shared" ca="1" si="31"/>
        <v>8.9000000000000021</v>
      </c>
      <c r="T123" s="13"/>
    </row>
    <row r="124" spans="1:20" x14ac:dyDescent="0.2">
      <c r="A124" s="11" t="s">
        <v>3</v>
      </c>
      <c r="B124" s="11" t="s">
        <v>151</v>
      </c>
      <c r="C124" s="11">
        <f>_xlfn.XLOOKUP($A124,'Conical section geometry'!$B$11:$B$17,'Conical section geometry'!$C$11:$C$17,"XXXX",0,1)</f>
        <v>-6.5</v>
      </c>
      <c r="D124" s="11">
        <f>_xlfn.XLOOKUP($A124,'Conical section geometry'!$B$11:$B$17,'Conical section geometry'!$D$11:$D$17,"XXXX",0,1)</f>
        <v>-17.928999999999998</v>
      </c>
      <c r="E124" s="11" cm="1">
        <f t="array" aca="1" ref="E124" ca="1">_xlfn.XLOOKUP($B124,    INDIRECT("'" &amp; $C$3 &amp; "'!$A$20:$A$219"),    _xlfn.XLOOKUP(E$18,INDIRECT("'" &amp; $C$3 &amp; "'!$B$18:$X$18"), INDIRECT("'" &amp; $C$3 &amp; "'!$B$20:$X$219"),"XXXXX",0,1),    "XX",    0,    1)</f>
        <v>8</v>
      </c>
      <c r="F124" s="11" cm="1">
        <f t="array" aca="1" ref="F124" ca="1">_xlfn.XLOOKUP($B124,    INDIRECT("'" &amp; $C$3 &amp; "'!$A$20:$A$219"),    _xlfn.XLOOKUP(F$18,INDIRECT("'" &amp; $C$3 &amp; "'!$B$18:$X$18"), INDIRECT("'" &amp; $C$3 &amp; "'!$B$20:$X$219"),"XXXXX",0,1),    "XX",    0,    1)</f>
        <v>10</v>
      </c>
      <c r="G124" s="11">
        <f>_xlfn.XLOOKUP($A124,'Conical section geometry'!$B$11:$B$17,'Conical section geometry'!$E$11:$E$17,"XXXX",0,1)</f>
        <v>-174.99340000000001</v>
      </c>
      <c r="H124" s="11" cm="1">
        <f t="array" aca="1" ref="H124" ca="1">_xlfn.XLOOKUP($B124,    INDIRECT("'" &amp; $C$3 &amp; "'!$A$20:$A$219"),    _xlfn.XLOOKUP(H$18,INDIRECT("'" &amp; $C$3 &amp; "'!$B$18:$X$18"), INDIRECT("'" &amp; $C$3 &amp; "'!$B$20:$X$219"),"XXXXX",0,1),    "XX",    0,    1)</f>
        <v>-30.7</v>
      </c>
      <c r="I124" s="11" cm="1">
        <f t="array" aca="1" ref="I124" ca="1">_xlfn.XLOOKUP($B124,    INDIRECT("'" &amp; $C$3 &amp; "'!$A$20:$A$219"),    _xlfn.XLOOKUP(I$18,INDIRECT("'" &amp; $C$3 &amp; "'!$B$18:$X$18"), INDIRECT("'" &amp; $C$3 &amp; "'!$B$20:$X$219"),"XXXXX",0,1),    "XX",    0,    1)</f>
        <v>85.1</v>
      </c>
      <c r="J124" s="11">
        <f t="shared" si="24"/>
        <v>31.9</v>
      </c>
      <c r="K124" s="11">
        <f t="shared" si="25"/>
        <v>11.428999999999998</v>
      </c>
      <c r="L124" s="11">
        <f t="shared" si="26"/>
        <v>43.328999999999994</v>
      </c>
      <c r="M124" s="11" cm="1">
        <f t="array" aca="1" ref="M124" ca="1">_xlfn.XLOOKUP($B124,    INDIRECT("'" &amp; $C$3 &amp; "'!$A$20:$A$219"),    _xlfn.XLOOKUP(M$18,INDIRECT("'" &amp; $C$3 &amp; "'!$B$18:$X$18"), INDIRECT("'" &amp; $C$3 &amp; "'!$B$20:$X$219"),"XXXXX",0,1),    "XX",    0,    1)</f>
        <v>29</v>
      </c>
      <c r="N124" s="11">
        <f t="shared" ca="1" si="27"/>
        <v>22.499999999999996</v>
      </c>
      <c r="O124" s="4">
        <f t="shared" ca="1" si="28"/>
        <v>11.071000000000002</v>
      </c>
      <c r="P124" s="11">
        <v>17.356948890643853</v>
      </c>
      <c r="Q124" s="11">
        <f t="shared" ca="1" si="29"/>
        <v>37.043051109356142</v>
      </c>
      <c r="R124" s="11" t="str">
        <f t="shared" ca="1" si="30"/>
        <v>conical</v>
      </c>
      <c r="S124" s="13">
        <f t="shared" ca="1" si="31"/>
        <v>8.9000000000000039</v>
      </c>
      <c r="T124" s="13"/>
    </row>
    <row r="125" spans="1:20" x14ac:dyDescent="0.2">
      <c r="A125" s="11" t="s">
        <v>3</v>
      </c>
      <c r="B125" s="11" t="s">
        <v>142</v>
      </c>
      <c r="C125" s="11">
        <f>_xlfn.XLOOKUP($A125,'Conical section geometry'!$B$11:$B$17,'Conical section geometry'!$C$11:$C$17,"XXXX",0,1)</f>
        <v>-6.5</v>
      </c>
      <c r="D125" s="11">
        <f>_xlfn.XLOOKUP($A125,'Conical section geometry'!$B$11:$B$17,'Conical section geometry'!$D$11:$D$17,"XXXX",0,1)</f>
        <v>-17.928999999999998</v>
      </c>
      <c r="E125" s="11" cm="1">
        <f t="array" aca="1" ref="E125" ca="1">_xlfn.XLOOKUP($B125,    INDIRECT("'" &amp; $C$3 &amp; "'!$A$20:$A$219"),    _xlfn.XLOOKUP(E$18,INDIRECT("'" &amp; $C$3 &amp; "'!$B$18:$X$18"), INDIRECT("'" &amp; $C$3 &amp; "'!$B$20:$X$219"),"XXXXX",0,1),    "XX",    0,    1)</f>
        <v>8</v>
      </c>
      <c r="F125" s="11" cm="1">
        <f t="array" aca="1" ref="F125" ca="1">_xlfn.XLOOKUP($B125,    INDIRECT("'" &amp; $C$3 &amp; "'!$A$20:$A$219"),    _xlfn.XLOOKUP(F$18,INDIRECT("'" &amp; $C$3 &amp; "'!$B$18:$X$18"), INDIRECT("'" &amp; $C$3 &amp; "'!$B$20:$X$219"),"XXXXX",0,1),    "XX",    0,    1)</f>
        <v>10</v>
      </c>
      <c r="G125" s="11">
        <f>_xlfn.XLOOKUP($A125,'Conical section geometry'!$B$11:$B$17,'Conical section geometry'!$E$11:$E$17,"XXXX",0,1)</f>
        <v>-174.99340000000001</v>
      </c>
      <c r="H125" s="11" cm="1">
        <f t="array" aca="1" ref="H125" ca="1">_xlfn.XLOOKUP($B125,    INDIRECT("'" &amp; $C$3 &amp; "'!$A$20:$A$219"),    _xlfn.XLOOKUP(H$18,INDIRECT("'" &amp; $C$3 &amp; "'!$B$18:$X$18"), INDIRECT("'" &amp; $C$3 &amp; "'!$B$20:$X$219"),"XXXXX",0,1),    "XX",    0,    1)</f>
        <v>-31.2</v>
      </c>
      <c r="I125" s="11" cm="1">
        <f t="array" aca="1" ref="I125" ca="1">_xlfn.XLOOKUP($B125,    INDIRECT("'" &amp; $C$3 &amp; "'!$A$20:$A$219"),    _xlfn.XLOOKUP(I$18,INDIRECT("'" &amp; $C$3 &amp; "'!$B$18:$X$18"), INDIRECT("'" &amp; $C$3 &amp; "'!$B$20:$X$219"),"XXXXX",0,1),    "XX",    0,    1)</f>
        <v>85.6</v>
      </c>
      <c r="J125" s="11">
        <f t="shared" si="24"/>
        <v>31.9</v>
      </c>
      <c r="K125" s="11">
        <f t="shared" si="25"/>
        <v>11.428999999999998</v>
      </c>
      <c r="L125" s="11">
        <f t="shared" si="26"/>
        <v>43.328999999999994</v>
      </c>
      <c r="M125" s="11" cm="1">
        <f t="array" aca="1" ref="M125" ca="1">_xlfn.XLOOKUP($B125,    INDIRECT("'" &amp; $C$3 &amp; "'!$A$20:$A$219"),    _xlfn.XLOOKUP(M$18,INDIRECT("'" &amp; $C$3 &amp; "'!$B$18:$X$18"), INDIRECT("'" &amp; $C$3 &amp; "'!$B$20:$X$219"),"XXXXX",0,1),    "XX",    0,    1)</f>
        <v>29</v>
      </c>
      <c r="N125" s="11">
        <f t="shared" ca="1" si="27"/>
        <v>22.499999999999996</v>
      </c>
      <c r="O125" s="4">
        <f t="shared" ca="1" si="28"/>
        <v>11.071000000000002</v>
      </c>
      <c r="P125" s="11">
        <v>17.35694889064386</v>
      </c>
      <c r="Q125" s="11">
        <f t="shared" ca="1" si="29"/>
        <v>37.043051109356135</v>
      </c>
      <c r="R125" s="11" t="str">
        <f t="shared" ca="1" si="30"/>
        <v>conical</v>
      </c>
      <c r="S125" s="13">
        <f t="shared" ca="1" si="31"/>
        <v>8.9000000000000021</v>
      </c>
      <c r="T125" s="13"/>
    </row>
    <row r="126" spans="1:20" x14ac:dyDescent="0.2">
      <c r="A126" s="11" t="s">
        <v>3</v>
      </c>
      <c r="B126" s="11" t="s">
        <v>129</v>
      </c>
      <c r="C126" s="11">
        <f>_xlfn.XLOOKUP($A126,'Conical section geometry'!$B$11:$B$17,'Conical section geometry'!$C$11:$C$17,"XXXX",0,1)</f>
        <v>-6.5</v>
      </c>
      <c r="D126" s="11">
        <f>_xlfn.XLOOKUP($A126,'Conical section geometry'!$B$11:$B$17,'Conical section geometry'!$D$11:$D$17,"XXXX",0,1)</f>
        <v>-17.928999999999998</v>
      </c>
      <c r="E126" s="11" cm="1">
        <f t="array" aca="1" ref="E126" ca="1">_xlfn.XLOOKUP($B126,    INDIRECT("'" &amp; $C$3 &amp; "'!$A$20:$A$219"),    _xlfn.XLOOKUP(E$18,INDIRECT("'" &amp; $C$3 &amp; "'!$B$18:$X$18"), INDIRECT("'" &amp; $C$3 &amp; "'!$B$20:$X$219"),"XXXXX",0,1),    "XX",    0,    1)</f>
        <v>8</v>
      </c>
      <c r="F126" s="11" cm="1">
        <f t="array" aca="1" ref="F126" ca="1">_xlfn.XLOOKUP($B126,    INDIRECT("'" &amp; $C$3 &amp; "'!$A$20:$A$219"),    _xlfn.XLOOKUP(F$18,INDIRECT("'" &amp; $C$3 &amp; "'!$B$18:$X$18"), INDIRECT("'" &amp; $C$3 &amp; "'!$B$20:$X$219"),"XXXXX",0,1),    "XX",    0,    1)</f>
        <v>10</v>
      </c>
      <c r="G126" s="11">
        <f>_xlfn.XLOOKUP($A126,'Conical section geometry'!$B$11:$B$17,'Conical section geometry'!$E$11:$E$17,"XXXX",0,1)</f>
        <v>-174.99340000000001</v>
      </c>
      <c r="H126" s="11" cm="1">
        <f t="array" aca="1" ref="H126" ca="1">_xlfn.XLOOKUP($B126,    INDIRECT("'" &amp; $C$3 &amp; "'!$A$20:$A$219"),    _xlfn.XLOOKUP(H$18,INDIRECT("'" &amp; $C$3 &amp; "'!$B$18:$X$18"), INDIRECT("'" &amp; $C$3 &amp; "'!$B$20:$X$219"),"XXXXX",0,1),    "XX",    0,    1)</f>
        <v>-31.2</v>
      </c>
      <c r="I126" s="11" cm="1">
        <f t="array" aca="1" ref="I126" ca="1">_xlfn.XLOOKUP($B126,    INDIRECT("'" &amp; $C$3 &amp; "'!$A$20:$A$219"),    _xlfn.XLOOKUP(I$18,INDIRECT("'" &amp; $C$3 &amp; "'!$B$18:$X$18"), INDIRECT("'" &amp; $C$3 &amp; "'!$B$20:$X$219"),"XXXXX",0,1),    "XX",    0,    1)</f>
        <v>85.6</v>
      </c>
      <c r="J126" s="11">
        <f t="shared" si="24"/>
        <v>31.9</v>
      </c>
      <c r="K126" s="11">
        <f t="shared" si="25"/>
        <v>11.428999999999998</v>
      </c>
      <c r="L126" s="11">
        <f t="shared" si="26"/>
        <v>43.328999999999994</v>
      </c>
      <c r="M126" s="11" cm="1">
        <f t="array" aca="1" ref="M126" ca="1">_xlfn.XLOOKUP($B126,    INDIRECT("'" &amp; $C$3 &amp; "'!$A$20:$A$219"),    _xlfn.XLOOKUP(M$18,INDIRECT("'" &amp; $C$3 &amp; "'!$B$18:$X$18"), INDIRECT("'" &amp; $C$3 &amp; "'!$B$20:$X$219"),"XXXXX",0,1),    "XX",    0,    1)</f>
        <v>29</v>
      </c>
      <c r="N126" s="11">
        <f t="shared" ca="1" si="27"/>
        <v>22.499999999999996</v>
      </c>
      <c r="O126" s="4">
        <f t="shared" ca="1" si="28"/>
        <v>11.071000000000002</v>
      </c>
      <c r="P126" s="11">
        <v>17.35694889064386</v>
      </c>
      <c r="Q126" s="11">
        <f t="shared" ca="1" si="29"/>
        <v>37.043051109356135</v>
      </c>
      <c r="R126" s="11" t="str">
        <f t="shared" ca="1" si="30"/>
        <v>conical</v>
      </c>
      <c r="S126" s="13">
        <f t="shared" ca="1" si="31"/>
        <v>8.9000000000000021</v>
      </c>
      <c r="T126" s="13"/>
    </row>
    <row r="127" spans="1:20" x14ac:dyDescent="0.2">
      <c r="A127" s="11" t="s">
        <v>3</v>
      </c>
      <c r="B127" s="11" t="s">
        <v>128</v>
      </c>
      <c r="C127" s="11">
        <f>_xlfn.XLOOKUP($A127,'Conical section geometry'!$B$11:$B$17,'Conical section geometry'!$C$11:$C$17,"XXXX",0,1)</f>
        <v>-6.5</v>
      </c>
      <c r="D127" s="11">
        <f>_xlfn.XLOOKUP($A127,'Conical section geometry'!$B$11:$B$17,'Conical section geometry'!$D$11:$D$17,"XXXX",0,1)</f>
        <v>-17.928999999999998</v>
      </c>
      <c r="E127" s="11" cm="1">
        <f t="array" aca="1" ref="E127" ca="1">_xlfn.XLOOKUP($B127,    INDIRECT("'" &amp; $C$3 &amp; "'!$A$20:$A$219"),    _xlfn.XLOOKUP(E$18,INDIRECT("'" &amp; $C$3 &amp; "'!$B$18:$X$18"), INDIRECT("'" &amp; $C$3 &amp; "'!$B$20:$X$219"),"XXXXX",0,1),    "XX",    0,    1)</f>
        <v>8</v>
      </c>
      <c r="F127" s="11" cm="1">
        <f t="array" aca="1" ref="F127" ca="1">_xlfn.XLOOKUP($B127,    INDIRECT("'" &amp; $C$3 &amp; "'!$A$20:$A$219"),    _xlfn.XLOOKUP(F$18,INDIRECT("'" &amp; $C$3 &amp; "'!$B$18:$X$18"), INDIRECT("'" &amp; $C$3 &amp; "'!$B$20:$X$219"),"XXXXX",0,1),    "XX",    0,    1)</f>
        <v>10</v>
      </c>
      <c r="G127" s="11">
        <f>_xlfn.XLOOKUP($A127,'Conical section geometry'!$B$11:$B$17,'Conical section geometry'!$E$11:$E$17,"XXXX",0,1)</f>
        <v>-174.99340000000001</v>
      </c>
      <c r="H127" s="11" cm="1">
        <f t="array" aca="1" ref="H127" ca="1">_xlfn.XLOOKUP($B127,    INDIRECT("'" &amp; $C$3 &amp; "'!$A$20:$A$219"),    _xlfn.XLOOKUP(H$18,INDIRECT("'" &amp; $C$3 &amp; "'!$B$18:$X$18"), INDIRECT("'" &amp; $C$3 &amp; "'!$B$20:$X$219"),"XXXXX",0,1),    "XX",    0,    1)</f>
        <v>-31.7</v>
      </c>
      <c r="I127" s="11" cm="1">
        <f t="array" aca="1" ref="I127" ca="1">_xlfn.XLOOKUP($B127,    INDIRECT("'" &amp; $C$3 &amp; "'!$A$20:$A$219"),    _xlfn.XLOOKUP(I$18,INDIRECT("'" &amp; $C$3 &amp; "'!$B$18:$X$18"), INDIRECT("'" &amp; $C$3 &amp; "'!$B$20:$X$219"),"XXXXX",0,1),    "XX",    0,    1)</f>
        <v>86.1</v>
      </c>
      <c r="J127" s="11">
        <f t="shared" si="24"/>
        <v>31.9</v>
      </c>
      <c r="K127" s="11">
        <f t="shared" si="25"/>
        <v>11.428999999999998</v>
      </c>
      <c r="L127" s="11">
        <f t="shared" si="26"/>
        <v>43.328999999999994</v>
      </c>
      <c r="M127" s="11" cm="1">
        <f t="array" aca="1" ref="M127" ca="1">_xlfn.XLOOKUP($B127,    INDIRECT("'" &amp; $C$3 &amp; "'!$A$20:$A$219"),    _xlfn.XLOOKUP(M$18,INDIRECT("'" &amp; $C$3 &amp; "'!$B$18:$X$18"), INDIRECT("'" &amp; $C$3 &amp; "'!$B$20:$X$219"),"XXXXX",0,1),    "XX",    0,    1)</f>
        <v>29</v>
      </c>
      <c r="N127" s="11">
        <f t="shared" ca="1" si="27"/>
        <v>22.499999999999996</v>
      </c>
      <c r="O127" s="4">
        <f t="shared" ca="1" si="28"/>
        <v>11.071000000000002</v>
      </c>
      <c r="P127" s="11">
        <v>17.356948890643874</v>
      </c>
      <c r="Q127" s="11">
        <f t="shared" ca="1" si="29"/>
        <v>37.043051109356121</v>
      </c>
      <c r="R127" s="11" t="str">
        <f t="shared" ca="1" si="30"/>
        <v>conical</v>
      </c>
      <c r="S127" s="13">
        <f t="shared" ca="1" si="31"/>
        <v>8.9</v>
      </c>
      <c r="T127" s="13"/>
    </row>
    <row r="128" spans="1:20" x14ac:dyDescent="0.2">
      <c r="A128" s="11" t="s">
        <v>3</v>
      </c>
      <c r="B128" s="11" t="s">
        <v>144</v>
      </c>
      <c r="C128" s="11">
        <f>_xlfn.XLOOKUP($A128,'Conical section geometry'!$B$11:$B$17,'Conical section geometry'!$C$11:$C$17,"XXXX",0,1)</f>
        <v>-6.5</v>
      </c>
      <c r="D128" s="11">
        <f>_xlfn.XLOOKUP($A128,'Conical section geometry'!$B$11:$B$17,'Conical section geometry'!$D$11:$D$17,"XXXX",0,1)</f>
        <v>-17.928999999999998</v>
      </c>
      <c r="E128" s="11" cm="1">
        <f t="array" aca="1" ref="E128" ca="1">_xlfn.XLOOKUP($B128,    INDIRECT("'" &amp; $C$3 &amp; "'!$A$20:$A$219"),    _xlfn.XLOOKUP(E$18,INDIRECT("'" &amp; $C$3 &amp; "'!$B$18:$X$18"), INDIRECT("'" &amp; $C$3 &amp; "'!$B$20:$X$219"),"XXXXX",0,1),    "XX",    0,    1)</f>
        <v>8</v>
      </c>
      <c r="F128" s="11" cm="1">
        <f t="array" aca="1" ref="F128" ca="1">_xlfn.XLOOKUP($B128,    INDIRECT("'" &amp; $C$3 &amp; "'!$A$20:$A$219"),    _xlfn.XLOOKUP(F$18,INDIRECT("'" &amp; $C$3 &amp; "'!$B$18:$X$18"), INDIRECT("'" &amp; $C$3 &amp; "'!$B$20:$X$219"),"XXXXX",0,1),    "XX",    0,    1)</f>
        <v>10</v>
      </c>
      <c r="G128" s="11">
        <f>_xlfn.XLOOKUP($A128,'Conical section geometry'!$B$11:$B$17,'Conical section geometry'!$E$11:$E$17,"XXXX",0,1)</f>
        <v>-174.99340000000001</v>
      </c>
      <c r="H128" s="11" cm="1">
        <f t="array" aca="1" ref="H128" ca="1">_xlfn.XLOOKUP($B128,    INDIRECT("'" &amp; $C$3 &amp; "'!$A$20:$A$219"),    _xlfn.XLOOKUP(H$18,INDIRECT("'" &amp; $C$3 &amp; "'!$B$18:$X$18"), INDIRECT("'" &amp; $C$3 &amp; "'!$B$20:$X$219"),"XXXXX",0,1),    "XX",    0,    1)</f>
        <v>-31</v>
      </c>
      <c r="I128" s="11" cm="1">
        <f t="array" aca="1" ref="I128" ca="1">_xlfn.XLOOKUP($B128,    INDIRECT("'" &amp; $C$3 &amp; "'!$A$20:$A$219"),    _xlfn.XLOOKUP(I$18,INDIRECT("'" &amp; $C$3 &amp; "'!$B$18:$X$18"), INDIRECT("'" &amp; $C$3 &amp; "'!$B$20:$X$219"),"XXXXX",0,1),    "XX",    0,    1)</f>
        <v>85.3</v>
      </c>
      <c r="J128" s="11">
        <f t="shared" si="24"/>
        <v>31.9</v>
      </c>
      <c r="K128" s="11">
        <f t="shared" si="25"/>
        <v>11.428999999999998</v>
      </c>
      <c r="L128" s="11">
        <f t="shared" si="26"/>
        <v>43.328999999999994</v>
      </c>
      <c r="M128" s="11" cm="1">
        <f t="array" aca="1" ref="M128" ca="1">_xlfn.XLOOKUP($B128,    INDIRECT("'" &amp; $C$3 &amp; "'!$A$20:$A$219"),    _xlfn.XLOOKUP(M$18,INDIRECT("'" &amp; $C$3 &amp; "'!$B$18:$X$18"), INDIRECT("'" &amp; $C$3 &amp; "'!$B$20:$X$219"),"XXXXX",0,1),    "XX",    0,    1)</f>
        <v>28.9</v>
      </c>
      <c r="N128" s="11">
        <f t="shared" ca="1" si="27"/>
        <v>22.4</v>
      </c>
      <c r="O128" s="4">
        <f t="shared" ca="1" si="28"/>
        <v>10.971000000000004</v>
      </c>
      <c r="P128" s="11">
        <v>17.256948890643876</v>
      </c>
      <c r="Q128" s="11">
        <f t="shared" ca="1" si="29"/>
        <v>37.043051109356121</v>
      </c>
      <c r="R128" s="11" t="str">
        <f t="shared" ca="1" si="30"/>
        <v>conical</v>
      </c>
      <c r="S128" s="13">
        <f t="shared" ca="1" si="31"/>
        <v>8.9</v>
      </c>
      <c r="T128" s="13"/>
    </row>
    <row r="129" spans="1:20" x14ac:dyDescent="0.2">
      <c r="A129" s="11" t="s">
        <v>3</v>
      </c>
      <c r="B129" s="11" t="s">
        <v>157</v>
      </c>
      <c r="C129" s="11">
        <f>_xlfn.XLOOKUP($A129,'Conical section geometry'!$B$11:$B$17,'Conical section geometry'!$C$11:$C$17,"XXXX",0,1)</f>
        <v>-6.5</v>
      </c>
      <c r="D129" s="11">
        <f>_xlfn.XLOOKUP($A129,'Conical section geometry'!$B$11:$B$17,'Conical section geometry'!$D$11:$D$17,"XXXX",0,1)</f>
        <v>-17.928999999999998</v>
      </c>
      <c r="E129" s="11" cm="1">
        <f t="array" aca="1" ref="E129" ca="1">_xlfn.XLOOKUP($B129,    INDIRECT("'" &amp; $C$3 &amp; "'!$A$20:$A$219"),    _xlfn.XLOOKUP(E$18,INDIRECT("'" &amp; $C$3 &amp; "'!$B$18:$X$18"), INDIRECT("'" &amp; $C$3 &amp; "'!$B$20:$X$219"),"XXXXX",0,1),    "XX",    0,    1)</f>
        <v>8</v>
      </c>
      <c r="F129" s="11" cm="1">
        <f t="array" aca="1" ref="F129" ca="1">_xlfn.XLOOKUP($B129,    INDIRECT("'" &amp; $C$3 &amp; "'!$A$20:$A$219"),    _xlfn.XLOOKUP(F$18,INDIRECT("'" &amp; $C$3 &amp; "'!$B$18:$X$18"), INDIRECT("'" &amp; $C$3 &amp; "'!$B$20:$X$219"),"XXXXX",0,1),    "XX",    0,    1)</f>
        <v>10</v>
      </c>
      <c r="G129" s="11">
        <f>_xlfn.XLOOKUP($A129,'Conical section geometry'!$B$11:$B$17,'Conical section geometry'!$E$11:$E$17,"XXXX",0,1)</f>
        <v>-174.99340000000001</v>
      </c>
      <c r="H129" s="11" cm="1">
        <f t="array" aca="1" ref="H129" ca="1">_xlfn.XLOOKUP($B129,    INDIRECT("'" &amp; $C$3 &amp; "'!$A$20:$A$219"),    _xlfn.XLOOKUP(H$18,INDIRECT("'" &amp; $C$3 &amp; "'!$B$18:$X$18"), INDIRECT("'" &amp; $C$3 &amp; "'!$B$20:$X$219"),"XXXXX",0,1),    "XX",    0,    1)</f>
        <v>-29.6</v>
      </c>
      <c r="I129" s="11" cm="1">
        <f t="array" aca="1" ref="I129" ca="1">_xlfn.XLOOKUP($B129,    INDIRECT("'" &amp; $C$3 &amp; "'!$A$20:$A$219"),    _xlfn.XLOOKUP(I$18,INDIRECT("'" &amp; $C$3 &amp; "'!$B$18:$X$18"), INDIRECT("'" &amp; $C$3 &amp; "'!$B$20:$X$219"),"XXXXX",0,1),    "XX",    0,    1)</f>
        <v>83.9</v>
      </c>
      <c r="J129" s="11">
        <f t="shared" si="24"/>
        <v>31.9</v>
      </c>
      <c r="K129" s="11">
        <f t="shared" si="25"/>
        <v>11.428999999999998</v>
      </c>
      <c r="L129" s="11">
        <f t="shared" si="26"/>
        <v>43.328999999999994</v>
      </c>
      <c r="M129" s="11" cm="1">
        <f t="array" aca="1" ref="M129" ca="1">_xlfn.XLOOKUP($B129,    INDIRECT("'" &amp; $C$3 &amp; "'!$A$20:$A$219"),    _xlfn.XLOOKUP(M$18,INDIRECT("'" &amp; $C$3 &amp; "'!$B$18:$X$18"), INDIRECT("'" &amp; $C$3 &amp; "'!$B$20:$X$219"),"XXXXX",0,1),    "XX",    0,    1)</f>
        <v>28.9</v>
      </c>
      <c r="N129" s="11">
        <f t="shared" ca="1" si="27"/>
        <v>22.400000000000006</v>
      </c>
      <c r="O129" s="4">
        <f t="shared" ca="1" si="28"/>
        <v>10.971000000000011</v>
      </c>
      <c r="P129" s="11">
        <v>17.256948890643876</v>
      </c>
      <c r="Q129" s="11">
        <f t="shared" ca="1" si="29"/>
        <v>37.043051109356128</v>
      </c>
      <c r="R129" s="11" t="str">
        <f t="shared" ca="1" si="30"/>
        <v>conical</v>
      </c>
      <c r="S129" s="13">
        <f t="shared" ca="1" si="31"/>
        <v>8.9</v>
      </c>
      <c r="T129" s="13"/>
    </row>
    <row r="130" spans="1:20" x14ac:dyDescent="0.2">
      <c r="A130" s="11" t="s">
        <v>3</v>
      </c>
      <c r="B130" s="11" t="s">
        <v>92</v>
      </c>
      <c r="C130" s="11">
        <f>_xlfn.XLOOKUP($A130,'Conical section geometry'!$B$11:$B$17,'Conical section geometry'!$C$11:$C$17,"XXXX",0,1)</f>
        <v>-6.5</v>
      </c>
      <c r="D130" s="11">
        <f>_xlfn.XLOOKUP($A130,'Conical section geometry'!$B$11:$B$17,'Conical section geometry'!$D$11:$D$17,"XXXX",0,1)</f>
        <v>-17.928999999999998</v>
      </c>
      <c r="E130" s="11" cm="1">
        <f t="array" aca="1" ref="E130" ca="1">_xlfn.XLOOKUP($B130,    INDIRECT("'" &amp; $C$3 &amp; "'!$A$20:$A$219"),    _xlfn.XLOOKUP(E$18,INDIRECT("'" &amp; $C$3 &amp; "'!$B$18:$X$18"), INDIRECT("'" &amp; $C$3 &amp; "'!$B$20:$X$219"),"XXXXX",0,1),    "XX",    0,    1)</f>
        <v>8</v>
      </c>
      <c r="F130" s="11" cm="1">
        <f t="array" aca="1" ref="F130" ca="1">_xlfn.XLOOKUP($B130,    INDIRECT("'" &amp; $C$3 &amp; "'!$A$20:$A$219"),    _xlfn.XLOOKUP(F$18,INDIRECT("'" &amp; $C$3 &amp; "'!$B$18:$X$18"), INDIRECT("'" &amp; $C$3 &amp; "'!$B$20:$X$219"),"XXXXX",0,1),    "XX",    0,    1)</f>
        <v>10</v>
      </c>
      <c r="G130" s="11">
        <f>_xlfn.XLOOKUP($A130,'Conical section geometry'!$B$11:$B$17,'Conical section geometry'!$E$11:$E$17,"XXXX",0,1)</f>
        <v>-174.99340000000001</v>
      </c>
      <c r="H130" s="11" cm="1">
        <f t="array" aca="1" ref="H130" ca="1">_xlfn.XLOOKUP($B130,    INDIRECT("'" &amp; $C$3 &amp; "'!$A$20:$A$219"),    _xlfn.XLOOKUP(H$18,INDIRECT("'" &amp; $C$3 &amp; "'!$B$18:$X$18"), INDIRECT("'" &amp; $C$3 &amp; "'!$B$20:$X$219"),"XXXXX",0,1),    "XX",    0,    1)</f>
        <v>-34.4</v>
      </c>
      <c r="I130" s="11" cm="1">
        <f t="array" aca="1" ref="I130" ca="1">_xlfn.XLOOKUP($B130,    INDIRECT("'" &amp; $C$3 &amp; "'!$A$20:$A$219"),    _xlfn.XLOOKUP(I$18,INDIRECT("'" &amp; $C$3 &amp; "'!$B$18:$X$18"), INDIRECT("'" &amp; $C$3 &amp; "'!$B$20:$X$219"),"XXXXX",0,1),    "XX",    0,    1)</f>
        <v>88.7</v>
      </c>
      <c r="J130" s="11">
        <f t="shared" si="24"/>
        <v>31.9</v>
      </c>
      <c r="K130" s="11">
        <f t="shared" si="25"/>
        <v>11.428999999999998</v>
      </c>
      <c r="L130" s="11">
        <f t="shared" si="26"/>
        <v>43.328999999999994</v>
      </c>
      <c r="M130" s="11" cm="1">
        <f t="array" aca="1" ref="M130" ca="1">_xlfn.XLOOKUP($B130,    INDIRECT("'" &amp; $C$3 &amp; "'!$A$20:$A$219"),    _xlfn.XLOOKUP(M$18,INDIRECT("'" &amp; $C$3 &amp; "'!$B$18:$X$18"), INDIRECT("'" &amp; $C$3 &amp; "'!$B$20:$X$219"),"XXXXX",0,1),    "XX",    0,    1)</f>
        <v>28.9</v>
      </c>
      <c r="N130" s="11">
        <f t="shared" ca="1" si="27"/>
        <v>22.400000000000006</v>
      </c>
      <c r="O130" s="4">
        <f t="shared" ca="1" si="28"/>
        <v>10.971000000000011</v>
      </c>
      <c r="P130" s="11">
        <v>17.256948890643876</v>
      </c>
      <c r="Q130" s="11">
        <f t="shared" ca="1" si="29"/>
        <v>37.043051109356128</v>
      </c>
      <c r="R130" s="11" t="str">
        <f t="shared" ca="1" si="30"/>
        <v>conical</v>
      </c>
      <c r="S130" s="13">
        <f t="shared" ca="1" si="31"/>
        <v>8.9</v>
      </c>
      <c r="T130" s="13"/>
    </row>
    <row r="131" spans="1:20" x14ac:dyDescent="0.2">
      <c r="A131" s="11" t="s">
        <v>3</v>
      </c>
      <c r="B131" s="11" t="s">
        <v>161</v>
      </c>
      <c r="C131" s="11">
        <f>_xlfn.XLOOKUP($A131,'Conical section geometry'!$B$11:$B$17,'Conical section geometry'!$C$11:$C$17,"XXXX",0,1)</f>
        <v>-6.5</v>
      </c>
      <c r="D131" s="11">
        <f>_xlfn.XLOOKUP($A131,'Conical section geometry'!$B$11:$B$17,'Conical section geometry'!$D$11:$D$17,"XXXX",0,1)</f>
        <v>-17.928999999999998</v>
      </c>
      <c r="E131" s="11" cm="1">
        <f t="array" aca="1" ref="E131" ca="1">_xlfn.XLOOKUP($B131,    INDIRECT("'" &amp; $C$3 &amp; "'!$A$20:$A$219"),    _xlfn.XLOOKUP(E$18,INDIRECT("'" &amp; $C$3 &amp; "'!$B$18:$X$18"), INDIRECT("'" &amp; $C$3 &amp; "'!$B$20:$X$219"),"XXXXX",0,1),    "XX",    0,    1)</f>
        <v>8</v>
      </c>
      <c r="F131" s="11" cm="1">
        <f t="array" aca="1" ref="F131" ca="1">_xlfn.XLOOKUP($B131,    INDIRECT("'" &amp; $C$3 &amp; "'!$A$20:$A$219"),    _xlfn.XLOOKUP(F$18,INDIRECT("'" &amp; $C$3 &amp; "'!$B$18:$X$18"), INDIRECT("'" &amp; $C$3 &amp; "'!$B$20:$X$219"),"XXXXX",0,1),    "XX",    0,    1)</f>
        <v>10</v>
      </c>
      <c r="G131" s="11">
        <f>_xlfn.XLOOKUP($A131,'Conical section geometry'!$B$11:$B$17,'Conical section geometry'!$E$11:$E$17,"XXXX",0,1)</f>
        <v>-174.99340000000001</v>
      </c>
      <c r="H131" s="11" cm="1">
        <f t="array" aca="1" ref="H131" ca="1">_xlfn.XLOOKUP($B131,    INDIRECT("'" &amp; $C$3 &amp; "'!$A$20:$A$219"),    _xlfn.XLOOKUP(H$18,INDIRECT("'" &amp; $C$3 &amp; "'!$B$18:$X$18"), INDIRECT("'" &amp; $C$3 &amp; "'!$B$20:$X$219"),"XXXXX",0,1),    "XX",    0,    1)</f>
        <v>-28.9</v>
      </c>
      <c r="I131" s="11" cm="1">
        <f t="array" aca="1" ref="I131" ca="1">_xlfn.XLOOKUP($B131,    INDIRECT("'" &amp; $C$3 &amp; "'!$A$20:$A$219"),    _xlfn.XLOOKUP(I$18,INDIRECT("'" &amp; $C$3 &amp; "'!$B$18:$X$18"), INDIRECT("'" &amp; $C$3 &amp; "'!$B$20:$X$219"),"XXXXX",0,1),    "XX",    0,    1)</f>
        <v>83.2</v>
      </c>
      <c r="J131" s="11">
        <f t="shared" si="24"/>
        <v>31.9</v>
      </c>
      <c r="K131" s="11">
        <f t="shared" si="25"/>
        <v>11.428999999999998</v>
      </c>
      <c r="L131" s="11">
        <f t="shared" si="26"/>
        <v>43.328999999999994</v>
      </c>
      <c r="M131" s="11" cm="1">
        <f t="array" aca="1" ref="M131" ca="1">_xlfn.XLOOKUP($B131,    INDIRECT("'" &amp; $C$3 &amp; "'!$A$20:$A$219"),    _xlfn.XLOOKUP(M$18,INDIRECT("'" &amp; $C$3 &amp; "'!$B$18:$X$18"), INDIRECT("'" &amp; $C$3 &amp; "'!$B$20:$X$219"),"XXXXX",0,1),    "XX",    0,    1)</f>
        <v>28.9</v>
      </c>
      <c r="N131" s="11">
        <f t="shared" ca="1" si="27"/>
        <v>22.400000000000006</v>
      </c>
      <c r="O131" s="4">
        <f t="shared" ca="1" si="28"/>
        <v>10.971000000000011</v>
      </c>
      <c r="P131" s="11">
        <v>17.256948890643876</v>
      </c>
      <c r="Q131" s="11">
        <f t="shared" ca="1" si="29"/>
        <v>37.043051109356128</v>
      </c>
      <c r="R131" s="11" t="str">
        <f t="shared" ca="1" si="30"/>
        <v>conical</v>
      </c>
      <c r="S131" s="13">
        <f t="shared" ca="1" si="31"/>
        <v>8.9</v>
      </c>
      <c r="T131" s="13"/>
    </row>
    <row r="132" spans="1:20" x14ac:dyDescent="0.2">
      <c r="A132" s="11" t="s">
        <v>3</v>
      </c>
      <c r="B132" s="11" t="s">
        <v>59</v>
      </c>
      <c r="C132" s="11">
        <f>_xlfn.XLOOKUP($A132,'Conical section geometry'!$B$11:$B$17,'Conical section geometry'!$C$11:$C$17,"XXXX",0,1)</f>
        <v>-6.5</v>
      </c>
      <c r="D132" s="11">
        <f>_xlfn.XLOOKUP($A132,'Conical section geometry'!$B$11:$B$17,'Conical section geometry'!$D$11:$D$17,"XXXX",0,1)</f>
        <v>-17.928999999999998</v>
      </c>
      <c r="E132" s="11" cm="1">
        <f t="array" aca="1" ref="E132" ca="1">_xlfn.XLOOKUP($B132,    INDIRECT("'" &amp; $C$3 &amp; "'!$A$20:$A$219"),    _xlfn.XLOOKUP(E$18,INDIRECT("'" &amp; $C$3 &amp; "'!$B$18:$X$18"), INDIRECT("'" &amp; $C$3 &amp; "'!$B$20:$X$219"),"XXXXX",0,1),    "XX",    0,    1)</f>
        <v>8</v>
      </c>
      <c r="F132" s="11" cm="1">
        <f t="array" aca="1" ref="F132" ca="1">_xlfn.XLOOKUP($B132,    INDIRECT("'" &amp; $C$3 &amp; "'!$A$20:$A$219"),    _xlfn.XLOOKUP(F$18,INDIRECT("'" &amp; $C$3 &amp; "'!$B$18:$X$18"), INDIRECT("'" &amp; $C$3 &amp; "'!$B$20:$X$219"),"XXXXX",0,1),    "XX",    0,    1)</f>
        <v>10</v>
      </c>
      <c r="G132" s="11">
        <f>_xlfn.XLOOKUP($A132,'Conical section geometry'!$B$11:$B$17,'Conical section geometry'!$E$11:$E$17,"XXXX",0,1)</f>
        <v>-174.99340000000001</v>
      </c>
      <c r="H132" s="11" cm="1">
        <f t="array" aca="1" ref="H132" ca="1">_xlfn.XLOOKUP($B132,    INDIRECT("'" &amp; $C$3 &amp; "'!$A$20:$A$219"),    _xlfn.XLOOKUP(H$18,INDIRECT("'" &amp; $C$3 &amp; "'!$B$18:$X$18"), INDIRECT("'" &amp; $C$3 &amp; "'!$B$20:$X$219"),"XXXXX",0,1),    "XX",    0,    1)</f>
        <v>-37.9</v>
      </c>
      <c r="I132" s="11" cm="1">
        <f t="array" aca="1" ref="I132" ca="1">_xlfn.XLOOKUP($B132,    INDIRECT("'" &amp; $C$3 &amp; "'!$A$20:$A$219"),    _xlfn.XLOOKUP(I$18,INDIRECT("'" &amp; $C$3 &amp; "'!$B$18:$X$18"), INDIRECT("'" &amp; $C$3 &amp; "'!$B$20:$X$219"),"XXXXX",0,1),    "XX",    0,    1)</f>
        <v>92.2</v>
      </c>
      <c r="J132" s="11">
        <f t="shared" si="24"/>
        <v>31.9</v>
      </c>
      <c r="K132" s="11">
        <f t="shared" si="25"/>
        <v>11.428999999999998</v>
      </c>
      <c r="L132" s="11">
        <f t="shared" si="26"/>
        <v>43.328999999999994</v>
      </c>
      <c r="M132" s="11" cm="1">
        <f t="array" aca="1" ref="M132" ca="1">_xlfn.XLOOKUP($B132,    INDIRECT("'" &amp; $C$3 &amp; "'!$A$20:$A$219"),    _xlfn.XLOOKUP(M$18,INDIRECT("'" &amp; $C$3 &amp; "'!$B$18:$X$18"), INDIRECT("'" &amp; $C$3 &amp; "'!$B$20:$X$219"),"XXXXX",0,1),    "XX",    0,    1)</f>
        <v>28.9</v>
      </c>
      <c r="N132" s="11">
        <f t="shared" ca="1" si="27"/>
        <v>22.400000000000006</v>
      </c>
      <c r="O132" s="4">
        <f t="shared" ca="1" si="28"/>
        <v>10.971000000000011</v>
      </c>
      <c r="P132" s="11">
        <v>17.256948890643876</v>
      </c>
      <c r="Q132" s="11">
        <f t="shared" ca="1" si="29"/>
        <v>37.043051109356128</v>
      </c>
      <c r="R132" s="11" t="str">
        <f t="shared" ca="1" si="30"/>
        <v>conical</v>
      </c>
      <c r="S132" s="13">
        <f t="shared" ca="1" si="31"/>
        <v>8.9</v>
      </c>
      <c r="T132" s="13"/>
    </row>
    <row r="133" spans="1:20" x14ac:dyDescent="0.2">
      <c r="A133" s="11" t="s">
        <v>3</v>
      </c>
      <c r="B133" s="11" t="s">
        <v>130</v>
      </c>
      <c r="C133" s="11">
        <f>_xlfn.XLOOKUP($A133,'Conical section geometry'!$B$11:$B$17,'Conical section geometry'!$C$11:$C$17,"XXXX",0,1)</f>
        <v>-6.5</v>
      </c>
      <c r="D133" s="11">
        <f>_xlfn.XLOOKUP($A133,'Conical section geometry'!$B$11:$B$17,'Conical section geometry'!$D$11:$D$17,"XXXX",0,1)</f>
        <v>-17.928999999999998</v>
      </c>
      <c r="E133" s="11" cm="1">
        <f t="array" aca="1" ref="E133" ca="1">_xlfn.XLOOKUP($B133,    INDIRECT("'" &amp; $C$3 &amp; "'!$A$20:$A$219"),    _xlfn.XLOOKUP(E$18,INDIRECT("'" &amp; $C$3 &amp; "'!$B$18:$X$18"), INDIRECT("'" &amp; $C$3 &amp; "'!$B$20:$X$219"),"XXXXX",0,1),    "XX",    0,    1)</f>
        <v>8</v>
      </c>
      <c r="F133" s="11" cm="1">
        <f t="array" aca="1" ref="F133" ca="1">_xlfn.XLOOKUP($B133,    INDIRECT("'" &amp; $C$3 &amp; "'!$A$20:$A$219"),    _xlfn.XLOOKUP(F$18,INDIRECT("'" &amp; $C$3 &amp; "'!$B$18:$X$18"), INDIRECT("'" &amp; $C$3 &amp; "'!$B$20:$X$219"),"XXXXX",0,1),    "XX",    0,    1)</f>
        <v>10</v>
      </c>
      <c r="G133" s="11">
        <f>_xlfn.XLOOKUP($A133,'Conical section geometry'!$B$11:$B$17,'Conical section geometry'!$E$11:$E$17,"XXXX",0,1)</f>
        <v>-174.99340000000001</v>
      </c>
      <c r="H133" s="11" cm="1">
        <f t="array" aca="1" ref="H133" ca="1">_xlfn.XLOOKUP($B133,    INDIRECT("'" &amp; $C$3 &amp; "'!$A$20:$A$219"),    _xlfn.XLOOKUP(H$18,INDIRECT("'" &amp; $C$3 &amp; "'!$B$18:$X$18"), INDIRECT("'" &amp; $C$3 &amp; "'!$B$20:$X$219"),"XXXXX",0,1),    "XX",    0,    1)</f>
        <v>-31.9</v>
      </c>
      <c r="I133" s="11" cm="1">
        <f t="array" aca="1" ref="I133" ca="1">_xlfn.XLOOKUP($B133,    INDIRECT("'" &amp; $C$3 &amp; "'!$A$20:$A$219"),    _xlfn.XLOOKUP(I$18,INDIRECT("'" &amp; $C$3 &amp; "'!$B$18:$X$18"), INDIRECT("'" &amp; $C$3 &amp; "'!$B$20:$X$219"),"XXXXX",0,1),    "XX",    0,    1)</f>
        <v>86.1</v>
      </c>
      <c r="J133" s="11">
        <f t="shared" si="24"/>
        <v>31.9</v>
      </c>
      <c r="K133" s="11">
        <f t="shared" si="25"/>
        <v>11.428999999999998</v>
      </c>
      <c r="L133" s="11">
        <f t="shared" si="26"/>
        <v>43.328999999999994</v>
      </c>
      <c r="M133" s="11" cm="1">
        <f t="array" aca="1" ref="M133" ca="1">_xlfn.XLOOKUP($B133,    INDIRECT("'" &amp; $C$3 &amp; "'!$A$20:$A$219"),    _xlfn.XLOOKUP(M$18,INDIRECT("'" &amp; $C$3 &amp; "'!$B$18:$X$18"), INDIRECT("'" &amp; $C$3 &amp; "'!$B$20:$X$219"),"XXXXX",0,1),    "XX",    0,    1)</f>
        <v>28.8</v>
      </c>
      <c r="N133" s="11">
        <f t="shared" ca="1" si="27"/>
        <v>22.299999999999997</v>
      </c>
      <c r="O133" s="4">
        <f t="shared" ca="1" si="28"/>
        <v>10.871000000000002</v>
      </c>
      <c r="P133" s="11">
        <v>17.156948890643861</v>
      </c>
      <c r="Q133" s="11">
        <f t="shared" ca="1" si="29"/>
        <v>37.043051109356135</v>
      </c>
      <c r="R133" s="11" t="str">
        <f t="shared" ca="1" si="30"/>
        <v>conical</v>
      </c>
      <c r="S133" s="13">
        <f t="shared" ca="1" si="31"/>
        <v>8.9000000000000021</v>
      </c>
      <c r="T133" s="13"/>
    </row>
    <row r="134" spans="1:20" x14ac:dyDescent="0.2">
      <c r="A134" s="11" t="s">
        <v>3</v>
      </c>
      <c r="B134" s="11" t="s">
        <v>159</v>
      </c>
      <c r="C134" s="11">
        <f>_xlfn.XLOOKUP($A134,'Conical section geometry'!$B$11:$B$17,'Conical section geometry'!$C$11:$C$17,"XXXX",0,1)</f>
        <v>-6.5</v>
      </c>
      <c r="D134" s="11">
        <f>_xlfn.XLOOKUP($A134,'Conical section geometry'!$B$11:$B$17,'Conical section geometry'!$D$11:$D$17,"XXXX",0,1)</f>
        <v>-17.928999999999998</v>
      </c>
      <c r="E134" s="11" cm="1">
        <f t="array" aca="1" ref="E134" ca="1">_xlfn.XLOOKUP($B134,    INDIRECT("'" &amp; $C$3 &amp; "'!$A$20:$A$219"),    _xlfn.XLOOKUP(E$18,INDIRECT("'" &amp; $C$3 &amp; "'!$B$18:$X$18"), INDIRECT("'" &amp; $C$3 &amp; "'!$B$20:$X$219"),"XXXXX",0,1),    "XX",    0,    1)</f>
        <v>8</v>
      </c>
      <c r="F134" s="11" cm="1">
        <f t="array" aca="1" ref="F134" ca="1">_xlfn.XLOOKUP($B134,    INDIRECT("'" &amp; $C$3 &amp; "'!$A$20:$A$219"),    _xlfn.XLOOKUP(F$18,INDIRECT("'" &amp; $C$3 &amp; "'!$B$18:$X$18"), INDIRECT("'" &amp; $C$3 &amp; "'!$B$20:$X$219"),"XXXXX",0,1),    "XX",    0,    1)</f>
        <v>10</v>
      </c>
      <c r="G134" s="11">
        <f>_xlfn.XLOOKUP($A134,'Conical section geometry'!$B$11:$B$17,'Conical section geometry'!$E$11:$E$17,"XXXX",0,1)</f>
        <v>-174.99340000000001</v>
      </c>
      <c r="H134" s="11" cm="1">
        <f t="array" aca="1" ref="H134" ca="1">_xlfn.XLOOKUP($B134,    INDIRECT("'" &amp; $C$3 &amp; "'!$A$20:$A$219"),    _xlfn.XLOOKUP(H$18,INDIRECT("'" &amp; $C$3 &amp; "'!$B$18:$X$18"), INDIRECT("'" &amp; $C$3 &amp; "'!$B$20:$X$219"),"XXXXX",0,1),    "XX",    0,    1)</f>
        <v>-29.4</v>
      </c>
      <c r="I134" s="11" cm="1">
        <f t="array" aca="1" ref="I134" ca="1">_xlfn.XLOOKUP($B134,    INDIRECT("'" &amp; $C$3 &amp; "'!$A$20:$A$219"),    _xlfn.XLOOKUP(I$18,INDIRECT("'" &amp; $C$3 &amp; "'!$B$18:$X$18"), INDIRECT("'" &amp; $C$3 &amp; "'!$B$20:$X$219"),"XXXXX",0,1),    "XX",    0,    1)</f>
        <v>83.6</v>
      </c>
      <c r="J134" s="11">
        <f t="shared" si="24"/>
        <v>31.9</v>
      </c>
      <c r="K134" s="11">
        <f t="shared" si="25"/>
        <v>11.428999999999998</v>
      </c>
      <c r="L134" s="11">
        <f t="shared" si="26"/>
        <v>43.328999999999994</v>
      </c>
      <c r="M134" s="11" cm="1">
        <f t="array" aca="1" ref="M134" ca="1">_xlfn.XLOOKUP($B134,    INDIRECT("'" &amp; $C$3 &amp; "'!$A$20:$A$219"),    _xlfn.XLOOKUP(M$18,INDIRECT("'" &amp; $C$3 &amp; "'!$B$18:$X$18"), INDIRECT("'" &amp; $C$3 &amp; "'!$B$20:$X$219"),"XXXXX",0,1),    "XX",    0,    1)</f>
        <v>28.8</v>
      </c>
      <c r="N134" s="11">
        <f t="shared" ca="1" si="27"/>
        <v>22.299999999999997</v>
      </c>
      <c r="O134" s="4">
        <f t="shared" ca="1" si="28"/>
        <v>10.871000000000002</v>
      </c>
      <c r="P134" s="11">
        <v>17.156948890643868</v>
      </c>
      <c r="Q134" s="11">
        <f t="shared" ca="1" si="29"/>
        <v>37.043051109356128</v>
      </c>
      <c r="R134" s="11" t="str">
        <f t="shared" ca="1" si="30"/>
        <v>conical</v>
      </c>
      <c r="S134" s="13">
        <f t="shared" ca="1" si="31"/>
        <v>8.9</v>
      </c>
      <c r="T134" s="13"/>
    </row>
    <row r="135" spans="1:20" x14ac:dyDescent="0.2">
      <c r="A135" s="11" t="s">
        <v>3</v>
      </c>
      <c r="B135" s="11" t="s">
        <v>91</v>
      </c>
      <c r="C135" s="11">
        <f>_xlfn.XLOOKUP($A135,'Conical section geometry'!$B$11:$B$17,'Conical section geometry'!$C$11:$C$17,"XXXX",0,1)</f>
        <v>-6.5</v>
      </c>
      <c r="D135" s="11">
        <f>_xlfn.XLOOKUP($A135,'Conical section geometry'!$B$11:$B$17,'Conical section geometry'!$D$11:$D$17,"XXXX",0,1)</f>
        <v>-17.928999999999998</v>
      </c>
      <c r="E135" s="11" cm="1">
        <f t="array" aca="1" ref="E135" ca="1">_xlfn.XLOOKUP($B135,    INDIRECT("'" &amp; $C$3 &amp; "'!$A$20:$A$219"),    _xlfn.XLOOKUP(E$18,INDIRECT("'" &amp; $C$3 &amp; "'!$B$18:$X$18"), INDIRECT("'" &amp; $C$3 &amp; "'!$B$20:$X$219"),"XXXXX",0,1),    "XX",    0,    1)</f>
        <v>8</v>
      </c>
      <c r="F135" s="11" cm="1">
        <f t="array" aca="1" ref="F135" ca="1">_xlfn.XLOOKUP($B135,    INDIRECT("'" &amp; $C$3 &amp; "'!$A$20:$A$219"),    _xlfn.XLOOKUP(F$18,INDIRECT("'" &amp; $C$3 &amp; "'!$B$18:$X$18"), INDIRECT("'" &amp; $C$3 &amp; "'!$B$20:$X$219"),"XXXXX",0,1),    "XX",    0,    1)</f>
        <v>10</v>
      </c>
      <c r="G135" s="11">
        <f>_xlfn.XLOOKUP($A135,'Conical section geometry'!$B$11:$B$17,'Conical section geometry'!$E$11:$E$17,"XXXX",0,1)</f>
        <v>-174.99340000000001</v>
      </c>
      <c r="H135" s="11" cm="1">
        <f t="array" aca="1" ref="H135" ca="1">_xlfn.XLOOKUP($B135,    INDIRECT("'" &amp; $C$3 &amp; "'!$A$20:$A$219"),    _xlfn.XLOOKUP(H$18,INDIRECT("'" &amp; $C$3 &amp; "'!$B$18:$X$18"), INDIRECT("'" &amp; $C$3 &amp; "'!$B$20:$X$219"),"XXXXX",0,1),    "XX",    0,    1)</f>
        <v>-34.4</v>
      </c>
      <c r="I135" s="11" cm="1">
        <f t="array" aca="1" ref="I135" ca="1">_xlfn.XLOOKUP($B135,    INDIRECT("'" &amp; $C$3 &amp; "'!$A$20:$A$219"),    _xlfn.XLOOKUP(I$18,INDIRECT("'" &amp; $C$3 &amp; "'!$B$18:$X$18"), INDIRECT("'" &amp; $C$3 &amp; "'!$B$20:$X$219"),"XXXXX",0,1),    "XX",    0,    1)</f>
        <v>88.6</v>
      </c>
      <c r="J135" s="11">
        <f t="shared" si="24"/>
        <v>31.9</v>
      </c>
      <c r="K135" s="11">
        <f t="shared" si="25"/>
        <v>11.428999999999998</v>
      </c>
      <c r="L135" s="11">
        <f t="shared" si="26"/>
        <v>43.328999999999994</v>
      </c>
      <c r="M135" s="11" cm="1">
        <f t="array" aca="1" ref="M135" ca="1">_xlfn.XLOOKUP($B135,    INDIRECT("'" &amp; $C$3 &amp; "'!$A$20:$A$219"),    _xlfn.XLOOKUP(M$18,INDIRECT("'" &amp; $C$3 &amp; "'!$B$18:$X$18"), INDIRECT("'" &amp; $C$3 &amp; "'!$B$20:$X$219"),"XXXXX",0,1),    "XX",    0,    1)</f>
        <v>28.8</v>
      </c>
      <c r="N135" s="11">
        <f t="shared" ca="1" si="27"/>
        <v>22.299999999999997</v>
      </c>
      <c r="O135" s="4">
        <f t="shared" ca="1" si="28"/>
        <v>10.871000000000002</v>
      </c>
      <c r="P135" s="11">
        <v>17.156948890643868</v>
      </c>
      <c r="Q135" s="11">
        <f t="shared" ca="1" si="29"/>
        <v>37.043051109356128</v>
      </c>
      <c r="R135" s="11" t="str">
        <f t="shared" ca="1" si="30"/>
        <v>conical</v>
      </c>
      <c r="S135" s="13">
        <f t="shared" ca="1" si="31"/>
        <v>8.9</v>
      </c>
      <c r="T135" s="13"/>
    </row>
    <row r="136" spans="1:20" x14ac:dyDescent="0.2">
      <c r="A136" s="11" t="s">
        <v>4</v>
      </c>
      <c r="B136" s="11" t="s">
        <v>169</v>
      </c>
      <c r="C136" s="11">
        <f>_xlfn.XLOOKUP($A136,'Conical section geometry'!$B$11:$B$17,'Conical section geometry'!$C$11:$C$17,"XXXX",0,1)</f>
        <v>-6.5</v>
      </c>
      <c r="D136" s="11">
        <f>_xlfn.XLOOKUP($A136,'Conical section geometry'!$B$11:$B$17,'Conical section geometry'!$D$11:$D$17,"XXXX",0,1)</f>
        <v>-20.786000000000001</v>
      </c>
      <c r="E136" s="11" cm="1">
        <f t="array" aca="1" ref="E136" ca="1">_xlfn.XLOOKUP($B136,    INDIRECT("'" &amp; $C$3 &amp; "'!$A$20:$A$219"),    _xlfn.XLOOKUP(E$18,INDIRECT("'" &amp; $C$3 &amp; "'!$B$18:$X$18"), INDIRECT("'" &amp; $C$3 &amp; "'!$B$20:$X$219"),"XXXXX",0,1),    "XX",    0,    1)</f>
        <v>8</v>
      </c>
      <c r="F136" s="11" cm="1">
        <f t="array" aca="1" ref="F136" ca="1">_xlfn.XLOOKUP($B136,    INDIRECT("'" &amp; $C$3 &amp; "'!$A$20:$A$219"),    _xlfn.XLOOKUP(F$18,INDIRECT("'" &amp; $C$3 &amp; "'!$B$18:$X$18"), INDIRECT("'" &amp; $C$3 &amp; "'!$B$20:$X$219"),"XXXXX",0,1),    "XX",    0,    1)</f>
        <v>10.5</v>
      </c>
      <c r="G136" s="11">
        <f>_xlfn.XLOOKUP($A136,'Conical section geometry'!$B$11:$B$17,'Conical section geometry'!$E$11:$E$17,"XXXX",0,1)</f>
        <v>-174.996500069999</v>
      </c>
      <c r="H136" s="11" cm="1">
        <f t="array" aca="1" ref="H136" ca="1">_xlfn.XLOOKUP($B136,    INDIRECT("'" &amp; $C$3 &amp; "'!$A$20:$A$219"),    _xlfn.XLOOKUP(H$18,INDIRECT("'" &amp; $C$3 &amp; "'!$B$18:$X$18"), INDIRECT("'" &amp; $C$3 &amp; "'!$B$20:$X$219"),"XXXXX",0,1),    "XX",    0,    1)</f>
        <v>-43</v>
      </c>
      <c r="I136" s="11" cm="1">
        <f t="array" aca="1" ref="I136" ca="1">_xlfn.XLOOKUP($B136,    INDIRECT("'" &amp; $C$3 &amp; "'!$A$20:$A$219"),    _xlfn.XLOOKUP(I$18,INDIRECT("'" &amp; $C$3 &amp; "'!$B$18:$X$18"), INDIRECT("'" &amp; $C$3 &amp; "'!$B$20:$X$219"),"XXXXX",0,1),    "XX",    0,    1)</f>
        <v>97.1</v>
      </c>
      <c r="J136" s="11">
        <f t="shared" si="24"/>
        <v>31.9</v>
      </c>
      <c r="K136" s="11">
        <f t="shared" si="25"/>
        <v>14.286000000000001</v>
      </c>
      <c r="L136" s="11">
        <f t="shared" si="26"/>
        <v>46.186</v>
      </c>
      <c r="M136" s="11" cm="1">
        <f t="array" aca="1" ref="M136" ca="1">_xlfn.XLOOKUP($B136,    INDIRECT("'" &amp; $C$3 &amp; "'!$A$20:$A$219"),    _xlfn.XLOOKUP(M$18,INDIRECT("'" &amp; $C$3 &amp; "'!$B$18:$X$18"), INDIRECT("'" &amp; $C$3 &amp; "'!$B$20:$X$219"),"XXXXX",0,1),    "XX",    0,    1)</f>
        <v>28.7</v>
      </c>
      <c r="N136" s="11">
        <f t="shared" ca="1" si="27"/>
        <v>22.199999999999989</v>
      </c>
      <c r="O136" s="4">
        <f t="shared" ca="1" si="28"/>
        <v>7.9139999999999944</v>
      </c>
      <c r="P136" s="11">
        <v>17.057040000000001</v>
      </c>
      <c r="Q136" s="11">
        <f t="shared" ca="1" si="29"/>
        <v>37.042959999999994</v>
      </c>
      <c r="R136" s="11" t="str">
        <f t="shared" ca="1" si="30"/>
        <v>conical</v>
      </c>
      <c r="S136" s="13">
        <f t="shared" ca="1" si="31"/>
        <v>8.9000000000000021</v>
      </c>
      <c r="T136" s="13"/>
    </row>
    <row r="137" spans="1:20" x14ac:dyDescent="0.2">
      <c r="A137" s="11" t="s">
        <v>14</v>
      </c>
      <c r="B137" s="11" t="s">
        <v>15</v>
      </c>
      <c r="C137" s="11">
        <f>_xlfn.XLOOKUP($A137,'Conical section geometry'!$B$11:$B$17,'Conical section geometry'!$C$11:$C$17,"XXXX",0,1)</f>
        <v>-6.5</v>
      </c>
      <c r="D137" s="11">
        <f>_xlfn.XLOOKUP($A137,'Conical section geometry'!$B$11:$B$17,'Conical section geometry'!$D$11:$D$17,"XXXX",0,1)</f>
        <v>-17.928999999999998</v>
      </c>
      <c r="E137" s="11" cm="1">
        <f t="array" aca="1" ref="E137" ca="1">_xlfn.XLOOKUP($B137,    INDIRECT("'" &amp; $C$3 &amp; "'!$A$20:$A$219"),    _xlfn.XLOOKUP(E$18,INDIRECT("'" &amp; $C$3 &amp; "'!$B$18:$X$18"), INDIRECT("'" &amp; $C$3 &amp; "'!$B$20:$X$219"),"XXXXX",0,1),    "XX",    0,    1)</f>
        <v>8</v>
      </c>
      <c r="F137" s="11" cm="1">
        <f t="array" aca="1" ref="F137" ca="1">_xlfn.XLOOKUP($B137,    INDIRECT("'" &amp; $C$3 &amp; "'!$A$20:$A$219"),    _xlfn.XLOOKUP(F$18,INDIRECT("'" &amp; $C$3 &amp; "'!$B$18:$X$18"), INDIRECT("'" &amp; $C$3 &amp; "'!$B$20:$X$219"),"XXXXX",0,1),    "XX",    0,    1)</f>
        <v>10</v>
      </c>
      <c r="G137" s="11">
        <f>_xlfn.XLOOKUP($A137,'Conical section geometry'!$B$11:$B$17,'Conical section geometry'!$E$11:$E$17,"XXXX",0,1)</f>
        <v>-174.99340000000001</v>
      </c>
      <c r="H137" s="11" cm="1">
        <f t="array" aca="1" ref="H137" ca="1">_xlfn.XLOOKUP($B137,    INDIRECT("'" &amp; $C$3 &amp; "'!$A$20:$A$219"),    _xlfn.XLOOKUP(H$18,INDIRECT("'" &amp; $C$3 &amp; "'!$B$18:$X$18"), INDIRECT("'" &amp; $C$3 &amp; "'!$B$20:$X$219"),"XXXXX",0,1),    "XX",    0,    1)</f>
        <v>-33.5</v>
      </c>
      <c r="I137" s="11" cm="1">
        <f t="array" aca="1" ref="I137" ca="1">_xlfn.XLOOKUP($B137,    INDIRECT("'" &amp; $C$3 &amp; "'!$A$20:$A$219"),    _xlfn.XLOOKUP(I$18,INDIRECT("'" &amp; $C$3 &amp; "'!$B$18:$X$18"), INDIRECT("'" &amp; $C$3 &amp; "'!$B$20:$X$219"),"XXXXX",0,1),    "XX",    0,    1)</f>
        <v>87.6</v>
      </c>
      <c r="J137" s="11">
        <f t="shared" si="24"/>
        <v>31.9</v>
      </c>
      <c r="K137" s="11">
        <f t="shared" si="25"/>
        <v>11.428999999999998</v>
      </c>
      <c r="L137" s="11">
        <f t="shared" si="26"/>
        <v>43.328999999999994</v>
      </c>
      <c r="M137" s="11" cm="1">
        <f t="array" aca="1" ref="M137" ca="1">_xlfn.XLOOKUP($B137,    INDIRECT("'" &amp; $C$3 &amp; "'!$A$20:$A$219"),    _xlfn.XLOOKUP(M$18,INDIRECT("'" &amp; $C$3 &amp; "'!$B$18:$X$18"), INDIRECT("'" &amp; $C$3 &amp; "'!$B$20:$X$219"),"XXXXX",0,1),    "XX",    0,    1)</f>
        <v>28.7</v>
      </c>
      <c r="N137" s="11">
        <f t="shared" ca="1" si="27"/>
        <v>22.199999999999996</v>
      </c>
      <c r="O137" s="4">
        <f t="shared" ca="1" si="28"/>
        <v>10.771000000000001</v>
      </c>
      <c r="P137" s="11">
        <v>17.056948890643881</v>
      </c>
      <c r="Q137" s="11">
        <f t="shared" ca="1" si="29"/>
        <v>37.043051109356114</v>
      </c>
      <c r="R137" s="11" t="str">
        <f t="shared" ca="1" si="30"/>
        <v>conical</v>
      </c>
      <c r="S137" s="13">
        <f t="shared" ca="1" si="31"/>
        <v>8.8999999999999986</v>
      </c>
      <c r="T137" s="13"/>
    </row>
    <row r="138" spans="1:20" x14ac:dyDescent="0.2">
      <c r="A138" s="11" t="s">
        <v>3</v>
      </c>
      <c r="B138" s="11" t="s">
        <v>74</v>
      </c>
      <c r="C138" s="11">
        <f>_xlfn.XLOOKUP($A138,'Conical section geometry'!$B$11:$B$17,'Conical section geometry'!$C$11:$C$17,"XXXX",0,1)</f>
        <v>-6.5</v>
      </c>
      <c r="D138" s="11">
        <f>_xlfn.XLOOKUP($A138,'Conical section geometry'!$B$11:$B$17,'Conical section geometry'!$D$11:$D$17,"XXXX",0,1)</f>
        <v>-17.928999999999998</v>
      </c>
      <c r="E138" s="11" cm="1">
        <f t="array" aca="1" ref="E138" ca="1">_xlfn.XLOOKUP($B138,    INDIRECT("'" &amp; $C$3 &amp; "'!$A$20:$A$219"),    _xlfn.XLOOKUP(E$18,INDIRECT("'" &amp; $C$3 &amp; "'!$B$18:$X$18"), INDIRECT("'" &amp; $C$3 &amp; "'!$B$20:$X$219"),"XXXXX",0,1),    "XX",    0,    1)</f>
        <v>8</v>
      </c>
      <c r="F138" s="11" cm="1">
        <f t="array" aca="1" ref="F138" ca="1">_xlfn.XLOOKUP($B138,    INDIRECT("'" &amp; $C$3 &amp; "'!$A$20:$A$219"),    _xlfn.XLOOKUP(F$18,INDIRECT("'" &amp; $C$3 &amp; "'!$B$18:$X$18"), INDIRECT("'" &amp; $C$3 &amp; "'!$B$20:$X$219"),"XXXXX",0,1),    "XX",    0,    1)</f>
        <v>10</v>
      </c>
      <c r="G138" s="11">
        <f>_xlfn.XLOOKUP($A138,'Conical section geometry'!$B$11:$B$17,'Conical section geometry'!$E$11:$E$17,"XXXX",0,1)</f>
        <v>-174.99340000000001</v>
      </c>
      <c r="H138" s="11" cm="1">
        <f t="array" aca="1" ref="H138" ca="1">_xlfn.XLOOKUP($B138,    INDIRECT("'" &amp; $C$3 &amp; "'!$A$20:$A$219"),    _xlfn.XLOOKUP(H$18,INDIRECT("'" &amp; $C$3 &amp; "'!$B$18:$X$18"), INDIRECT("'" &amp; $C$3 &amp; "'!$B$20:$X$219"),"XXXXX",0,1),    "XX",    0,    1)</f>
        <v>-35.4</v>
      </c>
      <c r="I138" s="11" cm="1">
        <f t="array" aca="1" ref="I138" ca="1">_xlfn.XLOOKUP($B138,    INDIRECT("'" &amp; $C$3 &amp; "'!$A$20:$A$219"),    _xlfn.XLOOKUP(I$18,INDIRECT("'" &amp; $C$3 &amp; "'!$B$18:$X$18"), INDIRECT("'" &amp; $C$3 &amp; "'!$B$20:$X$219"),"XXXXX",0,1),    "XX",    0,    1)</f>
        <v>89.4</v>
      </c>
      <c r="J138" s="11">
        <f t="shared" si="24"/>
        <v>31.9</v>
      </c>
      <c r="K138" s="11">
        <f t="shared" si="25"/>
        <v>11.428999999999998</v>
      </c>
      <c r="L138" s="11">
        <f t="shared" si="26"/>
        <v>43.328999999999994</v>
      </c>
      <c r="M138" s="11" cm="1">
        <f t="array" aca="1" ref="M138" ca="1">_xlfn.XLOOKUP($B138,    INDIRECT("'" &amp; $C$3 &amp; "'!$A$20:$A$219"),    _xlfn.XLOOKUP(M$18,INDIRECT("'" &amp; $C$3 &amp; "'!$B$18:$X$18"), INDIRECT("'" &amp; $C$3 &amp; "'!$B$20:$X$219"),"XXXXX",0,1),    "XX",    0,    1)</f>
        <v>28.6</v>
      </c>
      <c r="N138" s="11">
        <f t="shared" ca="1" si="27"/>
        <v>22.100000000000009</v>
      </c>
      <c r="O138" s="4">
        <f t="shared" ca="1" si="28"/>
        <v>10.671000000000014</v>
      </c>
      <c r="P138" s="11">
        <v>16.956948890643883</v>
      </c>
      <c r="Q138" s="11">
        <f t="shared" ca="1" si="29"/>
        <v>37.043051109356128</v>
      </c>
      <c r="R138" s="11" t="str">
        <f t="shared" ca="1" si="30"/>
        <v>conical</v>
      </c>
      <c r="S138" s="13">
        <f t="shared" ca="1" si="31"/>
        <v>8.9</v>
      </c>
      <c r="T138" s="13"/>
    </row>
    <row r="139" spans="1:20" x14ac:dyDescent="0.2">
      <c r="A139" s="11" t="s">
        <v>3</v>
      </c>
      <c r="B139" s="11" t="s">
        <v>43</v>
      </c>
      <c r="C139" s="11">
        <f>_xlfn.XLOOKUP($A139,'Conical section geometry'!$B$11:$B$17,'Conical section geometry'!$C$11:$C$17,"XXXX",0,1)</f>
        <v>-6.5</v>
      </c>
      <c r="D139" s="11">
        <f>_xlfn.XLOOKUP($A139,'Conical section geometry'!$B$11:$B$17,'Conical section geometry'!$D$11:$D$17,"XXXX",0,1)</f>
        <v>-17.928999999999998</v>
      </c>
      <c r="E139" s="11" cm="1">
        <f t="array" aca="1" ref="E139" ca="1">_xlfn.XLOOKUP($B139,    INDIRECT("'" &amp; $C$3 &amp; "'!$A$20:$A$219"),    _xlfn.XLOOKUP(E$18,INDIRECT("'" &amp; $C$3 &amp; "'!$B$18:$X$18"), INDIRECT("'" &amp; $C$3 &amp; "'!$B$20:$X$219"),"XXXXX",0,1),    "XX",    0,    1)</f>
        <v>8</v>
      </c>
      <c r="F139" s="11" cm="1">
        <f t="array" aca="1" ref="F139" ca="1">_xlfn.XLOOKUP($B139,    INDIRECT("'" &amp; $C$3 &amp; "'!$A$20:$A$219"),    _xlfn.XLOOKUP(F$18,INDIRECT("'" &amp; $C$3 &amp; "'!$B$18:$X$18"), INDIRECT("'" &amp; $C$3 &amp; "'!$B$20:$X$219"),"XXXXX",0,1),    "XX",    0,    1)</f>
        <v>10</v>
      </c>
      <c r="G139" s="11">
        <f>_xlfn.XLOOKUP($A139,'Conical section geometry'!$B$11:$B$17,'Conical section geometry'!$E$11:$E$17,"XXXX",0,1)</f>
        <v>-174.99340000000001</v>
      </c>
      <c r="H139" s="11" cm="1">
        <f t="array" aca="1" ref="H139" ca="1">_xlfn.XLOOKUP($B139,    INDIRECT("'" &amp; $C$3 &amp; "'!$A$20:$A$219"),    _xlfn.XLOOKUP(H$18,INDIRECT("'" &amp; $C$3 &amp; "'!$B$18:$X$18"), INDIRECT("'" &amp; $C$3 &amp; "'!$B$20:$X$219"),"XXXXX",0,1),    "XX",    0,    1)</f>
        <v>-36.1</v>
      </c>
      <c r="I139" s="11" cm="1">
        <f t="array" aca="1" ref="I139" ca="1">_xlfn.XLOOKUP($B139,    INDIRECT("'" &amp; $C$3 &amp; "'!$A$20:$A$219"),    _xlfn.XLOOKUP(I$18,INDIRECT("'" &amp; $C$3 &amp; "'!$B$18:$X$18"), INDIRECT("'" &amp; $C$3 &amp; "'!$B$20:$X$219"),"XXXXX",0,1),    "XX",    0,    1)</f>
        <v>90.1</v>
      </c>
      <c r="J139" s="11">
        <f t="shared" si="24"/>
        <v>31.9</v>
      </c>
      <c r="K139" s="11">
        <f t="shared" si="25"/>
        <v>11.428999999999998</v>
      </c>
      <c r="L139" s="11">
        <f t="shared" si="26"/>
        <v>43.328999999999994</v>
      </c>
      <c r="M139" s="11" cm="1">
        <f t="array" aca="1" ref="M139" ca="1">_xlfn.XLOOKUP($B139,    INDIRECT("'" &amp; $C$3 &amp; "'!$A$20:$A$219"),    _xlfn.XLOOKUP(M$18,INDIRECT("'" &amp; $C$3 &amp; "'!$B$18:$X$18"), INDIRECT("'" &amp; $C$3 &amp; "'!$B$20:$X$219"),"XXXXX",0,1),    "XX",    0,    1)</f>
        <v>28.6</v>
      </c>
      <c r="N139" s="11">
        <f t="shared" ca="1" si="27"/>
        <v>22.099999999999994</v>
      </c>
      <c r="O139" s="4">
        <f t="shared" ca="1" si="28"/>
        <v>10.670999999999999</v>
      </c>
      <c r="P139" s="11">
        <v>16.95694889064389</v>
      </c>
      <c r="Q139" s="11">
        <f t="shared" ca="1" si="29"/>
        <v>37.043051109356099</v>
      </c>
      <c r="R139" s="11" t="str">
        <f t="shared" ca="1" si="30"/>
        <v>conical</v>
      </c>
      <c r="S139" s="13">
        <f t="shared" ca="1" si="31"/>
        <v>8.899999999999995</v>
      </c>
      <c r="T139" s="13"/>
    </row>
    <row r="140" spans="1:20" x14ac:dyDescent="0.2">
      <c r="A140" s="11" t="s">
        <v>3</v>
      </c>
      <c r="B140" s="11" t="s">
        <v>53</v>
      </c>
      <c r="C140" s="11">
        <f>_xlfn.XLOOKUP($A140,'Conical section geometry'!$B$11:$B$17,'Conical section geometry'!$C$11:$C$17,"XXXX",0,1)</f>
        <v>-6.5</v>
      </c>
      <c r="D140" s="11">
        <f>_xlfn.XLOOKUP($A140,'Conical section geometry'!$B$11:$B$17,'Conical section geometry'!$D$11:$D$17,"XXXX",0,1)</f>
        <v>-17.928999999999998</v>
      </c>
      <c r="E140" s="11" cm="1">
        <f t="array" aca="1" ref="E140" ca="1">_xlfn.XLOOKUP($B140,    INDIRECT("'" &amp; $C$3 &amp; "'!$A$20:$A$219"),    _xlfn.XLOOKUP(E$18,INDIRECT("'" &amp; $C$3 &amp; "'!$B$18:$X$18"), INDIRECT("'" &amp; $C$3 &amp; "'!$B$20:$X$219"),"XXXXX",0,1),    "XX",    0,    1)</f>
        <v>8</v>
      </c>
      <c r="F140" s="11" cm="1">
        <f t="array" aca="1" ref="F140" ca="1">_xlfn.XLOOKUP($B140,    INDIRECT("'" &amp; $C$3 &amp; "'!$A$20:$A$219"),    _xlfn.XLOOKUP(F$18,INDIRECT("'" &amp; $C$3 &amp; "'!$B$18:$X$18"), INDIRECT("'" &amp; $C$3 &amp; "'!$B$20:$X$219"),"XXXXX",0,1),    "XX",    0,    1)</f>
        <v>10</v>
      </c>
      <c r="G140" s="11">
        <f>_xlfn.XLOOKUP($A140,'Conical section geometry'!$B$11:$B$17,'Conical section geometry'!$E$11:$E$17,"XXXX",0,1)</f>
        <v>-174.99340000000001</v>
      </c>
      <c r="H140" s="11" cm="1">
        <f t="array" aca="1" ref="H140" ca="1">_xlfn.XLOOKUP($B140,    INDIRECT("'" &amp; $C$3 &amp; "'!$A$20:$A$219"),    _xlfn.XLOOKUP(H$18,INDIRECT("'" &amp; $C$3 &amp; "'!$B$18:$X$18"), INDIRECT("'" &amp; $C$3 &amp; "'!$B$20:$X$219"),"XXXXX",0,1),    "XX",    0,    1)</f>
        <v>-36.200000000000003</v>
      </c>
      <c r="I140" s="11" cm="1">
        <f t="array" aca="1" ref="I140" ca="1">_xlfn.XLOOKUP($B140,    INDIRECT("'" &amp; $C$3 &amp; "'!$A$20:$A$219"),    _xlfn.XLOOKUP(I$18,INDIRECT("'" &amp; $C$3 &amp; "'!$B$18:$X$18"), INDIRECT("'" &amp; $C$3 &amp; "'!$B$20:$X$219"),"XXXXX",0,1),    "XX",    0,    1)</f>
        <v>90.2</v>
      </c>
      <c r="J140" s="11">
        <f t="shared" si="24"/>
        <v>31.9</v>
      </c>
      <c r="K140" s="11">
        <f t="shared" si="25"/>
        <v>11.428999999999998</v>
      </c>
      <c r="L140" s="11">
        <f t="shared" si="26"/>
        <v>43.328999999999994</v>
      </c>
      <c r="M140" s="11" cm="1">
        <f t="array" aca="1" ref="M140" ca="1">_xlfn.XLOOKUP($B140,    INDIRECT("'" &amp; $C$3 &amp; "'!$A$20:$A$219"),    _xlfn.XLOOKUP(M$18,INDIRECT("'" &amp; $C$3 &amp; "'!$B$18:$X$18"), INDIRECT("'" &amp; $C$3 &amp; "'!$B$20:$X$219"),"XXXXX",0,1),    "XX",    0,    1)</f>
        <v>28.6</v>
      </c>
      <c r="N140" s="11">
        <f t="shared" ca="1" si="27"/>
        <v>22.1</v>
      </c>
      <c r="O140" s="4">
        <f t="shared" ca="1" si="28"/>
        <v>10.671000000000006</v>
      </c>
      <c r="P140" s="11">
        <v>16.956948890643876</v>
      </c>
      <c r="Q140" s="11">
        <f t="shared" ca="1" si="29"/>
        <v>37.043051109356128</v>
      </c>
      <c r="R140" s="11" t="str">
        <f t="shared" ca="1" si="30"/>
        <v>conical</v>
      </c>
      <c r="S140" s="13">
        <f t="shared" ca="1" si="31"/>
        <v>8.9</v>
      </c>
      <c r="T140" s="13"/>
    </row>
    <row r="141" spans="1:20" x14ac:dyDescent="0.2">
      <c r="A141" s="11" t="s">
        <v>3</v>
      </c>
      <c r="B141" s="11" t="s">
        <v>127</v>
      </c>
      <c r="C141" s="11">
        <f>_xlfn.XLOOKUP($A141,'Conical section geometry'!$B$11:$B$17,'Conical section geometry'!$C$11:$C$17,"XXXX",0,1)</f>
        <v>-6.5</v>
      </c>
      <c r="D141" s="11">
        <f>_xlfn.XLOOKUP($A141,'Conical section geometry'!$B$11:$B$17,'Conical section geometry'!$D$11:$D$17,"XXXX",0,1)</f>
        <v>-17.928999999999998</v>
      </c>
      <c r="E141" s="11" cm="1">
        <f t="array" aca="1" ref="E141" ca="1">_xlfn.XLOOKUP($B141,    INDIRECT("'" &amp; $C$3 &amp; "'!$A$20:$A$219"),    _xlfn.XLOOKUP(E$18,INDIRECT("'" &amp; $C$3 &amp; "'!$B$18:$X$18"), INDIRECT("'" &amp; $C$3 &amp; "'!$B$20:$X$219"),"XXXXX",0,1),    "XX",    0,    1)</f>
        <v>8</v>
      </c>
      <c r="F141" s="11" cm="1">
        <f t="array" aca="1" ref="F141" ca="1">_xlfn.XLOOKUP($B141,    INDIRECT("'" &amp; $C$3 &amp; "'!$A$20:$A$219"),    _xlfn.XLOOKUP(F$18,INDIRECT("'" &amp; $C$3 &amp; "'!$B$18:$X$18"), INDIRECT("'" &amp; $C$3 &amp; "'!$B$20:$X$219"),"XXXXX",0,1),    "XX",    0,    1)</f>
        <v>10</v>
      </c>
      <c r="G141" s="11">
        <f>_xlfn.XLOOKUP($A141,'Conical section geometry'!$B$11:$B$17,'Conical section geometry'!$E$11:$E$17,"XXXX",0,1)</f>
        <v>-174.99340000000001</v>
      </c>
      <c r="H141" s="11" cm="1">
        <f t="array" aca="1" ref="H141" ca="1">_xlfn.XLOOKUP($B141,    INDIRECT("'" &amp; $C$3 &amp; "'!$A$20:$A$219"),    _xlfn.XLOOKUP(H$18,INDIRECT("'" &amp; $C$3 &amp; "'!$B$18:$X$18"), INDIRECT("'" &amp; $C$3 &amp; "'!$B$20:$X$219"),"XXXXX",0,1),    "XX",    0,    1)</f>
        <v>-32.299999999999997</v>
      </c>
      <c r="I141" s="11" cm="1">
        <f t="array" aca="1" ref="I141" ca="1">_xlfn.XLOOKUP($B141,    INDIRECT("'" &amp; $C$3 &amp; "'!$A$20:$A$219"),    _xlfn.XLOOKUP(I$18,INDIRECT("'" &amp; $C$3 &amp; "'!$B$18:$X$18"), INDIRECT("'" &amp; $C$3 &amp; "'!$B$20:$X$219"),"XXXXX",0,1),    "XX",    0,    1)</f>
        <v>86.3</v>
      </c>
      <c r="J141" s="11">
        <f t="shared" si="24"/>
        <v>31.9</v>
      </c>
      <c r="K141" s="11">
        <f t="shared" si="25"/>
        <v>11.428999999999998</v>
      </c>
      <c r="L141" s="11">
        <f t="shared" si="26"/>
        <v>43.328999999999994</v>
      </c>
      <c r="M141" s="11" cm="1">
        <f t="array" aca="1" ref="M141" ca="1">_xlfn.XLOOKUP($B141,    INDIRECT("'" &amp; $C$3 &amp; "'!$A$20:$A$219"),    _xlfn.XLOOKUP(M$18,INDIRECT("'" &amp; $C$3 &amp; "'!$B$18:$X$18"), INDIRECT("'" &amp; $C$3 &amp; "'!$B$20:$X$219"),"XXXXX",0,1),    "XX",    0,    1)</f>
        <v>28.6</v>
      </c>
      <c r="N141" s="11">
        <f t="shared" ca="1" si="27"/>
        <v>22.1</v>
      </c>
      <c r="O141" s="4">
        <f t="shared" ca="1" si="28"/>
        <v>10.671000000000006</v>
      </c>
      <c r="P141" s="11">
        <v>16.956948890643876</v>
      </c>
      <c r="Q141" s="11">
        <f t="shared" ca="1" si="29"/>
        <v>37.043051109356128</v>
      </c>
      <c r="R141" s="11" t="str">
        <f t="shared" ca="1" si="30"/>
        <v>conical</v>
      </c>
      <c r="S141" s="13">
        <f t="shared" ca="1" si="31"/>
        <v>8.9</v>
      </c>
      <c r="T141" s="13"/>
    </row>
    <row r="142" spans="1:20" x14ac:dyDescent="0.2">
      <c r="A142" s="11" t="s">
        <v>4</v>
      </c>
      <c r="B142" s="11" t="s">
        <v>180</v>
      </c>
      <c r="C142" s="11">
        <f>_xlfn.XLOOKUP($A142,'Conical section geometry'!$B$11:$B$17,'Conical section geometry'!$C$11:$C$17,"XXXX",0,1)</f>
        <v>-6.5</v>
      </c>
      <c r="D142" s="11">
        <f>_xlfn.XLOOKUP($A142,'Conical section geometry'!$B$11:$B$17,'Conical section geometry'!$D$11:$D$17,"XXXX",0,1)</f>
        <v>-20.786000000000001</v>
      </c>
      <c r="E142" s="11" cm="1">
        <f t="array" aca="1" ref="E142" ca="1">_xlfn.XLOOKUP($B142,    INDIRECT("'" &amp; $C$3 &amp; "'!$A$20:$A$219"),    _xlfn.XLOOKUP(E$18,INDIRECT("'" &amp; $C$3 &amp; "'!$B$18:$X$18"), INDIRECT("'" &amp; $C$3 &amp; "'!$B$20:$X$219"),"XXXXX",0,1),    "XX",    0,    1)</f>
        <v>8</v>
      </c>
      <c r="F142" s="11" cm="1">
        <f t="array" aca="1" ref="F142" ca="1">_xlfn.XLOOKUP($B142,    INDIRECT("'" &amp; $C$3 &amp; "'!$A$20:$A$219"),    _xlfn.XLOOKUP(F$18,INDIRECT("'" &amp; $C$3 &amp; "'!$B$18:$X$18"), INDIRECT("'" &amp; $C$3 &amp; "'!$B$20:$X$219"),"XXXXX",0,1),    "XX",    0,    1)</f>
        <v>10.5</v>
      </c>
      <c r="G142" s="11">
        <f>_xlfn.XLOOKUP($A142,'Conical section geometry'!$B$11:$B$17,'Conical section geometry'!$E$11:$E$17,"XXXX",0,1)</f>
        <v>-174.996500069999</v>
      </c>
      <c r="H142" s="11" cm="1">
        <f t="array" aca="1" ref="H142" ca="1">_xlfn.XLOOKUP($B142,    INDIRECT("'" &amp; $C$3 &amp; "'!$A$20:$A$219"),    _xlfn.XLOOKUP(H$18,INDIRECT("'" &amp; $C$3 &amp; "'!$B$18:$X$18"), INDIRECT("'" &amp; $C$3 &amp; "'!$B$20:$X$219"),"XXXXX",0,1),    "XX",    0,    1)</f>
        <v>-39.6</v>
      </c>
      <c r="I142" s="11" cm="1">
        <f t="array" aca="1" ref="I142" ca="1">_xlfn.XLOOKUP($B142,    INDIRECT("'" &amp; $C$3 &amp; "'!$A$20:$A$219"),    _xlfn.XLOOKUP(I$18,INDIRECT("'" &amp; $C$3 &amp; "'!$B$18:$X$18"), INDIRECT("'" &amp; $C$3 &amp; "'!$B$20:$X$219"),"XXXXX",0,1),    "XX",    0,    1)</f>
        <v>93.5</v>
      </c>
      <c r="J142" s="11">
        <f t="shared" si="24"/>
        <v>31.9</v>
      </c>
      <c r="K142" s="11">
        <f t="shared" si="25"/>
        <v>14.286000000000001</v>
      </c>
      <c r="L142" s="11">
        <f t="shared" si="26"/>
        <v>46.186</v>
      </c>
      <c r="M142" s="11" cm="1">
        <f t="array" aca="1" ref="M142" ca="1">_xlfn.XLOOKUP($B142,    INDIRECT("'" &amp; $C$3 &amp; "'!$A$20:$A$219"),    _xlfn.XLOOKUP(M$18,INDIRECT("'" &amp; $C$3 &amp; "'!$B$18:$X$18"), INDIRECT("'" &amp; $C$3 &amp; "'!$B$20:$X$219"),"XXXXX",0,1),    "XX",    0,    1)</f>
        <v>28.5</v>
      </c>
      <c r="N142" s="11">
        <f t="shared" ca="1" si="27"/>
        <v>22</v>
      </c>
      <c r="O142" s="4">
        <f t="shared" ca="1" si="28"/>
        <v>7.7139999999999986</v>
      </c>
      <c r="P142" s="11">
        <v>16.857040000000008</v>
      </c>
      <c r="Q142" s="11">
        <f t="shared" ca="1" si="29"/>
        <v>37.042959999999994</v>
      </c>
      <c r="R142" s="11" t="str">
        <f t="shared" ca="1" si="30"/>
        <v>conical</v>
      </c>
      <c r="S142" s="13">
        <f t="shared" ca="1" si="31"/>
        <v>8.9000000000000021</v>
      </c>
      <c r="T142" s="13"/>
    </row>
    <row r="143" spans="1:20" x14ac:dyDescent="0.2">
      <c r="A143" s="11" t="s">
        <v>3</v>
      </c>
      <c r="B143" s="11" t="s">
        <v>126</v>
      </c>
      <c r="C143" s="11">
        <f>_xlfn.XLOOKUP($A143,'Conical section geometry'!$B$11:$B$17,'Conical section geometry'!$C$11:$C$17,"XXXX",0,1)</f>
        <v>-6.5</v>
      </c>
      <c r="D143" s="11">
        <f>_xlfn.XLOOKUP($A143,'Conical section geometry'!$B$11:$B$17,'Conical section geometry'!$D$11:$D$17,"XXXX",0,1)</f>
        <v>-17.928999999999998</v>
      </c>
      <c r="E143" s="11" cm="1">
        <f t="array" aca="1" ref="E143" ca="1">_xlfn.XLOOKUP($B143,    INDIRECT("'" &amp; $C$3 &amp; "'!$A$20:$A$219"),    _xlfn.XLOOKUP(E$18,INDIRECT("'" &amp; $C$3 &amp; "'!$B$18:$X$18"), INDIRECT("'" &amp; $C$3 &amp; "'!$B$20:$X$219"),"XXXXX",0,1),    "XX",    0,    1)</f>
        <v>8</v>
      </c>
      <c r="F143" s="11" cm="1">
        <f t="array" aca="1" ref="F143" ca="1">_xlfn.XLOOKUP($B143,    INDIRECT("'" &amp; $C$3 &amp; "'!$A$20:$A$219"),    _xlfn.XLOOKUP(F$18,INDIRECT("'" &amp; $C$3 &amp; "'!$B$18:$X$18"), INDIRECT("'" &amp; $C$3 &amp; "'!$B$20:$X$219"),"XXXXX",0,1),    "XX",    0,    1)</f>
        <v>10</v>
      </c>
      <c r="G143" s="11">
        <f>_xlfn.XLOOKUP($A143,'Conical section geometry'!$B$11:$B$17,'Conical section geometry'!$E$11:$E$17,"XXXX",0,1)</f>
        <v>-174.99340000000001</v>
      </c>
      <c r="H143" s="11" cm="1">
        <f t="array" aca="1" ref="H143" ca="1">_xlfn.XLOOKUP($B143,    INDIRECT("'" &amp; $C$3 &amp; "'!$A$20:$A$219"),    _xlfn.XLOOKUP(H$18,INDIRECT("'" &amp; $C$3 &amp; "'!$B$18:$X$18"), INDIRECT("'" &amp; $C$3 &amp; "'!$B$20:$X$219"),"XXXXX",0,1),    "XX",    0,    1)</f>
        <v>-32.5</v>
      </c>
      <c r="I143" s="11" cm="1">
        <f t="array" aca="1" ref="I143" ca="1">_xlfn.XLOOKUP($B143,    INDIRECT("'" &amp; $C$3 &amp; "'!$A$20:$A$219"),    _xlfn.XLOOKUP(I$18,INDIRECT("'" &amp; $C$3 &amp; "'!$B$18:$X$18"), INDIRECT("'" &amp; $C$3 &amp; "'!$B$20:$X$219"),"XXXXX",0,1),    "XX",    0,    1)</f>
        <v>86.4</v>
      </c>
      <c r="J143" s="11">
        <f t="shared" si="24"/>
        <v>31.9</v>
      </c>
      <c r="K143" s="11">
        <f t="shared" si="25"/>
        <v>11.428999999999998</v>
      </c>
      <c r="L143" s="11">
        <f t="shared" si="26"/>
        <v>43.328999999999994</v>
      </c>
      <c r="M143" s="11" cm="1">
        <f t="array" aca="1" ref="M143" ca="1">_xlfn.XLOOKUP($B143,    INDIRECT("'" &amp; $C$3 &amp; "'!$A$20:$A$219"),    _xlfn.XLOOKUP(M$18,INDIRECT("'" &amp; $C$3 &amp; "'!$B$18:$X$18"), INDIRECT("'" &amp; $C$3 &amp; "'!$B$20:$X$219"),"XXXXX",0,1),    "XX",    0,    1)</f>
        <v>28.5</v>
      </c>
      <c r="N143" s="11">
        <f t="shared" ca="1" si="27"/>
        <v>22.000000000000007</v>
      </c>
      <c r="O143" s="4">
        <f t="shared" ca="1" si="28"/>
        <v>10.571000000000012</v>
      </c>
      <c r="P143" s="11">
        <v>16.856948890643885</v>
      </c>
      <c r="Q143" s="11">
        <f t="shared" ca="1" si="29"/>
        <v>37.043051109356121</v>
      </c>
      <c r="R143" s="11" t="str">
        <f t="shared" ca="1" si="30"/>
        <v>conical</v>
      </c>
      <c r="S143" s="13">
        <f t="shared" ca="1" si="31"/>
        <v>8.9</v>
      </c>
      <c r="T143" s="13"/>
    </row>
    <row r="144" spans="1:20" x14ac:dyDescent="0.2">
      <c r="A144" s="11" t="s">
        <v>3</v>
      </c>
      <c r="B144" s="11" t="s">
        <v>46</v>
      </c>
      <c r="C144" s="11">
        <f>_xlfn.XLOOKUP($A144,'Conical section geometry'!$B$11:$B$17,'Conical section geometry'!$C$11:$C$17,"XXXX",0,1)</f>
        <v>-6.5</v>
      </c>
      <c r="D144" s="11">
        <f>_xlfn.XLOOKUP($A144,'Conical section geometry'!$B$11:$B$17,'Conical section geometry'!$D$11:$D$17,"XXXX",0,1)</f>
        <v>-17.928999999999998</v>
      </c>
      <c r="E144" s="11" cm="1">
        <f t="array" aca="1" ref="E144" ca="1">_xlfn.XLOOKUP($B144,    INDIRECT("'" &amp; $C$3 &amp; "'!$A$20:$A$219"),    _xlfn.XLOOKUP(E$18,INDIRECT("'" &amp; $C$3 &amp; "'!$B$18:$X$18"), INDIRECT("'" &amp; $C$3 &amp; "'!$B$20:$X$219"),"XXXXX",0,1),    "XX",    0,    1)</f>
        <v>8</v>
      </c>
      <c r="F144" s="11" cm="1">
        <f t="array" aca="1" ref="F144" ca="1">_xlfn.XLOOKUP($B144,    INDIRECT("'" &amp; $C$3 &amp; "'!$A$20:$A$219"),    _xlfn.XLOOKUP(F$18,INDIRECT("'" &amp; $C$3 &amp; "'!$B$18:$X$18"), INDIRECT("'" &amp; $C$3 &amp; "'!$B$20:$X$219"),"XXXXX",0,1),    "XX",    0,    1)</f>
        <v>10</v>
      </c>
      <c r="G144" s="11">
        <f>_xlfn.XLOOKUP($A144,'Conical section geometry'!$B$11:$B$17,'Conical section geometry'!$E$11:$E$17,"XXXX",0,1)</f>
        <v>-174.99340000000001</v>
      </c>
      <c r="H144" s="11" cm="1">
        <f t="array" aca="1" ref="H144" ca="1">_xlfn.XLOOKUP($B144,    INDIRECT("'" &amp; $C$3 &amp; "'!$A$20:$A$219"),    _xlfn.XLOOKUP(H$18,INDIRECT("'" &amp; $C$3 &amp; "'!$B$18:$X$18"), INDIRECT("'" &amp; $C$3 &amp; "'!$B$20:$X$219"),"XXXXX",0,1),    "XX",    0,    1)</f>
        <v>-36.799999999999997</v>
      </c>
      <c r="I144" s="11" cm="1">
        <f t="array" aca="1" ref="I144" ca="1">_xlfn.XLOOKUP($B144,    INDIRECT("'" &amp; $C$3 &amp; "'!$A$20:$A$219"),    _xlfn.XLOOKUP(I$18,INDIRECT("'" &amp; $C$3 &amp; "'!$B$18:$X$18"), INDIRECT("'" &amp; $C$3 &amp; "'!$B$20:$X$219"),"XXXXX",0,1),    "XX",    0,    1)</f>
        <v>90.7</v>
      </c>
      <c r="J144" s="11">
        <f t="shared" si="24"/>
        <v>31.9</v>
      </c>
      <c r="K144" s="11">
        <f t="shared" si="25"/>
        <v>11.428999999999998</v>
      </c>
      <c r="L144" s="11">
        <f t="shared" si="26"/>
        <v>43.328999999999994</v>
      </c>
      <c r="M144" s="11" cm="1">
        <f t="array" aca="1" ref="M144" ca="1">_xlfn.XLOOKUP($B144,    INDIRECT("'" &amp; $C$3 &amp; "'!$A$20:$A$219"),    _xlfn.XLOOKUP(M$18,INDIRECT("'" &amp; $C$3 &amp; "'!$B$18:$X$18"), INDIRECT("'" &amp; $C$3 &amp; "'!$B$20:$X$219"),"XXXXX",0,1),    "XX",    0,    1)</f>
        <v>28.5</v>
      </c>
      <c r="N144" s="11">
        <f t="shared" ca="1" si="27"/>
        <v>22.000000000000007</v>
      </c>
      <c r="O144" s="4">
        <f t="shared" ca="1" si="28"/>
        <v>10.571000000000012</v>
      </c>
      <c r="P144" s="11">
        <v>16.856948890643874</v>
      </c>
      <c r="Q144" s="11">
        <f t="shared" ca="1" si="29"/>
        <v>37.043051109356128</v>
      </c>
      <c r="R144" s="11" t="str">
        <f t="shared" ca="1" si="30"/>
        <v>conical</v>
      </c>
      <c r="S144" s="13">
        <f t="shared" ca="1" si="31"/>
        <v>8.9</v>
      </c>
      <c r="T144" s="13"/>
    </row>
    <row r="145" spans="1:20" x14ac:dyDescent="0.2">
      <c r="A145" s="11" t="s">
        <v>3</v>
      </c>
      <c r="B145" s="11" t="s">
        <v>153</v>
      </c>
      <c r="C145" s="11">
        <f>_xlfn.XLOOKUP($A145,'Conical section geometry'!$B$11:$B$17,'Conical section geometry'!$C$11:$C$17,"XXXX",0,1)</f>
        <v>-6.5</v>
      </c>
      <c r="D145" s="11">
        <f>_xlfn.XLOOKUP($A145,'Conical section geometry'!$B$11:$B$17,'Conical section geometry'!$D$11:$D$17,"XXXX",0,1)</f>
        <v>-17.928999999999998</v>
      </c>
      <c r="E145" s="11" cm="1">
        <f t="array" aca="1" ref="E145" ca="1">_xlfn.XLOOKUP($B145,    INDIRECT("'" &amp; $C$3 &amp; "'!$A$20:$A$219"),    _xlfn.XLOOKUP(E$18,INDIRECT("'" &amp; $C$3 &amp; "'!$B$18:$X$18"), INDIRECT("'" &amp; $C$3 &amp; "'!$B$20:$X$219"),"XXXXX",0,1),    "XX",    0,    1)</f>
        <v>8</v>
      </c>
      <c r="F145" s="11" cm="1">
        <f t="array" aca="1" ref="F145" ca="1">_xlfn.XLOOKUP($B145,    INDIRECT("'" &amp; $C$3 &amp; "'!$A$20:$A$219"),    _xlfn.XLOOKUP(F$18,INDIRECT("'" &amp; $C$3 &amp; "'!$B$18:$X$18"), INDIRECT("'" &amp; $C$3 &amp; "'!$B$20:$X$219"),"XXXXX",0,1),    "XX",    0,    1)</f>
        <v>10</v>
      </c>
      <c r="G145" s="11">
        <f>_xlfn.XLOOKUP($A145,'Conical section geometry'!$B$11:$B$17,'Conical section geometry'!$E$11:$E$17,"XXXX",0,1)</f>
        <v>-174.99340000000001</v>
      </c>
      <c r="H145" s="11" cm="1">
        <f t="array" aca="1" ref="H145" ca="1">_xlfn.XLOOKUP($B145,    INDIRECT("'" &amp; $C$3 &amp; "'!$A$20:$A$219"),    _xlfn.XLOOKUP(H$18,INDIRECT("'" &amp; $C$3 &amp; "'!$B$18:$X$18"), INDIRECT("'" &amp; $C$3 &amp; "'!$B$20:$X$219"),"XXXXX",0,1),    "XX",    0,    1)</f>
        <v>-31</v>
      </c>
      <c r="I145" s="11" cm="1">
        <f t="array" aca="1" ref="I145" ca="1">_xlfn.XLOOKUP($B145,    INDIRECT("'" &amp; $C$3 &amp; "'!$A$20:$A$219"),    _xlfn.XLOOKUP(I$18,INDIRECT("'" &amp; $C$3 &amp; "'!$B$18:$X$18"), INDIRECT("'" &amp; $C$3 &amp; "'!$B$20:$X$219"),"XXXXX",0,1),    "XX",    0,    1)</f>
        <v>84.9</v>
      </c>
      <c r="J145" s="11">
        <f t="shared" si="24"/>
        <v>31.9</v>
      </c>
      <c r="K145" s="11">
        <f t="shared" si="25"/>
        <v>11.428999999999998</v>
      </c>
      <c r="L145" s="11">
        <f t="shared" si="26"/>
        <v>43.328999999999994</v>
      </c>
      <c r="M145" s="11" cm="1">
        <f t="array" aca="1" ref="M145" ca="1">_xlfn.XLOOKUP($B145,    INDIRECT("'" &amp; $C$3 &amp; "'!$A$20:$A$219"),    _xlfn.XLOOKUP(M$18,INDIRECT("'" &amp; $C$3 &amp; "'!$B$18:$X$18"), INDIRECT("'" &amp; $C$3 &amp; "'!$B$20:$X$219"),"XXXXX",0,1),    "XX",    0,    1)</f>
        <v>28.5</v>
      </c>
      <c r="N145" s="11">
        <f t="shared" ca="1" si="27"/>
        <v>22.000000000000007</v>
      </c>
      <c r="O145" s="4">
        <f t="shared" ca="1" si="28"/>
        <v>10.571000000000012</v>
      </c>
      <c r="P145" s="11">
        <v>16.856948890643881</v>
      </c>
      <c r="Q145" s="11">
        <f t="shared" ca="1" si="29"/>
        <v>37.043051109356128</v>
      </c>
      <c r="R145" s="11" t="str">
        <f t="shared" ca="1" si="30"/>
        <v>conical</v>
      </c>
      <c r="S145" s="13">
        <f t="shared" ca="1" si="31"/>
        <v>8.9</v>
      </c>
      <c r="T145" s="13"/>
    </row>
    <row r="146" spans="1:20" x14ac:dyDescent="0.2">
      <c r="A146" s="11" t="s">
        <v>3</v>
      </c>
      <c r="B146" s="11" t="s">
        <v>146</v>
      </c>
      <c r="C146" s="11">
        <f>_xlfn.XLOOKUP($A146,'Conical section geometry'!$B$11:$B$17,'Conical section geometry'!$C$11:$C$17,"XXXX",0,1)</f>
        <v>-6.5</v>
      </c>
      <c r="D146" s="11">
        <f>_xlfn.XLOOKUP($A146,'Conical section geometry'!$B$11:$B$17,'Conical section geometry'!$D$11:$D$17,"XXXX",0,1)</f>
        <v>-17.928999999999998</v>
      </c>
      <c r="E146" s="11" cm="1">
        <f t="array" aca="1" ref="E146" ca="1">_xlfn.XLOOKUP($B146,    INDIRECT("'" &amp; $C$3 &amp; "'!$A$20:$A$219"),    _xlfn.XLOOKUP(E$18,INDIRECT("'" &amp; $C$3 &amp; "'!$B$18:$X$18"), INDIRECT("'" &amp; $C$3 &amp; "'!$B$20:$X$219"),"XXXXX",0,1),    "XX",    0,    1)</f>
        <v>8</v>
      </c>
      <c r="F146" s="11" cm="1">
        <f t="array" aca="1" ref="F146" ca="1">_xlfn.XLOOKUP($B146,    INDIRECT("'" &amp; $C$3 &amp; "'!$A$20:$A$219"),    _xlfn.XLOOKUP(F$18,INDIRECT("'" &amp; $C$3 &amp; "'!$B$18:$X$18"), INDIRECT("'" &amp; $C$3 &amp; "'!$B$20:$X$219"),"XXXXX",0,1),    "XX",    0,    1)</f>
        <v>10</v>
      </c>
      <c r="G146" s="11">
        <f>_xlfn.XLOOKUP($A146,'Conical section geometry'!$B$11:$B$17,'Conical section geometry'!$E$11:$E$17,"XXXX",0,1)</f>
        <v>-174.99340000000001</v>
      </c>
      <c r="H146" s="11" cm="1">
        <f t="array" aca="1" ref="H146" ca="1">_xlfn.XLOOKUP($B146,    INDIRECT("'" &amp; $C$3 &amp; "'!$A$20:$A$219"),    _xlfn.XLOOKUP(H$18,INDIRECT("'" &amp; $C$3 &amp; "'!$B$18:$X$18"), INDIRECT("'" &amp; $C$3 &amp; "'!$B$20:$X$219"),"XXXXX",0,1),    "XX",    0,    1)</f>
        <v>-31.3</v>
      </c>
      <c r="I146" s="11" cm="1">
        <f t="array" aca="1" ref="I146" ca="1">_xlfn.XLOOKUP($B146,    INDIRECT("'" &amp; $C$3 &amp; "'!$A$20:$A$219"),    _xlfn.XLOOKUP(I$18,INDIRECT("'" &amp; $C$3 &amp; "'!$B$18:$X$18"), INDIRECT("'" &amp; $C$3 &amp; "'!$B$20:$X$219"),"XXXXX",0,1),    "XX",    0,    1)</f>
        <v>85.2</v>
      </c>
      <c r="J146" s="11">
        <f t="shared" si="24"/>
        <v>31.9</v>
      </c>
      <c r="K146" s="11">
        <f t="shared" si="25"/>
        <v>11.428999999999998</v>
      </c>
      <c r="L146" s="11">
        <f t="shared" si="26"/>
        <v>43.328999999999994</v>
      </c>
      <c r="M146" s="11" cm="1">
        <f t="array" aca="1" ref="M146" ca="1">_xlfn.XLOOKUP($B146,    INDIRECT("'" &amp; $C$3 &amp; "'!$A$20:$A$219"),    _xlfn.XLOOKUP(M$18,INDIRECT("'" &amp; $C$3 &amp; "'!$B$18:$X$18"), INDIRECT("'" &amp; $C$3 &amp; "'!$B$20:$X$219"),"XXXXX",0,1),    "XX",    0,    1)</f>
        <v>28.5</v>
      </c>
      <c r="N146" s="11">
        <f t="shared" ca="1" si="27"/>
        <v>22.000000000000004</v>
      </c>
      <c r="O146" s="4">
        <f t="shared" ca="1" si="28"/>
        <v>10.571000000000009</v>
      </c>
      <c r="P146" s="11">
        <v>16.856948890643878</v>
      </c>
      <c r="Q146" s="11">
        <f t="shared" ca="1" si="29"/>
        <v>37.043051109356128</v>
      </c>
      <c r="R146" s="11" t="str">
        <f t="shared" ca="1" si="30"/>
        <v>conical</v>
      </c>
      <c r="S146" s="13">
        <f t="shared" ca="1" si="31"/>
        <v>8.9</v>
      </c>
      <c r="T146" s="13"/>
    </row>
    <row r="147" spans="1:20" x14ac:dyDescent="0.2">
      <c r="A147" s="11" t="s">
        <v>3</v>
      </c>
      <c r="B147" s="11" t="s">
        <v>62</v>
      </c>
      <c r="C147" s="11">
        <f>_xlfn.XLOOKUP($A147,'Conical section geometry'!$B$11:$B$17,'Conical section geometry'!$C$11:$C$17,"XXXX",0,1)</f>
        <v>-6.5</v>
      </c>
      <c r="D147" s="11">
        <f>_xlfn.XLOOKUP($A147,'Conical section geometry'!$B$11:$B$17,'Conical section geometry'!$D$11:$D$17,"XXXX",0,1)</f>
        <v>-17.928999999999998</v>
      </c>
      <c r="E147" s="11" cm="1">
        <f t="array" aca="1" ref="E147" ca="1">_xlfn.XLOOKUP($B147,    INDIRECT("'" &amp; $C$3 &amp; "'!$A$20:$A$219"),    _xlfn.XLOOKUP(E$18,INDIRECT("'" &amp; $C$3 &amp; "'!$B$18:$X$18"), INDIRECT("'" &amp; $C$3 &amp; "'!$B$20:$X$219"),"XXXXX",0,1),    "XX",    0,    1)</f>
        <v>8</v>
      </c>
      <c r="F147" s="11" cm="1">
        <f t="array" aca="1" ref="F147" ca="1">_xlfn.XLOOKUP($B147,    INDIRECT("'" &amp; $C$3 &amp; "'!$A$20:$A$219"),    _xlfn.XLOOKUP(F$18,INDIRECT("'" &amp; $C$3 &amp; "'!$B$18:$X$18"), INDIRECT("'" &amp; $C$3 &amp; "'!$B$20:$X$219"),"XXXXX",0,1),    "XX",    0,    1)</f>
        <v>10</v>
      </c>
      <c r="G147" s="11">
        <f>_xlfn.XLOOKUP($A147,'Conical section geometry'!$B$11:$B$17,'Conical section geometry'!$E$11:$E$17,"XXXX",0,1)</f>
        <v>-174.99340000000001</v>
      </c>
      <c r="H147" s="11" cm="1">
        <f t="array" aca="1" ref="H147" ca="1">_xlfn.XLOOKUP($B147,    INDIRECT("'" &amp; $C$3 &amp; "'!$A$20:$A$219"),    _xlfn.XLOOKUP(H$18,INDIRECT("'" &amp; $C$3 &amp; "'!$B$18:$X$18"), INDIRECT("'" &amp; $C$3 &amp; "'!$B$20:$X$219"),"XXXXX",0,1),    "XX",    0,    1)</f>
        <v>-36.1</v>
      </c>
      <c r="I147" s="11" cm="1">
        <f t="array" aca="1" ref="I147" ca="1">_xlfn.XLOOKUP($B147,    INDIRECT("'" &amp; $C$3 &amp; "'!$A$20:$A$219"),    _xlfn.XLOOKUP(I$18,INDIRECT("'" &amp; $C$3 &amp; "'!$B$18:$X$18"), INDIRECT("'" &amp; $C$3 &amp; "'!$B$20:$X$219"),"XXXXX",0,1),    "XX",    0,    1)</f>
        <v>90</v>
      </c>
      <c r="J147" s="11">
        <f t="shared" si="24"/>
        <v>31.9</v>
      </c>
      <c r="K147" s="11">
        <f t="shared" si="25"/>
        <v>11.428999999999998</v>
      </c>
      <c r="L147" s="11">
        <f t="shared" si="26"/>
        <v>43.328999999999994</v>
      </c>
      <c r="M147" s="11" cm="1">
        <f t="array" aca="1" ref="M147" ca="1">_xlfn.XLOOKUP($B147,    INDIRECT("'" &amp; $C$3 &amp; "'!$A$20:$A$219"),    _xlfn.XLOOKUP(M$18,INDIRECT("'" &amp; $C$3 &amp; "'!$B$18:$X$18"), INDIRECT("'" &amp; $C$3 &amp; "'!$B$20:$X$219"),"XXXXX",0,1),    "XX",    0,    1)</f>
        <v>28.5</v>
      </c>
      <c r="N147" s="11">
        <f t="shared" ca="1" si="27"/>
        <v>22</v>
      </c>
      <c r="O147" s="4">
        <f t="shared" ca="1" si="28"/>
        <v>10.571000000000005</v>
      </c>
      <c r="P147" s="11">
        <v>16.856948890643874</v>
      </c>
      <c r="Q147" s="11">
        <f t="shared" ca="1" si="29"/>
        <v>37.043051109356128</v>
      </c>
      <c r="R147" s="11" t="str">
        <f t="shared" ca="1" si="30"/>
        <v>conical</v>
      </c>
      <c r="S147" s="13">
        <f t="shared" ca="1" si="31"/>
        <v>8.9</v>
      </c>
      <c r="T147" s="13"/>
    </row>
    <row r="148" spans="1:20" x14ac:dyDescent="0.2">
      <c r="A148" s="11" t="s">
        <v>3</v>
      </c>
      <c r="B148" s="11" t="s">
        <v>123</v>
      </c>
      <c r="C148" s="11">
        <f>_xlfn.XLOOKUP($A148,'Conical section geometry'!$B$11:$B$17,'Conical section geometry'!$C$11:$C$17,"XXXX",0,1)</f>
        <v>-6.5</v>
      </c>
      <c r="D148" s="11">
        <f>_xlfn.XLOOKUP($A148,'Conical section geometry'!$B$11:$B$17,'Conical section geometry'!$D$11:$D$17,"XXXX",0,1)</f>
        <v>-17.928999999999998</v>
      </c>
      <c r="E148" s="11" cm="1">
        <f t="array" aca="1" ref="E148" ca="1">_xlfn.XLOOKUP($B148,    INDIRECT("'" &amp; $C$3 &amp; "'!$A$20:$A$219"),    _xlfn.XLOOKUP(E$18,INDIRECT("'" &amp; $C$3 &amp; "'!$B$18:$X$18"), INDIRECT("'" &amp; $C$3 &amp; "'!$B$20:$X$219"),"XXXXX",0,1),    "XX",    0,    1)</f>
        <v>8</v>
      </c>
      <c r="F148" s="11" cm="1">
        <f t="array" aca="1" ref="F148" ca="1">_xlfn.XLOOKUP($B148,    INDIRECT("'" &amp; $C$3 &amp; "'!$A$20:$A$219"),    _xlfn.XLOOKUP(F$18,INDIRECT("'" &amp; $C$3 &amp; "'!$B$18:$X$18"), INDIRECT("'" &amp; $C$3 &amp; "'!$B$20:$X$219"),"XXXXX",0,1),    "XX",    0,    1)</f>
        <v>10</v>
      </c>
      <c r="G148" s="11">
        <f>_xlfn.XLOOKUP($A148,'Conical section geometry'!$B$11:$B$17,'Conical section geometry'!$E$11:$E$17,"XXXX",0,1)</f>
        <v>-174.99340000000001</v>
      </c>
      <c r="H148" s="11" cm="1">
        <f t="array" aca="1" ref="H148" ca="1">_xlfn.XLOOKUP($B148,    INDIRECT("'" &amp; $C$3 &amp; "'!$A$20:$A$219"),    _xlfn.XLOOKUP(H$18,INDIRECT("'" &amp; $C$3 &amp; "'!$B$18:$X$18"), INDIRECT("'" &amp; $C$3 &amp; "'!$B$20:$X$219"),"XXXXX",0,1),    "XX",    0,    1)</f>
        <v>-32.6</v>
      </c>
      <c r="I148" s="11" cm="1">
        <f t="array" aca="1" ref="I148" ca="1">_xlfn.XLOOKUP($B148,    INDIRECT("'" &amp; $C$3 &amp; "'!$A$20:$A$219"),    _xlfn.XLOOKUP(I$18,INDIRECT("'" &amp; $C$3 &amp; "'!$B$18:$X$18"), INDIRECT("'" &amp; $C$3 &amp; "'!$B$20:$X$219"),"XXXXX",0,1),    "XX",    0,    1)</f>
        <v>86.4</v>
      </c>
      <c r="J148" s="11">
        <f t="shared" ref="J148:J179" si="32">$C$1-$C148</f>
        <v>31.9</v>
      </c>
      <c r="K148" s="11">
        <f t="shared" ref="K148:K179" si="33">C$20-$D148</f>
        <v>11.428999999999998</v>
      </c>
      <c r="L148" s="11">
        <f t="shared" ref="L148:L179" si="34">$C$1-$D148</f>
        <v>43.328999999999994</v>
      </c>
      <c r="M148" s="11" cm="1">
        <f t="array" aca="1" ref="M148" ca="1">_xlfn.XLOOKUP($B148,    INDIRECT("'" &amp; $C$3 &amp; "'!$A$20:$A$219"),    _xlfn.XLOOKUP(M$18,INDIRECT("'" &amp; $C$3 &amp; "'!$B$18:$X$18"), INDIRECT("'" &amp; $C$3 &amp; "'!$B$20:$X$219"),"XXXXX",0,1),    "XX",    0,    1)</f>
        <v>28.4</v>
      </c>
      <c r="N148" s="11">
        <f t="shared" ref="N148:N179" ca="1" si="35">$I148-$J148-(-$H148)</f>
        <v>21.900000000000006</v>
      </c>
      <c r="O148" s="4">
        <f t="shared" ref="O148:O179" ca="1" si="36">$I148-$L148-(-$H148)</f>
        <v>10.471000000000011</v>
      </c>
      <c r="P148" s="11">
        <v>16.756948890643887</v>
      </c>
      <c r="Q148" s="11">
        <f t="shared" ref="Q148:Q179" ca="1" si="37">$I148-($P148+(ABS($H148)))</f>
        <v>37.043051109356114</v>
      </c>
      <c r="R148" s="11" t="str">
        <f t="shared" ref="R148:R179" ca="1" si="38">IF($Q148&lt;=$J148,"top",IF($Q148&lt;=$L148,"conical","bottom"))</f>
        <v>conical</v>
      </c>
      <c r="S148" s="13">
        <f t="shared" ref="S148:S179" ca="1" si="39">IF($R148="top",$E148,IF($R148="bottom",$F148,$E148-(($Q148-$J148)*$G148)/1000))</f>
        <v>8.8999999999999986</v>
      </c>
      <c r="T148" s="13"/>
    </row>
    <row r="149" spans="1:20" x14ac:dyDescent="0.2">
      <c r="A149" s="11" t="s">
        <v>10</v>
      </c>
      <c r="B149" s="11" t="s">
        <v>11</v>
      </c>
      <c r="C149" s="11">
        <f>_xlfn.XLOOKUP($A149,'Conical section geometry'!$B$11:$B$17,'Conical section geometry'!$C$11:$C$17,"XXXX",0,1)</f>
        <v>-6.5</v>
      </c>
      <c r="D149" s="11">
        <f>_xlfn.XLOOKUP($A149,'Conical section geometry'!$B$11:$B$17,'Conical section geometry'!$D$11:$D$17,"XXXX",0,1)</f>
        <v>-17.928999999999998</v>
      </c>
      <c r="E149" s="11" cm="1">
        <f t="array" aca="1" ref="E149" ca="1">_xlfn.XLOOKUP($B149,    INDIRECT("'" &amp; $C$3 &amp; "'!$A$20:$A$219"),    _xlfn.XLOOKUP(E$18,INDIRECT("'" &amp; $C$3 &amp; "'!$B$18:$X$18"), INDIRECT("'" &amp; $C$3 &amp; "'!$B$20:$X$219"),"XXXXX",0,1),    "XX",    0,    1)</f>
        <v>8</v>
      </c>
      <c r="F149" s="11" cm="1">
        <f t="array" aca="1" ref="F149" ca="1">_xlfn.XLOOKUP($B149,    INDIRECT("'" &amp; $C$3 &amp; "'!$A$20:$A$219"),    _xlfn.XLOOKUP(F$18,INDIRECT("'" &amp; $C$3 &amp; "'!$B$18:$X$18"), INDIRECT("'" &amp; $C$3 &amp; "'!$B$20:$X$219"),"XXXXX",0,1),    "XX",    0,    1)</f>
        <v>10</v>
      </c>
      <c r="G149" s="11">
        <f>_xlfn.XLOOKUP($A149,'Conical section geometry'!$B$11:$B$17,'Conical section geometry'!$E$11:$E$17,"XXXX",0,1)</f>
        <v>-174.99340000000001</v>
      </c>
      <c r="H149" s="11" cm="1">
        <f t="array" aca="1" ref="H149" ca="1">_xlfn.XLOOKUP($B149,    INDIRECT("'" &amp; $C$3 &amp; "'!$A$20:$A$219"),    _xlfn.XLOOKUP(H$18,INDIRECT("'" &amp; $C$3 &amp; "'!$B$18:$X$18"), INDIRECT("'" &amp; $C$3 &amp; "'!$B$20:$X$219"),"XXXXX",0,1),    "XX",    0,    1)</f>
        <v>-30.9</v>
      </c>
      <c r="I149" s="11" cm="1">
        <f t="array" aca="1" ref="I149" ca="1">_xlfn.XLOOKUP($B149,    INDIRECT("'" &amp; $C$3 &amp; "'!$A$20:$A$219"),    _xlfn.XLOOKUP(I$18,INDIRECT("'" &amp; $C$3 &amp; "'!$B$18:$X$18"), INDIRECT("'" &amp; $C$3 &amp; "'!$B$20:$X$219"),"XXXXX",0,1),    "XX",    0,    1)</f>
        <v>84.7</v>
      </c>
      <c r="J149" s="11">
        <f t="shared" si="32"/>
        <v>31.9</v>
      </c>
      <c r="K149" s="11">
        <f t="shared" si="33"/>
        <v>11.428999999999998</v>
      </c>
      <c r="L149" s="11">
        <f t="shared" si="34"/>
        <v>43.328999999999994</v>
      </c>
      <c r="M149" s="11" cm="1">
        <f t="array" aca="1" ref="M149" ca="1">_xlfn.XLOOKUP($B149,    INDIRECT("'" &amp; $C$3 &amp; "'!$A$20:$A$219"),    _xlfn.XLOOKUP(M$18,INDIRECT("'" &amp; $C$3 &amp; "'!$B$18:$X$18"), INDIRECT("'" &amp; $C$3 &amp; "'!$B$20:$X$219"),"XXXXX",0,1),    "XX",    0,    1)</f>
        <v>28.4</v>
      </c>
      <c r="N149" s="11">
        <f t="shared" ca="1" si="35"/>
        <v>21.900000000000006</v>
      </c>
      <c r="O149" s="4">
        <f t="shared" ca="1" si="36"/>
        <v>10.471000000000011</v>
      </c>
      <c r="P149" s="11">
        <v>16.756948890643873</v>
      </c>
      <c r="Q149" s="11">
        <f t="shared" ca="1" si="37"/>
        <v>37.043051109356128</v>
      </c>
      <c r="R149" s="11" t="str">
        <f t="shared" ca="1" si="38"/>
        <v>conical</v>
      </c>
      <c r="S149" s="13">
        <f t="shared" ca="1" si="39"/>
        <v>8.9</v>
      </c>
      <c r="T149" s="13"/>
    </row>
    <row r="150" spans="1:20" x14ac:dyDescent="0.2">
      <c r="A150" s="11" t="s">
        <v>3</v>
      </c>
      <c r="B150" s="11" t="s">
        <v>57</v>
      </c>
      <c r="C150" s="11">
        <f>_xlfn.XLOOKUP($A150,'Conical section geometry'!$B$11:$B$17,'Conical section geometry'!$C$11:$C$17,"XXXX",0,1)</f>
        <v>-6.5</v>
      </c>
      <c r="D150" s="11">
        <f>_xlfn.XLOOKUP($A150,'Conical section geometry'!$B$11:$B$17,'Conical section geometry'!$D$11:$D$17,"XXXX",0,1)</f>
        <v>-17.928999999999998</v>
      </c>
      <c r="E150" s="11" cm="1">
        <f t="array" aca="1" ref="E150" ca="1">_xlfn.XLOOKUP($B150,    INDIRECT("'" &amp; $C$3 &amp; "'!$A$20:$A$219"),    _xlfn.XLOOKUP(E$18,INDIRECT("'" &amp; $C$3 &amp; "'!$B$18:$X$18"), INDIRECT("'" &amp; $C$3 &amp; "'!$B$20:$X$219"),"XXXXX",0,1),    "XX",    0,    1)</f>
        <v>8</v>
      </c>
      <c r="F150" s="11" cm="1">
        <f t="array" aca="1" ref="F150" ca="1">_xlfn.XLOOKUP($B150,    INDIRECT("'" &amp; $C$3 &amp; "'!$A$20:$A$219"),    _xlfn.XLOOKUP(F$18,INDIRECT("'" &amp; $C$3 &amp; "'!$B$18:$X$18"), INDIRECT("'" &amp; $C$3 &amp; "'!$B$20:$X$219"),"XXXXX",0,1),    "XX",    0,    1)</f>
        <v>10</v>
      </c>
      <c r="G150" s="11">
        <f>_xlfn.XLOOKUP($A150,'Conical section geometry'!$B$11:$B$17,'Conical section geometry'!$E$11:$E$17,"XXXX",0,1)</f>
        <v>-174.99340000000001</v>
      </c>
      <c r="H150" s="11" cm="1">
        <f t="array" aca="1" ref="H150" ca="1">_xlfn.XLOOKUP($B150,    INDIRECT("'" &amp; $C$3 &amp; "'!$A$20:$A$219"),    _xlfn.XLOOKUP(H$18,INDIRECT("'" &amp; $C$3 &amp; "'!$B$18:$X$18"), INDIRECT("'" &amp; $C$3 &amp; "'!$B$20:$X$219"),"XXXXX",0,1),    "XX",    0,    1)</f>
        <v>-36.5</v>
      </c>
      <c r="I150" s="11" cm="1">
        <f t="array" aca="1" ref="I150" ca="1">_xlfn.XLOOKUP($B150,    INDIRECT("'" &amp; $C$3 &amp; "'!$A$20:$A$219"),    _xlfn.XLOOKUP(I$18,INDIRECT("'" &amp; $C$3 &amp; "'!$B$18:$X$18"), INDIRECT("'" &amp; $C$3 &amp; "'!$B$20:$X$219"),"XXXXX",0,1),    "XX",    0,    1)</f>
        <v>90.3</v>
      </c>
      <c r="J150" s="11">
        <f t="shared" si="32"/>
        <v>31.9</v>
      </c>
      <c r="K150" s="11">
        <f t="shared" si="33"/>
        <v>11.428999999999998</v>
      </c>
      <c r="L150" s="11">
        <f t="shared" si="34"/>
        <v>43.328999999999994</v>
      </c>
      <c r="M150" s="11" cm="1">
        <f t="array" aca="1" ref="M150" ca="1">_xlfn.XLOOKUP($B150,    INDIRECT("'" &amp; $C$3 &amp; "'!$A$20:$A$219"),    _xlfn.XLOOKUP(M$18,INDIRECT("'" &amp; $C$3 &amp; "'!$B$18:$X$18"), INDIRECT("'" &amp; $C$3 &amp; "'!$B$20:$X$219"),"XXXXX",0,1),    "XX",    0,    1)</f>
        <v>28.4</v>
      </c>
      <c r="N150" s="11">
        <f t="shared" ca="1" si="35"/>
        <v>21.9</v>
      </c>
      <c r="O150" s="4">
        <f t="shared" ca="1" si="36"/>
        <v>10.471000000000004</v>
      </c>
      <c r="P150" s="11">
        <v>16.756948890643873</v>
      </c>
      <c r="Q150" s="11">
        <f t="shared" ca="1" si="37"/>
        <v>37.043051109356128</v>
      </c>
      <c r="R150" s="11" t="str">
        <f t="shared" ca="1" si="38"/>
        <v>conical</v>
      </c>
      <c r="S150" s="13">
        <f t="shared" ca="1" si="39"/>
        <v>8.9</v>
      </c>
      <c r="T150" s="13"/>
    </row>
    <row r="151" spans="1:20" x14ac:dyDescent="0.2">
      <c r="A151" s="11" t="s">
        <v>3</v>
      </c>
      <c r="B151" s="11" t="s">
        <v>163</v>
      </c>
      <c r="C151" s="11">
        <f>_xlfn.XLOOKUP($A151,'Conical section geometry'!$B$11:$B$17,'Conical section geometry'!$C$11:$C$17,"XXXX",0,1)</f>
        <v>-6.5</v>
      </c>
      <c r="D151" s="11">
        <f>_xlfn.XLOOKUP($A151,'Conical section geometry'!$B$11:$B$17,'Conical section geometry'!$D$11:$D$17,"XXXX",0,1)</f>
        <v>-17.928999999999998</v>
      </c>
      <c r="E151" s="11" cm="1">
        <f t="array" aca="1" ref="E151" ca="1">_xlfn.XLOOKUP($B151,    INDIRECT("'" &amp; $C$3 &amp; "'!$A$20:$A$219"),    _xlfn.XLOOKUP(E$18,INDIRECT("'" &amp; $C$3 &amp; "'!$B$18:$X$18"), INDIRECT("'" &amp; $C$3 &amp; "'!$B$20:$X$219"),"XXXXX",0,1),    "XX",    0,    1)</f>
        <v>8</v>
      </c>
      <c r="F151" s="11" cm="1">
        <f t="array" aca="1" ref="F151" ca="1">_xlfn.XLOOKUP($B151,    INDIRECT("'" &amp; $C$3 &amp; "'!$A$20:$A$219"),    _xlfn.XLOOKUP(F$18,INDIRECT("'" &amp; $C$3 &amp; "'!$B$18:$X$18"), INDIRECT("'" &amp; $C$3 &amp; "'!$B$20:$X$219"),"XXXXX",0,1),    "XX",    0,    1)</f>
        <v>10</v>
      </c>
      <c r="G151" s="11">
        <f>_xlfn.XLOOKUP($A151,'Conical section geometry'!$B$11:$B$17,'Conical section geometry'!$E$11:$E$17,"XXXX",0,1)</f>
        <v>-174.99340000000001</v>
      </c>
      <c r="H151" s="11" cm="1">
        <f t="array" aca="1" ref="H151" ca="1">_xlfn.XLOOKUP($B151,    INDIRECT("'" &amp; $C$3 &amp; "'!$A$20:$A$219"),    _xlfn.XLOOKUP(H$18,INDIRECT("'" &amp; $C$3 &amp; "'!$B$18:$X$18"), INDIRECT("'" &amp; $C$3 &amp; "'!$B$20:$X$219"),"XXXXX",0,1),    "XX",    0,    1)</f>
        <v>-38.200000000000003</v>
      </c>
      <c r="I151" s="11" cm="1">
        <f t="array" aca="1" ref="I151" ca="1">_xlfn.XLOOKUP($B151,    INDIRECT("'" &amp; $C$3 &amp; "'!$A$20:$A$219"),    _xlfn.XLOOKUP(I$18,INDIRECT("'" &amp; $C$3 &amp; "'!$B$18:$X$18"), INDIRECT("'" &amp; $C$3 &amp; "'!$B$20:$X$219"),"XXXXX",0,1),    "XX",    0,    1)</f>
        <v>92</v>
      </c>
      <c r="J151" s="11">
        <f t="shared" si="32"/>
        <v>31.9</v>
      </c>
      <c r="K151" s="11">
        <f t="shared" si="33"/>
        <v>11.428999999999998</v>
      </c>
      <c r="L151" s="11">
        <f t="shared" si="34"/>
        <v>43.328999999999994</v>
      </c>
      <c r="M151" s="11" cm="1">
        <f t="array" aca="1" ref="M151" ca="1">_xlfn.XLOOKUP($B151,    INDIRECT("'" &amp; $C$3 &amp; "'!$A$20:$A$219"),    _xlfn.XLOOKUP(M$18,INDIRECT("'" &amp; $C$3 &amp; "'!$B$18:$X$18"), INDIRECT("'" &amp; $C$3 &amp; "'!$B$20:$X$219"),"XXXXX",0,1),    "XX",    0,    1)</f>
        <v>28.4</v>
      </c>
      <c r="N151" s="11">
        <f t="shared" ca="1" si="35"/>
        <v>21.9</v>
      </c>
      <c r="O151" s="4">
        <f t="shared" ca="1" si="36"/>
        <v>10.471000000000004</v>
      </c>
      <c r="P151" s="11">
        <v>16.756948890643873</v>
      </c>
      <c r="Q151" s="11">
        <f t="shared" ca="1" si="37"/>
        <v>37.043051109356128</v>
      </c>
      <c r="R151" s="11" t="str">
        <f t="shared" ca="1" si="38"/>
        <v>conical</v>
      </c>
      <c r="S151" s="13">
        <f t="shared" ca="1" si="39"/>
        <v>8.9</v>
      </c>
      <c r="T151" s="13"/>
    </row>
    <row r="152" spans="1:20" x14ac:dyDescent="0.2">
      <c r="A152" s="11" t="s">
        <v>3</v>
      </c>
      <c r="B152" s="11" t="s">
        <v>100</v>
      </c>
      <c r="C152" s="11">
        <f>_xlfn.XLOOKUP($A152,'Conical section geometry'!$B$11:$B$17,'Conical section geometry'!$C$11:$C$17,"XXXX",0,1)</f>
        <v>-6.5</v>
      </c>
      <c r="D152" s="11">
        <f>_xlfn.XLOOKUP($A152,'Conical section geometry'!$B$11:$B$17,'Conical section geometry'!$D$11:$D$17,"XXXX",0,1)</f>
        <v>-17.928999999999998</v>
      </c>
      <c r="E152" s="11" cm="1">
        <f t="array" aca="1" ref="E152" ca="1">_xlfn.XLOOKUP($B152,    INDIRECT("'" &amp; $C$3 &amp; "'!$A$20:$A$219"),    _xlfn.XLOOKUP(E$18,INDIRECT("'" &amp; $C$3 &amp; "'!$B$18:$X$18"), INDIRECT("'" &amp; $C$3 &amp; "'!$B$20:$X$219"),"XXXXX",0,1),    "XX",    0,    1)</f>
        <v>8</v>
      </c>
      <c r="F152" s="11" cm="1">
        <f t="array" aca="1" ref="F152" ca="1">_xlfn.XLOOKUP($B152,    INDIRECT("'" &amp; $C$3 &amp; "'!$A$20:$A$219"),    _xlfn.XLOOKUP(F$18,INDIRECT("'" &amp; $C$3 &amp; "'!$B$18:$X$18"), INDIRECT("'" &amp; $C$3 &amp; "'!$B$20:$X$219"),"XXXXX",0,1),    "XX",    0,    1)</f>
        <v>10</v>
      </c>
      <c r="G152" s="11">
        <f>_xlfn.XLOOKUP($A152,'Conical section geometry'!$B$11:$B$17,'Conical section geometry'!$E$11:$E$17,"XXXX",0,1)</f>
        <v>-174.99340000000001</v>
      </c>
      <c r="H152" s="11" cm="1">
        <f t="array" aca="1" ref="H152" ca="1">_xlfn.XLOOKUP($B152,    INDIRECT("'" &amp; $C$3 &amp; "'!$A$20:$A$219"),    _xlfn.XLOOKUP(H$18,INDIRECT("'" &amp; $C$3 &amp; "'!$B$18:$X$18"), INDIRECT("'" &amp; $C$3 &amp; "'!$B$20:$X$219"),"XXXXX",0,1),    "XX",    0,    1)</f>
        <v>-34.5</v>
      </c>
      <c r="I152" s="11" cm="1">
        <f t="array" aca="1" ref="I152" ca="1">_xlfn.XLOOKUP($B152,    INDIRECT("'" &amp; $C$3 &amp; "'!$A$20:$A$219"),    _xlfn.XLOOKUP(I$18,INDIRECT("'" &amp; $C$3 &amp; "'!$B$18:$X$18"), INDIRECT("'" &amp; $C$3 &amp; "'!$B$20:$X$219"),"XXXXX",0,1),    "XX",    0,    1)</f>
        <v>88.3</v>
      </c>
      <c r="J152" s="11">
        <f t="shared" si="32"/>
        <v>31.9</v>
      </c>
      <c r="K152" s="11">
        <f t="shared" si="33"/>
        <v>11.428999999999998</v>
      </c>
      <c r="L152" s="11">
        <f t="shared" si="34"/>
        <v>43.328999999999994</v>
      </c>
      <c r="M152" s="11" cm="1">
        <f t="array" aca="1" ref="M152" ca="1">_xlfn.XLOOKUP($B152,    INDIRECT("'" &amp; $C$3 &amp; "'!$A$20:$A$219"),    _xlfn.XLOOKUP(M$18,INDIRECT("'" &amp; $C$3 &amp; "'!$B$18:$X$18"), INDIRECT("'" &amp; $C$3 &amp; "'!$B$20:$X$219"),"XXXXX",0,1),    "XX",    0,    1)</f>
        <v>28.4</v>
      </c>
      <c r="N152" s="11">
        <f t="shared" ca="1" si="35"/>
        <v>21.9</v>
      </c>
      <c r="O152" s="4">
        <f t="shared" ca="1" si="36"/>
        <v>10.471000000000004</v>
      </c>
      <c r="P152" s="11">
        <v>16.756948890643873</v>
      </c>
      <c r="Q152" s="11">
        <f t="shared" ca="1" si="37"/>
        <v>37.043051109356128</v>
      </c>
      <c r="R152" s="11" t="str">
        <f t="shared" ca="1" si="38"/>
        <v>conical</v>
      </c>
      <c r="S152" s="13">
        <f t="shared" ca="1" si="39"/>
        <v>8.9</v>
      </c>
      <c r="T152" s="13"/>
    </row>
    <row r="153" spans="1:20" x14ac:dyDescent="0.2">
      <c r="A153" s="11" t="s">
        <v>3</v>
      </c>
      <c r="B153" s="11" t="s">
        <v>160</v>
      </c>
      <c r="C153" s="11">
        <f>_xlfn.XLOOKUP($A153,'Conical section geometry'!$B$11:$B$17,'Conical section geometry'!$C$11:$C$17,"XXXX",0,1)</f>
        <v>-6.5</v>
      </c>
      <c r="D153" s="11">
        <f>_xlfn.XLOOKUP($A153,'Conical section geometry'!$B$11:$B$17,'Conical section geometry'!$D$11:$D$17,"XXXX",0,1)</f>
        <v>-17.928999999999998</v>
      </c>
      <c r="E153" s="11" cm="1">
        <f t="array" aca="1" ref="E153" ca="1">_xlfn.XLOOKUP($B153,    INDIRECT("'" &amp; $C$3 &amp; "'!$A$20:$A$219"),    _xlfn.XLOOKUP(E$18,INDIRECT("'" &amp; $C$3 &amp; "'!$B$18:$X$18"), INDIRECT("'" &amp; $C$3 &amp; "'!$B$20:$X$219"),"XXXXX",0,1),    "XX",    0,    1)</f>
        <v>8</v>
      </c>
      <c r="F153" s="11" cm="1">
        <f t="array" aca="1" ref="F153" ca="1">_xlfn.XLOOKUP($B153,    INDIRECT("'" &amp; $C$3 &amp; "'!$A$20:$A$219"),    _xlfn.XLOOKUP(F$18,INDIRECT("'" &amp; $C$3 &amp; "'!$B$18:$X$18"), INDIRECT("'" &amp; $C$3 &amp; "'!$B$20:$X$219"),"XXXXX",0,1),    "XX",    0,    1)</f>
        <v>10</v>
      </c>
      <c r="G153" s="11">
        <f>_xlfn.XLOOKUP($A153,'Conical section geometry'!$B$11:$B$17,'Conical section geometry'!$E$11:$E$17,"XXXX",0,1)</f>
        <v>-174.99340000000001</v>
      </c>
      <c r="H153" s="11" cm="1">
        <f t="array" aca="1" ref="H153" ca="1">_xlfn.XLOOKUP($B153,    INDIRECT("'" &amp; $C$3 &amp; "'!$A$20:$A$219"),    _xlfn.XLOOKUP(H$18,INDIRECT("'" &amp; $C$3 &amp; "'!$B$18:$X$18"), INDIRECT("'" &amp; $C$3 &amp; "'!$B$20:$X$219"),"XXXXX",0,1),    "XX",    0,    1)</f>
        <v>-29.5</v>
      </c>
      <c r="I153" s="11" cm="1">
        <f t="array" aca="1" ref="I153" ca="1">_xlfn.XLOOKUP($B153,    INDIRECT("'" &amp; $C$3 &amp; "'!$A$20:$A$219"),    _xlfn.XLOOKUP(I$18,INDIRECT("'" &amp; $C$3 &amp; "'!$B$18:$X$18"), INDIRECT("'" &amp; $C$3 &amp; "'!$B$20:$X$219"),"XXXXX",0,1),    "XX",    0,    1)</f>
        <v>83.3</v>
      </c>
      <c r="J153" s="11">
        <f t="shared" si="32"/>
        <v>31.9</v>
      </c>
      <c r="K153" s="11">
        <f t="shared" si="33"/>
        <v>11.428999999999998</v>
      </c>
      <c r="L153" s="11">
        <f t="shared" si="34"/>
        <v>43.328999999999994</v>
      </c>
      <c r="M153" s="11" cm="1">
        <f t="array" aca="1" ref="M153" ca="1">_xlfn.XLOOKUP($B153,    INDIRECT("'" &amp; $C$3 &amp; "'!$A$20:$A$219"),    _xlfn.XLOOKUP(M$18,INDIRECT("'" &amp; $C$3 &amp; "'!$B$18:$X$18"), INDIRECT("'" &amp; $C$3 &amp; "'!$B$20:$X$219"),"XXXXX",0,1),    "XX",    0,    1)</f>
        <v>28.4</v>
      </c>
      <c r="N153" s="11">
        <f t="shared" ca="1" si="35"/>
        <v>21.9</v>
      </c>
      <c r="O153" s="4">
        <f t="shared" ca="1" si="36"/>
        <v>10.471000000000004</v>
      </c>
      <c r="P153" s="11">
        <v>16.756948890643866</v>
      </c>
      <c r="Q153" s="11">
        <f t="shared" ca="1" si="37"/>
        <v>37.043051109356128</v>
      </c>
      <c r="R153" s="11" t="str">
        <f t="shared" ca="1" si="38"/>
        <v>conical</v>
      </c>
      <c r="S153" s="13">
        <f t="shared" ca="1" si="39"/>
        <v>8.9</v>
      </c>
      <c r="T153" s="13"/>
    </row>
    <row r="154" spans="1:20" x14ac:dyDescent="0.2">
      <c r="A154" s="11" t="s">
        <v>3</v>
      </c>
      <c r="B154" s="11" t="s">
        <v>96</v>
      </c>
      <c r="C154" s="11">
        <f>_xlfn.XLOOKUP($A154,'Conical section geometry'!$B$11:$B$17,'Conical section geometry'!$C$11:$C$17,"XXXX",0,1)</f>
        <v>-6.5</v>
      </c>
      <c r="D154" s="11">
        <f>_xlfn.XLOOKUP($A154,'Conical section geometry'!$B$11:$B$17,'Conical section geometry'!$D$11:$D$17,"XXXX",0,1)</f>
        <v>-17.928999999999998</v>
      </c>
      <c r="E154" s="11" cm="1">
        <f t="array" aca="1" ref="E154" ca="1">_xlfn.XLOOKUP($B154,    INDIRECT("'" &amp; $C$3 &amp; "'!$A$20:$A$219"),    _xlfn.XLOOKUP(E$18,INDIRECT("'" &amp; $C$3 &amp; "'!$B$18:$X$18"), INDIRECT("'" &amp; $C$3 &amp; "'!$B$20:$X$219"),"XXXXX",0,1),    "XX",    0,    1)</f>
        <v>8</v>
      </c>
      <c r="F154" s="11" cm="1">
        <f t="array" aca="1" ref="F154" ca="1">_xlfn.XLOOKUP($B154,    INDIRECT("'" &amp; $C$3 &amp; "'!$A$20:$A$219"),    _xlfn.XLOOKUP(F$18,INDIRECT("'" &amp; $C$3 &amp; "'!$B$18:$X$18"), INDIRECT("'" &amp; $C$3 &amp; "'!$B$20:$X$219"),"XXXXX",0,1),    "XX",    0,    1)</f>
        <v>10</v>
      </c>
      <c r="G154" s="11">
        <f>_xlfn.XLOOKUP($A154,'Conical section geometry'!$B$11:$B$17,'Conical section geometry'!$E$11:$E$17,"XXXX",0,1)</f>
        <v>-174.99340000000001</v>
      </c>
      <c r="H154" s="11" cm="1">
        <f t="array" aca="1" ref="H154" ca="1">_xlfn.XLOOKUP($B154,    INDIRECT("'" &amp; $C$3 &amp; "'!$A$20:$A$219"),    _xlfn.XLOOKUP(H$18,INDIRECT("'" &amp; $C$3 &amp; "'!$B$18:$X$18"), INDIRECT("'" &amp; $C$3 &amp; "'!$B$20:$X$219"),"XXXXX",0,1),    "XX",    0,    1)</f>
        <v>-34.700000000000003</v>
      </c>
      <c r="I154" s="11" cm="1">
        <f t="array" aca="1" ref="I154" ca="1">_xlfn.XLOOKUP($B154,    INDIRECT("'" &amp; $C$3 &amp; "'!$A$20:$A$219"),    _xlfn.XLOOKUP(I$18,INDIRECT("'" &amp; $C$3 &amp; "'!$B$18:$X$18"), INDIRECT("'" &amp; $C$3 &amp; "'!$B$20:$X$219"),"XXXXX",0,1),    "XX",    0,    1)</f>
        <v>88.5</v>
      </c>
      <c r="J154" s="11">
        <f t="shared" si="32"/>
        <v>31.9</v>
      </c>
      <c r="K154" s="11">
        <f t="shared" si="33"/>
        <v>11.428999999999998</v>
      </c>
      <c r="L154" s="11">
        <f t="shared" si="34"/>
        <v>43.328999999999994</v>
      </c>
      <c r="M154" s="11" cm="1">
        <f t="array" aca="1" ref="M154" ca="1">_xlfn.XLOOKUP($B154,    INDIRECT("'" &amp; $C$3 &amp; "'!$A$20:$A$219"),    _xlfn.XLOOKUP(M$18,INDIRECT("'" &amp; $C$3 &amp; "'!$B$18:$X$18"), INDIRECT("'" &amp; $C$3 &amp; "'!$B$20:$X$219"),"XXXXX",0,1),    "XX",    0,    1)</f>
        <v>28.4</v>
      </c>
      <c r="N154" s="11">
        <f t="shared" ca="1" si="35"/>
        <v>21.9</v>
      </c>
      <c r="O154" s="4">
        <f t="shared" ca="1" si="36"/>
        <v>10.471000000000004</v>
      </c>
      <c r="P154" s="11">
        <v>16.756948890643866</v>
      </c>
      <c r="Q154" s="11">
        <f t="shared" ca="1" si="37"/>
        <v>37.043051109356128</v>
      </c>
      <c r="R154" s="11" t="str">
        <f t="shared" ca="1" si="38"/>
        <v>conical</v>
      </c>
      <c r="S154" s="13">
        <f t="shared" ca="1" si="39"/>
        <v>8.9</v>
      </c>
      <c r="T154" s="13"/>
    </row>
    <row r="155" spans="1:20" x14ac:dyDescent="0.2">
      <c r="A155" s="11" t="s">
        <v>3</v>
      </c>
      <c r="B155" s="11" t="s">
        <v>67</v>
      </c>
      <c r="C155" s="11">
        <f>_xlfn.XLOOKUP($A155,'Conical section geometry'!$B$11:$B$17,'Conical section geometry'!$C$11:$C$17,"XXXX",0,1)</f>
        <v>-6.5</v>
      </c>
      <c r="D155" s="11">
        <f>_xlfn.XLOOKUP($A155,'Conical section geometry'!$B$11:$B$17,'Conical section geometry'!$D$11:$D$17,"XXXX",0,1)</f>
        <v>-17.928999999999998</v>
      </c>
      <c r="E155" s="11" cm="1">
        <f t="array" aca="1" ref="E155" ca="1">_xlfn.XLOOKUP($B155,    INDIRECT("'" &amp; $C$3 &amp; "'!$A$20:$A$219"),    _xlfn.XLOOKUP(E$18,INDIRECT("'" &amp; $C$3 &amp; "'!$B$18:$X$18"), INDIRECT("'" &amp; $C$3 &amp; "'!$B$20:$X$219"),"XXXXX",0,1),    "XX",    0,    1)</f>
        <v>8</v>
      </c>
      <c r="F155" s="11" cm="1">
        <f t="array" aca="1" ref="F155" ca="1">_xlfn.XLOOKUP($B155,    INDIRECT("'" &amp; $C$3 &amp; "'!$A$20:$A$219"),    _xlfn.XLOOKUP(F$18,INDIRECT("'" &amp; $C$3 &amp; "'!$B$18:$X$18"), INDIRECT("'" &amp; $C$3 &amp; "'!$B$20:$X$219"),"XXXXX",0,1),    "XX",    0,    1)</f>
        <v>10</v>
      </c>
      <c r="G155" s="11">
        <f>_xlfn.XLOOKUP($A155,'Conical section geometry'!$B$11:$B$17,'Conical section geometry'!$E$11:$E$17,"XXXX",0,1)</f>
        <v>-174.99340000000001</v>
      </c>
      <c r="H155" s="11" cm="1">
        <f t="array" aca="1" ref="H155" ca="1">_xlfn.XLOOKUP($B155,    INDIRECT("'" &amp; $C$3 &amp; "'!$A$20:$A$219"),    _xlfn.XLOOKUP(H$18,INDIRECT("'" &amp; $C$3 &amp; "'!$B$18:$X$18"), INDIRECT("'" &amp; $C$3 &amp; "'!$B$20:$X$219"),"XXXXX",0,1),    "XX",    0,    1)</f>
        <v>-35.799999999999997</v>
      </c>
      <c r="I155" s="11" cm="1">
        <f t="array" aca="1" ref="I155" ca="1">_xlfn.XLOOKUP($B155,    INDIRECT("'" &amp; $C$3 &amp; "'!$A$20:$A$219"),    _xlfn.XLOOKUP(I$18,INDIRECT("'" &amp; $C$3 &amp; "'!$B$18:$X$18"), INDIRECT("'" &amp; $C$3 &amp; "'!$B$20:$X$219"),"XXXXX",0,1),    "XX",    0,    1)</f>
        <v>89.6</v>
      </c>
      <c r="J155" s="11">
        <f t="shared" si="32"/>
        <v>31.9</v>
      </c>
      <c r="K155" s="11">
        <f t="shared" si="33"/>
        <v>11.428999999999998</v>
      </c>
      <c r="L155" s="11">
        <f t="shared" si="34"/>
        <v>43.328999999999994</v>
      </c>
      <c r="M155" s="11" cm="1">
        <f t="array" aca="1" ref="M155" ca="1">_xlfn.XLOOKUP($B155,    INDIRECT("'" &amp; $C$3 &amp; "'!$A$20:$A$219"),    _xlfn.XLOOKUP(M$18,INDIRECT("'" &amp; $C$3 &amp; "'!$B$18:$X$18"), INDIRECT("'" &amp; $C$3 &amp; "'!$B$20:$X$219"),"XXXXX",0,1),    "XX",    0,    1)</f>
        <v>28.4</v>
      </c>
      <c r="N155" s="11">
        <f t="shared" ca="1" si="35"/>
        <v>21.9</v>
      </c>
      <c r="O155" s="4">
        <f t="shared" ca="1" si="36"/>
        <v>10.471000000000004</v>
      </c>
      <c r="P155" s="11">
        <v>16.756948890643866</v>
      </c>
      <c r="Q155" s="11">
        <f t="shared" ca="1" si="37"/>
        <v>37.043051109356128</v>
      </c>
      <c r="R155" s="11" t="str">
        <f t="shared" ca="1" si="38"/>
        <v>conical</v>
      </c>
      <c r="S155" s="13">
        <f t="shared" ca="1" si="39"/>
        <v>8.9</v>
      </c>
      <c r="T155" s="13"/>
    </row>
    <row r="156" spans="1:20" x14ac:dyDescent="0.2">
      <c r="A156" s="11" t="s">
        <v>3</v>
      </c>
      <c r="B156" s="11" t="s">
        <v>101</v>
      </c>
      <c r="C156" s="11">
        <f>_xlfn.XLOOKUP($A156,'Conical section geometry'!$B$11:$B$17,'Conical section geometry'!$C$11:$C$17,"XXXX",0,1)</f>
        <v>-6.5</v>
      </c>
      <c r="D156" s="11">
        <f>_xlfn.XLOOKUP($A156,'Conical section geometry'!$B$11:$B$17,'Conical section geometry'!$D$11:$D$17,"XXXX",0,1)</f>
        <v>-17.928999999999998</v>
      </c>
      <c r="E156" s="11" cm="1">
        <f t="array" aca="1" ref="E156" ca="1">_xlfn.XLOOKUP($B156,    INDIRECT("'" &amp; $C$3 &amp; "'!$A$20:$A$219"),    _xlfn.XLOOKUP(E$18,INDIRECT("'" &amp; $C$3 &amp; "'!$B$18:$X$18"), INDIRECT("'" &amp; $C$3 &amp; "'!$B$20:$X$219"),"XXXXX",0,1),    "XX",    0,    1)</f>
        <v>8</v>
      </c>
      <c r="F156" s="11" cm="1">
        <f t="array" aca="1" ref="F156" ca="1">_xlfn.XLOOKUP($B156,    INDIRECT("'" &amp; $C$3 &amp; "'!$A$20:$A$219"),    _xlfn.XLOOKUP(F$18,INDIRECT("'" &amp; $C$3 &amp; "'!$B$18:$X$18"), INDIRECT("'" &amp; $C$3 &amp; "'!$B$20:$X$219"),"XXXXX",0,1),    "XX",    0,    1)</f>
        <v>10</v>
      </c>
      <c r="G156" s="11">
        <f>_xlfn.XLOOKUP($A156,'Conical section geometry'!$B$11:$B$17,'Conical section geometry'!$E$11:$E$17,"XXXX",0,1)</f>
        <v>-174.99340000000001</v>
      </c>
      <c r="H156" s="11" cm="1">
        <f t="array" aca="1" ref="H156" ca="1">_xlfn.XLOOKUP($B156,    INDIRECT("'" &amp; $C$3 &amp; "'!$A$20:$A$219"),    _xlfn.XLOOKUP(H$18,INDIRECT("'" &amp; $C$3 &amp; "'!$B$18:$X$18"), INDIRECT("'" &amp; $C$3 &amp; "'!$B$20:$X$219"),"XXXXX",0,1),    "XX",    0,    1)</f>
        <v>-34.200000000000003</v>
      </c>
      <c r="I156" s="11" cm="1">
        <f t="array" aca="1" ref="I156" ca="1">_xlfn.XLOOKUP($B156,    INDIRECT("'" &amp; $C$3 &amp; "'!$A$20:$A$219"),    _xlfn.XLOOKUP(I$18,INDIRECT("'" &amp; $C$3 &amp; "'!$B$18:$X$18"), INDIRECT("'" &amp; $C$3 &amp; "'!$B$20:$X$219"),"XXXXX",0,1),    "XX",    0,    1)</f>
        <v>87.9</v>
      </c>
      <c r="J156" s="11">
        <f t="shared" si="32"/>
        <v>31.9</v>
      </c>
      <c r="K156" s="11">
        <f t="shared" si="33"/>
        <v>11.428999999999998</v>
      </c>
      <c r="L156" s="11">
        <f t="shared" si="34"/>
        <v>43.328999999999994</v>
      </c>
      <c r="M156" s="11" cm="1">
        <f t="array" aca="1" ref="M156" ca="1">_xlfn.XLOOKUP($B156,    INDIRECT("'" &amp; $C$3 &amp; "'!$A$20:$A$219"),    _xlfn.XLOOKUP(M$18,INDIRECT("'" &amp; $C$3 &amp; "'!$B$18:$X$18"), INDIRECT("'" &amp; $C$3 &amp; "'!$B$20:$X$219"),"XXXXX",0,1),    "XX",    0,    1)</f>
        <v>28.3</v>
      </c>
      <c r="N156" s="11">
        <f t="shared" ca="1" si="35"/>
        <v>21.800000000000004</v>
      </c>
      <c r="O156" s="4">
        <f t="shared" ca="1" si="36"/>
        <v>10.371000000000009</v>
      </c>
      <c r="P156" s="11">
        <v>16.656948890643886</v>
      </c>
      <c r="Q156" s="11">
        <f t="shared" ca="1" si="37"/>
        <v>37.043051109356114</v>
      </c>
      <c r="R156" s="11" t="str">
        <f t="shared" ca="1" si="38"/>
        <v>conical</v>
      </c>
      <c r="S156" s="13">
        <f t="shared" ca="1" si="39"/>
        <v>8.8999999999999986</v>
      </c>
      <c r="T156" s="13"/>
    </row>
    <row r="157" spans="1:20" x14ac:dyDescent="0.2">
      <c r="A157" s="11" t="s">
        <v>3</v>
      </c>
      <c r="B157" s="11" t="s">
        <v>165</v>
      </c>
      <c r="C157" s="11">
        <f>_xlfn.XLOOKUP($A157,'Conical section geometry'!$B$11:$B$17,'Conical section geometry'!$C$11:$C$17,"XXXX",0,1)</f>
        <v>-6.5</v>
      </c>
      <c r="D157" s="11">
        <f>_xlfn.XLOOKUP($A157,'Conical section geometry'!$B$11:$B$17,'Conical section geometry'!$D$11:$D$17,"XXXX",0,1)</f>
        <v>-17.928999999999998</v>
      </c>
      <c r="E157" s="11" cm="1">
        <f t="array" aca="1" ref="E157" ca="1">_xlfn.XLOOKUP($B157,    INDIRECT("'" &amp; $C$3 &amp; "'!$A$20:$A$219"),    _xlfn.XLOOKUP(E$18,INDIRECT("'" &amp; $C$3 &amp; "'!$B$18:$X$18"), INDIRECT("'" &amp; $C$3 &amp; "'!$B$20:$X$219"),"XXXXX",0,1),    "XX",    0,    1)</f>
        <v>8</v>
      </c>
      <c r="F157" s="11" cm="1">
        <f t="array" aca="1" ref="F157" ca="1">_xlfn.XLOOKUP($B157,    INDIRECT("'" &amp; $C$3 &amp; "'!$A$20:$A$219"),    _xlfn.XLOOKUP(F$18,INDIRECT("'" &amp; $C$3 &amp; "'!$B$18:$X$18"), INDIRECT("'" &amp; $C$3 &amp; "'!$B$20:$X$219"),"XXXXX",0,1),    "XX",    0,    1)</f>
        <v>10</v>
      </c>
      <c r="G157" s="11">
        <f>_xlfn.XLOOKUP($A157,'Conical section geometry'!$B$11:$B$17,'Conical section geometry'!$E$11:$E$17,"XXXX",0,1)</f>
        <v>-174.99340000000001</v>
      </c>
      <c r="H157" s="11" cm="1">
        <f t="array" aca="1" ref="H157" ca="1">_xlfn.XLOOKUP($B157,    INDIRECT("'" &amp; $C$3 &amp; "'!$A$20:$A$219"),    _xlfn.XLOOKUP(H$18,INDIRECT("'" &amp; $C$3 &amp; "'!$B$18:$X$18"), INDIRECT("'" &amp; $C$3 &amp; "'!$B$20:$X$219"),"XXXXX",0,1),    "XX",    0,    1)</f>
        <v>-36.700000000000003</v>
      </c>
      <c r="I157" s="11" cm="1">
        <f t="array" aca="1" ref="I157" ca="1">_xlfn.XLOOKUP($B157,    INDIRECT("'" &amp; $C$3 &amp; "'!$A$20:$A$219"),    _xlfn.XLOOKUP(I$18,INDIRECT("'" &amp; $C$3 &amp; "'!$B$18:$X$18"), INDIRECT("'" &amp; $C$3 &amp; "'!$B$20:$X$219"),"XXXXX",0,1),    "XX",    0,    1)</f>
        <v>90.4</v>
      </c>
      <c r="J157" s="11">
        <f t="shared" si="32"/>
        <v>31.9</v>
      </c>
      <c r="K157" s="11">
        <f t="shared" si="33"/>
        <v>11.428999999999998</v>
      </c>
      <c r="L157" s="11">
        <f t="shared" si="34"/>
        <v>43.328999999999994</v>
      </c>
      <c r="M157" s="11" cm="1">
        <f t="array" aca="1" ref="M157" ca="1">_xlfn.XLOOKUP($B157,    INDIRECT("'" &amp; $C$3 &amp; "'!$A$20:$A$219"),    _xlfn.XLOOKUP(M$18,INDIRECT("'" &amp; $C$3 &amp; "'!$B$18:$X$18"), INDIRECT("'" &amp; $C$3 &amp; "'!$B$20:$X$219"),"XXXXX",0,1),    "XX",    0,    1)</f>
        <v>28.3</v>
      </c>
      <c r="N157" s="11">
        <f t="shared" ca="1" si="35"/>
        <v>21.800000000000004</v>
      </c>
      <c r="O157" s="4">
        <f t="shared" ca="1" si="36"/>
        <v>10.371000000000009</v>
      </c>
      <c r="P157" s="11">
        <v>16.656948890643886</v>
      </c>
      <c r="Q157" s="11">
        <f t="shared" ca="1" si="37"/>
        <v>37.043051109356114</v>
      </c>
      <c r="R157" s="11" t="str">
        <f t="shared" ca="1" si="38"/>
        <v>conical</v>
      </c>
      <c r="S157" s="13">
        <f t="shared" ca="1" si="39"/>
        <v>8.8999999999999986</v>
      </c>
      <c r="T157" s="13"/>
    </row>
    <row r="158" spans="1:20" x14ac:dyDescent="0.2">
      <c r="A158" s="11" t="s">
        <v>3</v>
      </c>
      <c r="B158" s="11" t="s">
        <v>51</v>
      </c>
      <c r="C158" s="11">
        <f>_xlfn.XLOOKUP($A158,'Conical section geometry'!$B$11:$B$17,'Conical section geometry'!$C$11:$C$17,"XXXX",0,1)</f>
        <v>-6.5</v>
      </c>
      <c r="D158" s="11">
        <f>_xlfn.XLOOKUP($A158,'Conical section geometry'!$B$11:$B$17,'Conical section geometry'!$D$11:$D$17,"XXXX",0,1)</f>
        <v>-17.928999999999998</v>
      </c>
      <c r="E158" s="11" cm="1">
        <f t="array" aca="1" ref="E158" ca="1">_xlfn.XLOOKUP($B158,    INDIRECT("'" &amp; $C$3 &amp; "'!$A$20:$A$219"),    _xlfn.XLOOKUP(E$18,INDIRECT("'" &amp; $C$3 &amp; "'!$B$18:$X$18"), INDIRECT("'" &amp; $C$3 &amp; "'!$B$20:$X$219"),"XXXXX",0,1),    "XX",    0,    1)</f>
        <v>8</v>
      </c>
      <c r="F158" s="11" cm="1">
        <f t="array" aca="1" ref="F158" ca="1">_xlfn.XLOOKUP($B158,    INDIRECT("'" &amp; $C$3 &amp; "'!$A$20:$A$219"),    _xlfn.XLOOKUP(F$18,INDIRECT("'" &amp; $C$3 &amp; "'!$B$18:$X$18"), INDIRECT("'" &amp; $C$3 &amp; "'!$B$20:$X$219"),"XXXXX",0,1),    "XX",    0,    1)</f>
        <v>10</v>
      </c>
      <c r="G158" s="11">
        <f>_xlfn.XLOOKUP($A158,'Conical section geometry'!$B$11:$B$17,'Conical section geometry'!$E$11:$E$17,"XXXX",0,1)</f>
        <v>-174.99340000000001</v>
      </c>
      <c r="H158" s="11" cm="1">
        <f t="array" aca="1" ref="H158" ca="1">_xlfn.XLOOKUP($B158,    INDIRECT("'" &amp; $C$3 &amp; "'!$A$20:$A$219"),    _xlfn.XLOOKUP(H$18,INDIRECT("'" &amp; $C$3 &amp; "'!$B$18:$X$18"), INDIRECT("'" &amp; $C$3 &amp; "'!$B$20:$X$219"),"XXXXX",0,1),    "XX",    0,    1)</f>
        <v>-36.200000000000003</v>
      </c>
      <c r="I158" s="11" cm="1">
        <f t="array" aca="1" ref="I158" ca="1">_xlfn.XLOOKUP($B158,    INDIRECT("'" &amp; $C$3 &amp; "'!$A$20:$A$219"),    _xlfn.XLOOKUP(I$18,INDIRECT("'" &amp; $C$3 &amp; "'!$B$18:$X$18"), INDIRECT("'" &amp; $C$3 &amp; "'!$B$20:$X$219"),"XXXXX",0,1),    "XX",    0,    1)</f>
        <v>89.8</v>
      </c>
      <c r="J158" s="11">
        <f t="shared" si="32"/>
        <v>31.9</v>
      </c>
      <c r="K158" s="11">
        <f t="shared" si="33"/>
        <v>11.428999999999998</v>
      </c>
      <c r="L158" s="11">
        <f t="shared" si="34"/>
        <v>43.328999999999994</v>
      </c>
      <c r="M158" s="11" cm="1">
        <f t="array" aca="1" ref="M158" ca="1">_xlfn.XLOOKUP($B158,    INDIRECT("'" &amp; $C$3 &amp; "'!$A$20:$A$219"),    _xlfn.XLOOKUP(M$18,INDIRECT("'" &amp; $C$3 &amp; "'!$B$18:$X$18"), INDIRECT("'" &amp; $C$3 &amp; "'!$B$20:$X$219"),"XXXXX",0,1),    "XX",    0,    1)</f>
        <v>28.2</v>
      </c>
      <c r="N158" s="11">
        <f t="shared" ca="1" si="35"/>
        <v>21.699999999999996</v>
      </c>
      <c r="O158" s="4">
        <f t="shared" ca="1" si="36"/>
        <v>10.271000000000001</v>
      </c>
      <c r="P158" s="11">
        <v>16.55694889064387</v>
      </c>
      <c r="Q158" s="11">
        <f t="shared" ca="1" si="37"/>
        <v>37.043051109356128</v>
      </c>
      <c r="R158" s="11" t="str">
        <f t="shared" ca="1" si="38"/>
        <v>conical</v>
      </c>
      <c r="S158" s="13">
        <f t="shared" ca="1" si="39"/>
        <v>8.9</v>
      </c>
      <c r="T158" s="13"/>
    </row>
    <row r="159" spans="1:20" x14ac:dyDescent="0.2">
      <c r="A159" s="11" t="s">
        <v>3</v>
      </c>
      <c r="B159" s="11" t="s">
        <v>162</v>
      </c>
      <c r="C159" s="11">
        <f>_xlfn.XLOOKUP($A159,'Conical section geometry'!$B$11:$B$17,'Conical section geometry'!$C$11:$C$17,"XXXX",0,1)</f>
        <v>-6.5</v>
      </c>
      <c r="D159" s="11">
        <f>_xlfn.XLOOKUP($A159,'Conical section geometry'!$B$11:$B$17,'Conical section geometry'!$D$11:$D$17,"XXXX",0,1)</f>
        <v>-17.928999999999998</v>
      </c>
      <c r="E159" s="11" cm="1">
        <f t="array" aca="1" ref="E159" ca="1">_xlfn.XLOOKUP($B159,    INDIRECT("'" &amp; $C$3 &amp; "'!$A$20:$A$219"),    _xlfn.XLOOKUP(E$18,INDIRECT("'" &amp; $C$3 &amp; "'!$B$18:$X$18"), INDIRECT("'" &amp; $C$3 &amp; "'!$B$20:$X$219"),"XXXXX",0,1),    "XX",    0,    1)</f>
        <v>8</v>
      </c>
      <c r="F159" s="11" cm="1">
        <f t="array" aca="1" ref="F159" ca="1">_xlfn.XLOOKUP($B159,    INDIRECT("'" &amp; $C$3 &amp; "'!$A$20:$A$219"),    _xlfn.XLOOKUP(F$18,INDIRECT("'" &amp; $C$3 &amp; "'!$B$18:$X$18"), INDIRECT("'" &amp; $C$3 &amp; "'!$B$20:$X$219"),"XXXXX",0,1),    "XX",    0,    1)</f>
        <v>10</v>
      </c>
      <c r="G159" s="11">
        <f>_xlfn.XLOOKUP($A159,'Conical section geometry'!$B$11:$B$17,'Conical section geometry'!$E$11:$E$17,"XXXX",0,1)</f>
        <v>-174.99340000000001</v>
      </c>
      <c r="H159" s="11" cm="1">
        <f t="array" aca="1" ref="H159" ca="1">_xlfn.XLOOKUP($B159,    INDIRECT("'" &amp; $C$3 &amp; "'!$A$20:$A$219"),    _xlfn.XLOOKUP(H$18,INDIRECT("'" &amp; $C$3 &amp; "'!$B$18:$X$18"), INDIRECT("'" &amp; $C$3 &amp; "'!$B$20:$X$219"),"XXXXX",0,1),    "XX",    0,    1)</f>
        <v>-29.5</v>
      </c>
      <c r="I159" s="11" cm="1">
        <f t="array" aca="1" ref="I159" ca="1">_xlfn.XLOOKUP($B159,    INDIRECT("'" &amp; $C$3 &amp; "'!$A$20:$A$219"),    _xlfn.XLOOKUP(I$18,INDIRECT("'" &amp; $C$3 &amp; "'!$B$18:$X$18"), INDIRECT("'" &amp; $C$3 &amp; "'!$B$20:$X$219"),"XXXXX",0,1),    "XX",    0,    1)</f>
        <v>83.1</v>
      </c>
      <c r="J159" s="11">
        <f t="shared" si="32"/>
        <v>31.9</v>
      </c>
      <c r="K159" s="11">
        <f t="shared" si="33"/>
        <v>11.428999999999998</v>
      </c>
      <c r="L159" s="11">
        <f t="shared" si="34"/>
        <v>43.328999999999994</v>
      </c>
      <c r="M159" s="11" cm="1">
        <f t="array" aca="1" ref="M159" ca="1">_xlfn.XLOOKUP($B159,    INDIRECT("'" &amp; $C$3 &amp; "'!$A$20:$A$219"),    _xlfn.XLOOKUP(M$18,INDIRECT("'" &amp; $C$3 &amp; "'!$B$18:$X$18"), INDIRECT("'" &amp; $C$3 &amp; "'!$B$20:$X$219"),"XXXXX",0,1),    "XX",    0,    1)</f>
        <v>28.2</v>
      </c>
      <c r="N159" s="11">
        <f t="shared" ca="1" si="35"/>
        <v>21.699999999999996</v>
      </c>
      <c r="O159" s="4">
        <f t="shared" ca="1" si="36"/>
        <v>10.271000000000001</v>
      </c>
      <c r="P159" s="11">
        <v>16.55694889064387</v>
      </c>
      <c r="Q159" s="11">
        <f t="shared" ca="1" si="37"/>
        <v>37.043051109356128</v>
      </c>
      <c r="R159" s="11" t="str">
        <f t="shared" ca="1" si="38"/>
        <v>conical</v>
      </c>
      <c r="S159" s="13">
        <f t="shared" ca="1" si="39"/>
        <v>8.9</v>
      </c>
      <c r="T159" s="13"/>
    </row>
    <row r="160" spans="1:20" x14ac:dyDescent="0.2">
      <c r="A160" s="11" t="s">
        <v>3</v>
      </c>
      <c r="B160" s="11" t="s">
        <v>150</v>
      </c>
      <c r="C160" s="11">
        <f>_xlfn.XLOOKUP($A160,'Conical section geometry'!$B$11:$B$17,'Conical section geometry'!$C$11:$C$17,"XXXX",0,1)</f>
        <v>-6.5</v>
      </c>
      <c r="D160" s="11">
        <f>_xlfn.XLOOKUP($A160,'Conical section geometry'!$B$11:$B$17,'Conical section geometry'!$D$11:$D$17,"XXXX",0,1)</f>
        <v>-17.928999999999998</v>
      </c>
      <c r="E160" s="11" cm="1">
        <f t="array" aca="1" ref="E160" ca="1">_xlfn.XLOOKUP($B160,    INDIRECT("'" &amp; $C$3 &amp; "'!$A$20:$A$219"),    _xlfn.XLOOKUP(E$18,INDIRECT("'" &amp; $C$3 &amp; "'!$B$18:$X$18"), INDIRECT("'" &amp; $C$3 &amp; "'!$B$20:$X$219"),"XXXXX",0,1),    "XX",    0,    1)</f>
        <v>8</v>
      </c>
      <c r="F160" s="11" cm="1">
        <f t="array" aca="1" ref="F160" ca="1">_xlfn.XLOOKUP($B160,    INDIRECT("'" &amp; $C$3 &amp; "'!$A$20:$A$219"),    _xlfn.XLOOKUP(F$18,INDIRECT("'" &amp; $C$3 &amp; "'!$B$18:$X$18"), INDIRECT("'" &amp; $C$3 &amp; "'!$B$20:$X$219"),"XXXXX",0,1),    "XX",    0,    1)</f>
        <v>10</v>
      </c>
      <c r="G160" s="11">
        <f>_xlfn.XLOOKUP($A160,'Conical section geometry'!$B$11:$B$17,'Conical section geometry'!$E$11:$E$17,"XXXX",0,1)</f>
        <v>-174.99340000000001</v>
      </c>
      <c r="H160" s="11" cm="1">
        <f t="array" aca="1" ref="H160" ca="1">_xlfn.XLOOKUP($B160,    INDIRECT("'" &amp; $C$3 &amp; "'!$A$20:$A$219"),    _xlfn.XLOOKUP(H$18,INDIRECT("'" &amp; $C$3 &amp; "'!$B$18:$X$18"), INDIRECT("'" &amp; $C$3 &amp; "'!$B$20:$X$219"),"XXXXX",0,1),    "XX",    0,    1)</f>
        <v>-31.4</v>
      </c>
      <c r="I160" s="11" cm="1">
        <f t="array" aca="1" ref="I160" ca="1">_xlfn.XLOOKUP($B160,    INDIRECT("'" &amp; $C$3 &amp; "'!$A$20:$A$219"),    _xlfn.XLOOKUP(I$18,INDIRECT("'" &amp; $C$3 &amp; "'!$B$18:$X$18"), INDIRECT("'" &amp; $C$3 &amp; "'!$B$20:$X$219"),"XXXXX",0,1),    "XX",    0,    1)</f>
        <v>85</v>
      </c>
      <c r="J160" s="11">
        <f t="shared" si="32"/>
        <v>31.9</v>
      </c>
      <c r="K160" s="11">
        <f t="shared" si="33"/>
        <v>11.428999999999998</v>
      </c>
      <c r="L160" s="11">
        <f t="shared" si="34"/>
        <v>43.328999999999994</v>
      </c>
      <c r="M160" s="11" cm="1">
        <f t="array" aca="1" ref="M160" ca="1">_xlfn.XLOOKUP($B160,    INDIRECT("'" &amp; $C$3 &amp; "'!$A$20:$A$219"),    _xlfn.XLOOKUP(M$18,INDIRECT("'" &amp; $C$3 &amp; "'!$B$18:$X$18"), INDIRECT("'" &amp; $C$3 &amp; "'!$B$20:$X$219"),"XXXXX",0,1),    "XX",    0,    1)</f>
        <v>28.2</v>
      </c>
      <c r="N160" s="11">
        <f t="shared" ca="1" si="35"/>
        <v>21.700000000000003</v>
      </c>
      <c r="O160" s="4">
        <f t="shared" ca="1" si="36"/>
        <v>10.271000000000008</v>
      </c>
      <c r="P160" s="11">
        <v>16.556948890643874</v>
      </c>
      <c r="Q160" s="11">
        <f t="shared" ca="1" si="37"/>
        <v>37.043051109356128</v>
      </c>
      <c r="R160" s="11" t="str">
        <f t="shared" ca="1" si="38"/>
        <v>conical</v>
      </c>
      <c r="S160" s="13">
        <f t="shared" ca="1" si="39"/>
        <v>8.9</v>
      </c>
      <c r="T160" s="13"/>
    </row>
    <row r="161" spans="1:20" x14ac:dyDescent="0.2">
      <c r="A161" s="11" t="s">
        <v>4</v>
      </c>
      <c r="B161" s="11" t="s">
        <v>172</v>
      </c>
      <c r="C161" s="11">
        <f>_xlfn.XLOOKUP($A161,'Conical section geometry'!$B$11:$B$17,'Conical section geometry'!$C$11:$C$17,"XXXX",0,1)</f>
        <v>-6.5</v>
      </c>
      <c r="D161" s="11">
        <f>_xlfn.XLOOKUP($A161,'Conical section geometry'!$B$11:$B$17,'Conical section geometry'!$D$11:$D$17,"XXXX",0,1)</f>
        <v>-20.786000000000001</v>
      </c>
      <c r="E161" s="11" cm="1">
        <f t="array" aca="1" ref="E161" ca="1">_xlfn.XLOOKUP($B161,    INDIRECT("'" &amp; $C$3 &amp; "'!$A$20:$A$219"),    _xlfn.XLOOKUP(E$18,INDIRECT("'" &amp; $C$3 &amp; "'!$B$18:$X$18"), INDIRECT("'" &amp; $C$3 &amp; "'!$B$20:$X$219"),"XXXXX",0,1),    "XX",    0,    1)</f>
        <v>8</v>
      </c>
      <c r="F161" s="11" cm="1">
        <f t="array" aca="1" ref="F161" ca="1">_xlfn.XLOOKUP($B161,    INDIRECT("'" &amp; $C$3 &amp; "'!$A$20:$A$219"),    _xlfn.XLOOKUP(F$18,INDIRECT("'" &amp; $C$3 &amp; "'!$B$18:$X$18"), INDIRECT("'" &amp; $C$3 &amp; "'!$B$20:$X$219"),"XXXXX",0,1),    "XX",    0,    1)</f>
        <v>10.5</v>
      </c>
      <c r="G161" s="11">
        <f>_xlfn.XLOOKUP($A161,'Conical section geometry'!$B$11:$B$17,'Conical section geometry'!$E$11:$E$17,"XXXX",0,1)</f>
        <v>-174.996500069999</v>
      </c>
      <c r="H161" s="11" cm="1">
        <f t="array" aca="1" ref="H161" ca="1">_xlfn.XLOOKUP($B161,    INDIRECT("'" &amp; $C$3 &amp; "'!$A$20:$A$219"),    _xlfn.XLOOKUP(H$18,INDIRECT("'" &amp; $C$3 &amp; "'!$B$18:$X$18"), INDIRECT("'" &amp; $C$3 &amp; "'!$B$20:$X$219"),"XXXXX",0,1),    "XX",    0,    1)</f>
        <v>-39.9</v>
      </c>
      <c r="I161" s="11" cm="1">
        <f t="array" aca="1" ref="I161" ca="1">_xlfn.XLOOKUP($B161,    INDIRECT("'" &amp; $C$3 &amp; "'!$A$20:$A$219"),    _xlfn.XLOOKUP(I$18,INDIRECT("'" &amp; $C$3 &amp; "'!$B$18:$X$18"), INDIRECT("'" &amp; $C$3 &amp; "'!$B$20:$X$219"),"XXXXX",0,1),    "XX",    0,    1)</f>
        <v>93.4</v>
      </c>
      <c r="J161" s="11">
        <f t="shared" si="32"/>
        <v>31.9</v>
      </c>
      <c r="K161" s="11">
        <f t="shared" si="33"/>
        <v>14.286000000000001</v>
      </c>
      <c r="L161" s="11">
        <f t="shared" si="34"/>
        <v>46.186</v>
      </c>
      <c r="M161" s="11" cm="1">
        <f t="array" aca="1" ref="M161" ca="1">_xlfn.XLOOKUP($B161,    INDIRECT("'" &amp; $C$3 &amp; "'!$A$20:$A$219"),    _xlfn.XLOOKUP(M$18,INDIRECT("'" &amp; $C$3 &amp; "'!$B$18:$X$18"), INDIRECT("'" &amp; $C$3 &amp; "'!$B$20:$X$219"),"XXXXX",0,1),    "XX",    0,    1)</f>
        <v>28.1</v>
      </c>
      <c r="N161" s="11">
        <f t="shared" ca="1" si="35"/>
        <v>21.600000000000009</v>
      </c>
      <c r="O161" s="4">
        <f t="shared" ca="1" si="36"/>
        <v>7.3140000000000072</v>
      </c>
      <c r="P161" s="11">
        <v>16.457040000000017</v>
      </c>
      <c r="Q161" s="11">
        <f t="shared" ca="1" si="37"/>
        <v>37.042959999999994</v>
      </c>
      <c r="R161" s="11" t="str">
        <f t="shared" ca="1" si="38"/>
        <v>conical</v>
      </c>
      <c r="S161" s="13">
        <f t="shared" ca="1" si="39"/>
        <v>8.9000000000000021</v>
      </c>
      <c r="T161" s="13"/>
    </row>
    <row r="162" spans="1:20" x14ac:dyDescent="0.2">
      <c r="A162" s="11" t="s">
        <v>3</v>
      </c>
      <c r="B162" s="11" t="s">
        <v>27</v>
      </c>
      <c r="C162" s="11">
        <f>_xlfn.XLOOKUP($A162,'Conical section geometry'!$B$11:$B$17,'Conical section geometry'!$C$11:$C$17,"XXXX",0,1)</f>
        <v>-6.5</v>
      </c>
      <c r="D162" s="11">
        <f>_xlfn.XLOOKUP($A162,'Conical section geometry'!$B$11:$B$17,'Conical section geometry'!$D$11:$D$17,"XXXX",0,1)</f>
        <v>-17.928999999999998</v>
      </c>
      <c r="E162" s="11" cm="1">
        <f t="array" aca="1" ref="E162" ca="1">_xlfn.XLOOKUP($B162,    INDIRECT("'" &amp; $C$3 &amp; "'!$A$20:$A$219"),    _xlfn.XLOOKUP(E$18,INDIRECT("'" &amp; $C$3 &amp; "'!$B$18:$X$18"), INDIRECT("'" &amp; $C$3 &amp; "'!$B$20:$X$219"),"XXXXX",0,1),    "XX",    0,    1)</f>
        <v>8</v>
      </c>
      <c r="F162" s="11" cm="1">
        <f t="array" aca="1" ref="F162" ca="1">_xlfn.XLOOKUP($B162,    INDIRECT("'" &amp; $C$3 &amp; "'!$A$20:$A$219"),    _xlfn.XLOOKUP(F$18,INDIRECT("'" &amp; $C$3 &amp; "'!$B$18:$X$18"), INDIRECT("'" &amp; $C$3 &amp; "'!$B$20:$X$219"),"XXXXX",0,1),    "XX",    0,    1)</f>
        <v>10</v>
      </c>
      <c r="G162" s="11">
        <f>_xlfn.XLOOKUP($A162,'Conical section geometry'!$B$11:$B$17,'Conical section geometry'!$E$11:$E$17,"XXXX",0,1)</f>
        <v>-174.99340000000001</v>
      </c>
      <c r="H162" s="11" cm="1">
        <f t="array" aca="1" ref="H162" ca="1">_xlfn.XLOOKUP($B162,    INDIRECT("'" &amp; $C$3 &amp; "'!$A$20:$A$219"),    _xlfn.XLOOKUP(H$18,INDIRECT("'" &amp; $C$3 &amp; "'!$B$18:$X$18"), INDIRECT("'" &amp; $C$3 &amp; "'!$B$20:$X$219"),"XXXXX",0,1),    "XX",    0,    1)</f>
        <v>-38.299999999999997</v>
      </c>
      <c r="I162" s="11" cm="1">
        <f t="array" aca="1" ref="I162" ca="1">_xlfn.XLOOKUP($B162,    INDIRECT("'" &amp; $C$3 &amp; "'!$A$20:$A$219"),    _xlfn.XLOOKUP(I$18,INDIRECT("'" &amp; $C$3 &amp; "'!$B$18:$X$18"), INDIRECT("'" &amp; $C$3 &amp; "'!$B$20:$X$219"),"XXXXX",0,1),    "XX",    0,    1)</f>
        <v>91.8</v>
      </c>
      <c r="J162" s="11">
        <f t="shared" si="32"/>
        <v>31.9</v>
      </c>
      <c r="K162" s="11">
        <f t="shared" si="33"/>
        <v>11.428999999999998</v>
      </c>
      <c r="L162" s="11">
        <f t="shared" si="34"/>
        <v>43.328999999999994</v>
      </c>
      <c r="M162" s="11" cm="1">
        <f t="array" aca="1" ref="M162" ca="1">_xlfn.XLOOKUP($B162,    INDIRECT("'" &amp; $C$3 &amp; "'!$A$20:$A$219"),    _xlfn.XLOOKUP(M$18,INDIRECT("'" &amp; $C$3 &amp; "'!$B$18:$X$18"), INDIRECT("'" &amp; $C$3 &amp; "'!$B$20:$X$219"),"XXXXX",0,1),    "XX",    0,    1)</f>
        <v>28.1</v>
      </c>
      <c r="N162" s="11">
        <f t="shared" ca="1" si="35"/>
        <v>21.6</v>
      </c>
      <c r="O162" s="4">
        <f t="shared" ca="1" si="36"/>
        <v>10.171000000000006</v>
      </c>
      <c r="P162" s="11">
        <v>16.456948890643876</v>
      </c>
      <c r="Q162" s="11">
        <f t="shared" ca="1" si="37"/>
        <v>37.043051109356128</v>
      </c>
      <c r="R162" s="11" t="str">
        <f t="shared" ca="1" si="38"/>
        <v>conical</v>
      </c>
      <c r="S162" s="13">
        <f t="shared" ca="1" si="39"/>
        <v>8.9</v>
      </c>
      <c r="T162" s="13"/>
    </row>
    <row r="163" spans="1:20" x14ac:dyDescent="0.2">
      <c r="A163" s="11" t="s">
        <v>3</v>
      </c>
      <c r="B163" s="11" t="s">
        <v>52</v>
      </c>
      <c r="C163" s="11">
        <f>_xlfn.XLOOKUP($A163,'Conical section geometry'!$B$11:$B$17,'Conical section geometry'!$C$11:$C$17,"XXXX",0,1)</f>
        <v>-6.5</v>
      </c>
      <c r="D163" s="11">
        <f>_xlfn.XLOOKUP($A163,'Conical section geometry'!$B$11:$B$17,'Conical section geometry'!$D$11:$D$17,"XXXX",0,1)</f>
        <v>-17.928999999999998</v>
      </c>
      <c r="E163" s="11" cm="1">
        <f t="array" aca="1" ref="E163" ca="1">_xlfn.XLOOKUP($B163,    INDIRECT("'" &amp; $C$3 &amp; "'!$A$20:$A$219"),    _xlfn.XLOOKUP(E$18,INDIRECT("'" &amp; $C$3 &amp; "'!$B$18:$X$18"), INDIRECT("'" &amp; $C$3 &amp; "'!$B$20:$X$219"),"XXXXX",0,1),    "XX",    0,    1)</f>
        <v>8</v>
      </c>
      <c r="F163" s="11" cm="1">
        <f t="array" aca="1" ref="F163" ca="1">_xlfn.XLOOKUP($B163,    INDIRECT("'" &amp; $C$3 &amp; "'!$A$20:$A$219"),    _xlfn.XLOOKUP(F$18,INDIRECT("'" &amp; $C$3 &amp; "'!$B$18:$X$18"), INDIRECT("'" &amp; $C$3 &amp; "'!$B$20:$X$219"),"XXXXX",0,1),    "XX",    0,    1)</f>
        <v>10</v>
      </c>
      <c r="G163" s="11">
        <f>_xlfn.XLOOKUP($A163,'Conical section geometry'!$B$11:$B$17,'Conical section geometry'!$E$11:$E$17,"XXXX",0,1)</f>
        <v>-174.99340000000001</v>
      </c>
      <c r="H163" s="11" cm="1">
        <f t="array" aca="1" ref="H163" ca="1">_xlfn.XLOOKUP($B163,    INDIRECT("'" &amp; $C$3 &amp; "'!$A$20:$A$219"),    _xlfn.XLOOKUP(H$18,INDIRECT("'" &amp; $C$3 &amp; "'!$B$18:$X$18"), INDIRECT("'" &amp; $C$3 &amp; "'!$B$20:$X$219"),"XXXXX",0,1),    "XX",    0,    1)</f>
        <v>-36.799999999999997</v>
      </c>
      <c r="I163" s="11" cm="1">
        <f t="array" aca="1" ref="I163" ca="1">_xlfn.XLOOKUP($B163,    INDIRECT("'" &amp; $C$3 &amp; "'!$A$20:$A$219"),    _xlfn.XLOOKUP(I$18,INDIRECT("'" &amp; $C$3 &amp; "'!$B$18:$X$18"), INDIRECT("'" &amp; $C$3 &amp; "'!$B$20:$X$219"),"XXXXX",0,1),    "XX",    0,    1)</f>
        <v>90.3</v>
      </c>
      <c r="J163" s="11">
        <f t="shared" si="32"/>
        <v>31.9</v>
      </c>
      <c r="K163" s="11">
        <f t="shared" si="33"/>
        <v>11.428999999999998</v>
      </c>
      <c r="L163" s="11">
        <f t="shared" si="34"/>
        <v>43.328999999999994</v>
      </c>
      <c r="M163" s="11" cm="1">
        <f t="array" aca="1" ref="M163" ca="1">_xlfn.XLOOKUP($B163,    INDIRECT("'" &amp; $C$3 &amp; "'!$A$20:$A$219"),    _xlfn.XLOOKUP(M$18,INDIRECT("'" &amp; $C$3 &amp; "'!$B$18:$X$18"), INDIRECT("'" &amp; $C$3 &amp; "'!$B$20:$X$219"),"XXXXX",0,1),    "XX",    0,    1)</f>
        <v>28.1</v>
      </c>
      <c r="N163" s="11">
        <f t="shared" ca="1" si="35"/>
        <v>21.6</v>
      </c>
      <c r="O163" s="4">
        <f t="shared" ca="1" si="36"/>
        <v>10.171000000000006</v>
      </c>
      <c r="P163" s="11">
        <v>16.456948890643876</v>
      </c>
      <c r="Q163" s="11">
        <f t="shared" ca="1" si="37"/>
        <v>37.043051109356128</v>
      </c>
      <c r="R163" s="11" t="str">
        <f t="shared" ca="1" si="38"/>
        <v>conical</v>
      </c>
      <c r="S163" s="13">
        <f t="shared" ca="1" si="39"/>
        <v>8.9</v>
      </c>
      <c r="T163" s="13"/>
    </row>
    <row r="164" spans="1:20" x14ac:dyDescent="0.2">
      <c r="A164" s="11" t="s">
        <v>3</v>
      </c>
      <c r="B164" s="11" t="s">
        <v>42</v>
      </c>
      <c r="C164" s="11">
        <f>_xlfn.XLOOKUP($A164,'Conical section geometry'!$B$11:$B$17,'Conical section geometry'!$C$11:$C$17,"XXXX",0,1)</f>
        <v>-6.5</v>
      </c>
      <c r="D164" s="11">
        <f>_xlfn.XLOOKUP($A164,'Conical section geometry'!$B$11:$B$17,'Conical section geometry'!$D$11:$D$17,"XXXX",0,1)</f>
        <v>-17.928999999999998</v>
      </c>
      <c r="E164" s="11" cm="1">
        <f t="array" aca="1" ref="E164" ca="1">_xlfn.XLOOKUP($B164,    INDIRECT("'" &amp; $C$3 &amp; "'!$A$20:$A$219"),    _xlfn.XLOOKUP(E$18,INDIRECT("'" &amp; $C$3 &amp; "'!$B$18:$X$18"), INDIRECT("'" &amp; $C$3 &amp; "'!$B$20:$X$219"),"XXXXX",0,1),    "XX",    0,    1)</f>
        <v>8</v>
      </c>
      <c r="F164" s="11" cm="1">
        <f t="array" aca="1" ref="F164" ca="1">_xlfn.XLOOKUP($B164,    INDIRECT("'" &amp; $C$3 &amp; "'!$A$20:$A$219"),    _xlfn.XLOOKUP(F$18,INDIRECT("'" &amp; $C$3 &amp; "'!$B$18:$X$18"), INDIRECT("'" &amp; $C$3 &amp; "'!$B$20:$X$219"),"XXXXX",0,1),    "XX",    0,    1)</f>
        <v>10</v>
      </c>
      <c r="G164" s="11">
        <f>_xlfn.XLOOKUP($A164,'Conical section geometry'!$B$11:$B$17,'Conical section geometry'!$E$11:$E$17,"XXXX",0,1)</f>
        <v>-174.99340000000001</v>
      </c>
      <c r="H164" s="11" cm="1">
        <f t="array" aca="1" ref="H164" ca="1">_xlfn.XLOOKUP($B164,    INDIRECT("'" &amp; $C$3 &amp; "'!$A$20:$A$219"),    _xlfn.XLOOKUP(H$18,INDIRECT("'" &amp; $C$3 &amp; "'!$B$18:$X$18"), INDIRECT("'" &amp; $C$3 &amp; "'!$B$20:$X$219"),"XXXXX",0,1),    "XX",    0,    1)</f>
        <v>-37.299999999999997</v>
      </c>
      <c r="I164" s="11" cm="1">
        <f t="array" aca="1" ref="I164" ca="1">_xlfn.XLOOKUP($B164,    INDIRECT("'" &amp; $C$3 &amp; "'!$A$20:$A$219"),    _xlfn.XLOOKUP(I$18,INDIRECT("'" &amp; $C$3 &amp; "'!$B$18:$X$18"), INDIRECT("'" &amp; $C$3 &amp; "'!$B$20:$X$219"),"XXXXX",0,1),    "XX",    0,    1)</f>
        <v>90.8</v>
      </c>
      <c r="J164" s="11">
        <f t="shared" si="32"/>
        <v>31.9</v>
      </c>
      <c r="K164" s="11">
        <f t="shared" si="33"/>
        <v>11.428999999999998</v>
      </c>
      <c r="L164" s="11">
        <f t="shared" si="34"/>
        <v>43.328999999999994</v>
      </c>
      <c r="M164" s="11" cm="1">
        <f t="array" aca="1" ref="M164" ca="1">_xlfn.XLOOKUP($B164,    INDIRECT("'" &amp; $C$3 &amp; "'!$A$20:$A$219"),    _xlfn.XLOOKUP(M$18,INDIRECT("'" &amp; $C$3 &amp; "'!$B$18:$X$18"), INDIRECT("'" &amp; $C$3 &amp; "'!$B$20:$X$219"),"XXXXX",0,1),    "XX",    0,    1)</f>
        <v>28.1</v>
      </c>
      <c r="N164" s="11">
        <f t="shared" ca="1" si="35"/>
        <v>21.6</v>
      </c>
      <c r="O164" s="4">
        <f t="shared" ca="1" si="36"/>
        <v>10.171000000000006</v>
      </c>
      <c r="P164" s="11">
        <v>16.456948890643876</v>
      </c>
      <c r="Q164" s="11">
        <f t="shared" ca="1" si="37"/>
        <v>37.043051109356128</v>
      </c>
      <c r="R164" s="11" t="str">
        <f t="shared" ca="1" si="38"/>
        <v>conical</v>
      </c>
      <c r="S164" s="13">
        <f t="shared" ca="1" si="39"/>
        <v>8.9</v>
      </c>
      <c r="T164" s="13"/>
    </row>
    <row r="165" spans="1:20" x14ac:dyDescent="0.2">
      <c r="A165" s="11" t="s">
        <v>4</v>
      </c>
      <c r="B165" s="11" t="s">
        <v>181</v>
      </c>
      <c r="C165" s="11">
        <f>_xlfn.XLOOKUP($A165,'Conical section geometry'!$B$11:$B$17,'Conical section geometry'!$C$11:$C$17,"XXXX",0,1)</f>
        <v>-6.5</v>
      </c>
      <c r="D165" s="11">
        <f>_xlfn.XLOOKUP($A165,'Conical section geometry'!$B$11:$B$17,'Conical section geometry'!$D$11:$D$17,"XXXX",0,1)</f>
        <v>-20.786000000000001</v>
      </c>
      <c r="E165" s="11" cm="1">
        <f t="array" aca="1" ref="E165" ca="1">_xlfn.XLOOKUP($B165,    INDIRECT("'" &amp; $C$3 &amp; "'!$A$20:$A$219"),    _xlfn.XLOOKUP(E$18,INDIRECT("'" &amp; $C$3 &amp; "'!$B$18:$X$18"), INDIRECT("'" &amp; $C$3 &amp; "'!$B$20:$X$219"),"XXXXX",0,1),    "XX",    0,    1)</f>
        <v>8</v>
      </c>
      <c r="F165" s="11" cm="1">
        <f t="array" aca="1" ref="F165" ca="1">_xlfn.XLOOKUP($B165,    INDIRECT("'" &amp; $C$3 &amp; "'!$A$20:$A$219"),    _xlfn.XLOOKUP(F$18,INDIRECT("'" &amp; $C$3 &amp; "'!$B$18:$X$18"), INDIRECT("'" &amp; $C$3 &amp; "'!$B$20:$X$219"),"XXXXX",0,1),    "XX",    0,    1)</f>
        <v>10.5</v>
      </c>
      <c r="G165" s="11">
        <f>_xlfn.XLOOKUP($A165,'Conical section geometry'!$B$11:$B$17,'Conical section geometry'!$E$11:$E$17,"XXXX",0,1)</f>
        <v>-174.996500069999</v>
      </c>
      <c r="H165" s="11" cm="1">
        <f t="array" aca="1" ref="H165" ca="1">_xlfn.XLOOKUP($B165,    INDIRECT("'" &amp; $C$3 &amp; "'!$A$20:$A$219"),    _xlfn.XLOOKUP(H$18,INDIRECT("'" &amp; $C$3 &amp; "'!$B$18:$X$18"), INDIRECT("'" &amp; $C$3 &amp; "'!$B$20:$X$219"),"XXXXX",0,1),    "XX",    0,    1)</f>
        <v>-39.799999999999997</v>
      </c>
      <c r="I165" s="11" cm="1">
        <f t="array" aca="1" ref="I165" ca="1">_xlfn.XLOOKUP($B165,    INDIRECT("'" &amp; $C$3 &amp; "'!$A$20:$A$219"),    _xlfn.XLOOKUP(I$18,INDIRECT("'" &amp; $C$3 &amp; "'!$B$18:$X$18"), INDIRECT("'" &amp; $C$3 &amp; "'!$B$20:$X$219"),"XXXXX",0,1),    "XX",    0,    1)</f>
        <v>93.2</v>
      </c>
      <c r="J165" s="11">
        <f t="shared" si="32"/>
        <v>31.9</v>
      </c>
      <c r="K165" s="11">
        <f t="shared" si="33"/>
        <v>14.286000000000001</v>
      </c>
      <c r="L165" s="11">
        <f t="shared" si="34"/>
        <v>46.186</v>
      </c>
      <c r="M165" s="11" cm="1">
        <f t="array" aca="1" ref="M165" ca="1">_xlfn.XLOOKUP($B165,    INDIRECT("'" &amp; $C$3 &amp; "'!$A$20:$A$219"),    _xlfn.XLOOKUP(M$18,INDIRECT("'" &amp; $C$3 &amp; "'!$B$18:$X$18"), INDIRECT("'" &amp; $C$3 &amp; "'!$B$20:$X$219"),"XXXXX",0,1),    "XX",    0,    1)</f>
        <v>28</v>
      </c>
      <c r="N165" s="11">
        <f t="shared" ca="1" si="35"/>
        <v>21.500000000000007</v>
      </c>
      <c r="O165" s="4">
        <f t="shared" ca="1" si="36"/>
        <v>7.2140000000000057</v>
      </c>
      <c r="P165" s="11">
        <v>16.357040000000016</v>
      </c>
      <c r="Q165" s="11">
        <f t="shared" ca="1" si="37"/>
        <v>37.042959999999994</v>
      </c>
      <c r="R165" s="11" t="str">
        <f t="shared" ca="1" si="38"/>
        <v>conical</v>
      </c>
      <c r="S165" s="13">
        <f t="shared" ca="1" si="39"/>
        <v>8.9000000000000021</v>
      </c>
      <c r="T165" s="13"/>
    </row>
    <row r="166" spans="1:20" x14ac:dyDescent="0.2">
      <c r="A166" s="11" t="s">
        <v>3</v>
      </c>
      <c r="B166" s="11" t="s">
        <v>133</v>
      </c>
      <c r="C166" s="11">
        <f>_xlfn.XLOOKUP($A166,'Conical section geometry'!$B$11:$B$17,'Conical section geometry'!$C$11:$C$17,"XXXX",0,1)</f>
        <v>-6.5</v>
      </c>
      <c r="D166" s="11">
        <f>_xlfn.XLOOKUP($A166,'Conical section geometry'!$B$11:$B$17,'Conical section geometry'!$D$11:$D$17,"XXXX",0,1)</f>
        <v>-17.928999999999998</v>
      </c>
      <c r="E166" s="11" cm="1">
        <f t="array" aca="1" ref="E166" ca="1">_xlfn.XLOOKUP($B166,    INDIRECT("'" &amp; $C$3 &amp; "'!$A$20:$A$219"),    _xlfn.XLOOKUP(E$18,INDIRECT("'" &amp; $C$3 &amp; "'!$B$18:$X$18"), INDIRECT("'" &amp; $C$3 &amp; "'!$B$20:$X$219"),"XXXXX",0,1),    "XX",    0,    1)</f>
        <v>8</v>
      </c>
      <c r="F166" s="11" cm="1">
        <f t="array" aca="1" ref="F166" ca="1">_xlfn.XLOOKUP($B166,    INDIRECT("'" &amp; $C$3 &amp; "'!$A$20:$A$219"),    _xlfn.XLOOKUP(F$18,INDIRECT("'" &amp; $C$3 &amp; "'!$B$18:$X$18"), INDIRECT("'" &amp; $C$3 &amp; "'!$B$20:$X$219"),"XXXXX",0,1),    "XX",    0,    1)</f>
        <v>10</v>
      </c>
      <c r="G166" s="11">
        <f>_xlfn.XLOOKUP($A166,'Conical section geometry'!$B$11:$B$17,'Conical section geometry'!$E$11:$E$17,"XXXX",0,1)</f>
        <v>-174.99340000000001</v>
      </c>
      <c r="H166" s="11" cm="1">
        <f t="array" aca="1" ref="H166" ca="1">_xlfn.XLOOKUP($B166,    INDIRECT("'" &amp; $C$3 &amp; "'!$A$20:$A$219"),    _xlfn.XLOOKUP(H$18,INDIRECT("'" &amp; $C$3 &amp; "'!$B$18:$X$18"), INDIRECT("'" &amp; $C$3 &amp; "'!$B$20:$X$219"),"XXXXX",0,1),    "XX",    0,    1)</f>
        <v>-31.9</v>
      </c>
      <c r="I166" s="11" cm="1">
        <f t="array" aca="1" ref="I166" ca="1">_xlfn.XLOOKUP($B166,    INDIRECT("'" &amp; $C$3 &amp; "'!$A$20:$A$219"),    _xlfn.XLOOKUP(I$18,INDIRECT("'" &amp; $C$3 &amp; "'!$B$18:$X$18"), INDIRECT("'" &amp; $C$3 &amp; "'!$B$20:$X$219"),"XXXXX",0,1),    "XX",    0,    1)</f>
        <v>85.3</v>
      </c>
      <c r="J166" s="11">
        <f t="shared" si="32"/>
        <v>31.9</v>
      </c>
      <c r="K166" s="11">
        <f t="shared" si="33"/>
        <v>11.428999999999998</v>
      </c>
      <c r="L166" s="11">
        <f t="shared" si="34"/>
        <v>43.328999999999994</v>
      </c>
      <c r="M166" s="11" cm="1">
        <f t="array" aca="1" ref="M166" ca="1">_xlfn.XLOOKUP($B166,    INDIRECT("'" &amp; $C$3 &amp; "'!$A$20:$A$219"),    _xlfn.XLOOKUP(M$18,INDIRECT("'" &amp; $C$3 &amp; "'!$B$18:$X$18"), INDIRECT("'" &amp; $C$3 &amp; "'!$B$20:$X$219"),"XXXXX",0,1),    "XX",    0,    1)</f>
        <v>28</v>
      </c>
      <c r="N166" s="11">
        <f t="shared" ca="1" si="35"/>
        <v>21.5</v>
      </c>
      <c r="O166" s="4">
        <f t="shared" ca="1" si="36"/>
        <v>10.071000000000005</v>
      </c>
      <c r="P166" s="11">
        <v>16.356948890643871</v>
      </c>
      <c r="Q166" s="11">
        <f t="shared" ca="1" si="37"/>
        <v>37.043051109356128</v>
      </c>
      <c r="R166" s="11" t="str">
        <f t="shared" ca="1" si="38"/>
        <v>conical</v>
      </c>
      <c r="S166" s="13">
        <f t="shared" ca="1" si="39"/>
        <v>8.9</v>
      </c>
      <c r="T166" s="13"/>
    </row>
    <row r="167" spans="1:20" x14ac:dyDescent="0.2">
      <c r="A167" s="11" t="s">
        <v>3</v>
      </c>
      <c r="B167" s="11" t="s">
        <v>33</v>
      </c>
      <c r="C167" s="11">
        <f>_xlfn.XLOOKUP($A167,'Conical section geometry'!$B$11:$B$17,'Conical section geometry'!$C$11:$C$17,"XXXX",0,1)</f>
        <v>-6.5</v>
      </c>
      <c r="D167" s="11">
        <f>_xlfn.XLOOKUP($A167,'Conical section geometry'!$B$11:$B$17,'Conical section geometry'!$D$11:$D$17,"XXXX",0,1)</f>
        <v>-17.928999999999998</v>
      </c>
      <c r="E167" s="11" cm="1">
        <f t="array" aca="1" ref="E167" ca="1">_xlfn.XLOOKUP($B167,    INDIRECT("'" &amp; $C$3 &amp; "'!$A$20:$A$219"),    _xlfn.XLOOKUP(E$18,INDIRECT("'" &amp; $C$3 &amp; "'!$B$18:$X$18"), INDIRECT("'" &amp; $C$3 &amp; "'!$B$20:$X$219"),"XXXXX",0,1),    "XX",    0,    1)</f>
        <v>8</v>
      </c>
      <c r="F167" s="11" cm="1">
        <f t="array" aca="1" ref="F167" ca="1">_xlfn.XLOOKUP($B167,    INDIRECT("'" &amp; $C$3 &amp; "'!$A$20:$A$219"),    _xlfn.XLOOKUP(F$18,INDIRECT("'" &amp; $C$3 &amp; "'!$B$18:$X$18"), INDIRECT("'" &amp; $C$3 &amp; "'!$B$20:$X$219"),"XXXXX",0,1),    "XX",    0,    1)</f>
        <v>10</v>
      </c>
      <c r="G167" s="11">
        <f>_xlfn.XLOOKUP($A167,'Conical section geometry'!$B$11:$B$17,'Conical section geometry'!$E$11:$E$17,"XXXX",0,1)</f>
        <v>-174.99340000000001</v>
      </c>
      <c r="H167" s="11" cm="1">
        <f t="array" aca="1" ref="H167" ca="1">_xlfn.XLOOKUP($B167,    INDIRECT("'" &amp; $C$3 &amp; "'!$A$20:$A$219"),    _xlfn.XLOOKUP(H$18,INDIRECT("'" &amp; $C$3 &amp; "'!$B$18:$X$18"), INDIRECT("'" &amp; $C$3 &amp; "'!$B$20:$X$219"),"XXXXX",0,1),    "XX",    0,    1)</f>
        <v>-38.200000000000003</v>
      </c>
      <c r="I167" s="11" cm="1">
        <f t="array" aca="1" ref="I167" ca="1">_xlfn.XLOOKUP($B167,    INDIRECT("'" &amp; $C$3 &amp; "'!$A$20:$A$219"),    _xlfn.XLOOKUP(I$18,INDIRECT("'" &amp; $C$3 &amp; "'!$B$18:$X$18"), INDIRECT("'" &amp; $C$3 &amp; "'!$B$20:$X$219"),"XXXXX",0,1),    "XX",    0,    1)</f>
        <v>91.6</v>
      </c>
      <c r="J167" s="11">
        <f t="shared" si="32"/>
        <v>31.9</v>
      </c>
      <c r="K167" s="11">
        <f t="shared" si="33"/>
        <v>11.428999999999998</v>
      </c>
      <c r="L167" s="11">
        <f t="shared" si="34"/>
        <v>43.328999999999994</v>
      </c>
      <c r="M167" s="11" cm="1">
        <f t="array" aca="1" ref="M167" ca="1">_xlfn.XLOOKUP($B167,    INDIRECT("'" &amp; $C$3 &amp; "'!$A$20:$A$219"),    _xlfn.XLOOKUP(M$18,INDIRECT("'" &amp; $C$3 &amp; "'!$B$18:$X$18"), INDIRECT("'" &amp; $C$3 &amp; "'!$B$20:$X$219"),"XXXXX",0,1),    "XX",    0,    1)</f>
        <v>28</v>
      </c>
      <c r="N167" s="11">
        <f t="shared" ca="1" si="35"/>
        <v>21.499999999999993</v>
      </c>
      <c r="O167" s="4">
        <f t="shared" ca="1" si="36"/>
        <v>10.070999999999998</v>
      </c>
      <c r="P167" s="11">
        <v>16.356948890643871</v>
      </c>
      <c r="Q167" s="11">
        <f t="shared" ca="1" si="37"/>
        <v>37.043051109356121</v>
      </c>
      <c r="R167" s="11" t="str">
        <f t="shared" ca="1" si="38"/>
        <v>conical</v>
      </c>
      <c r="S167" s="13">
        <f t="shared" ca="1" si="39"/>
        <v>8.9</v>
      </c>
      <c r="T167" s="13"/>
    </row>
    <row r="168" spans="1:20" x14ac:dyDescent="0.2">
      <c r="A168" s="11" t="s">
        <v>3</v>
      </c>
      <c r="B168" s="11" t="s">
        <v>61</v>
      </c>
      <c r="C168" s="11">
        <f>_xlfn.XLOOKUP($A168,'Conical section geometry'!$B$11:$B$17,'Conical section geometry'!$C$11:$C$17,"XXXX",0,1)</f>
        <v>-6.5</v>
      </c>
      <c r="D168" s="11">
        <f>_xlfn.XLOOKUP($A168,'Conical section geometry'!$B$11:$B$17,'Conical section geometry'!$D$11:$D$17,"XXXX",0,1)</f>
        <v>-17.928999999999998</v>
      </c>
      <c r="E168" s="11" cm="1">
        <f t="array" aca="1" ref="E168" ca="1">_xlfn.XLOOKUP($B168,    INDIRECT("'" &amp; $C$3 &amp; "'!$A$20:$A$219"),    _xlfn.XLOOKUP(E$18,INDIRECT("'" &amp; $C$3 &amp; "'!$B$18:$X$18"), INDIRECT("'" &amp; $C$3 &amp; "'!$B$20:$X$219"),"XXXXX",0,1),    "XX",    0,    1)</f>
        <v>8</v>
      </c>
      <c r="F168" s="11" cm="1">
        <f t="array" aca="1" ref="F168" ca="1">_xlfn.XLOOKUP($B168,    INDIRECT("'" &amp; $C$3 &amp; "'!$A$20:$A$219"),    _xlfn.XLOOKUP(F$18,INDIRECT("'" &amp; $C$3 &amp; "'!$B$18:$X$18"), INDIRECT("'" &amp; $C$3 &amp; "'!$B$20:$X$219"),"XXXXX",0,1),    "XX",    0,    1)</f>
        <v>10</v>
      </c>
      <c r="G168" s="11">
        <f>_xlfn.XLOOKUP($A168,'Conical section geometry'!$B$11:$B$17,'Conical section geometry'!$E$11:$E$17,"XXXX",0,1)</f>
        <v>-174.99340000000001</v>
      </c>
      <c r="H168" s="11" cm="1">
        <f t="array" aca="1" ref="H168" ca="1">_xlfn.XLOOKUP($B168,    INDIRECT("'" &amp; $C$3 &amp; "'!$A$20:$A$219"),    _xlfn.XLOOKUP(H$18,INDIRECT("'" &amp; $C$3 &amp; "'!$B$18:$X$18"), INDIRECT("'" &amp; $C$3 &amp; "'!$B$20:$X$219"),"XXXXX",0,1),    "XX",    0,    1)</f>
        <v>-36.6</v>
      </c>
      <c r="I168" s="11" cm="1">
        <f t="array" aca="1" ref="I168" ca="1">_xlfn.XLOOKUP($B168,    INDIRECT("'" &amp; $C$3 &amp; "'!$A$20:$A$219"),    _xlfn.XLOOKUP(I$18,INDIRECT("'" &amp; $C$3 &amp; "'!$B$18:$X$18"), INDIRECT("'" &amp; $C$3 &amp; "'!$B$20:$X$219"),"XXXXX",0,1),    "XX",    0,    1)</f>
        <v>89.9</v>
      </c>
      <c r="J168" s="11">
        <f t="shared" si="32"/>
        <v>31.9</v>
      </c>
      <c r="K168" s="11">
        <f t="shared" si="33"/>
        <v>11.428999999999998</v>
      </c>
      <c r="L168" s="11">
        <f t="shared" si="34"/>
        <v>43.328999999999994</v>
      </c>
      <c r="M168" s="11" cm="1">
        <f t="array" aca="1" ref="M168" ca="1">_xlfn.XLOOKUP($B168,    INDIRECT("'" &amp; $C$3 &amp; "'!$A$20:$A$219"),    _xlfn.XLOOKUP(M$18,INDIRECT("'" &amp; $C$3 &amp; "'!$B$18:$X$18"), INDIRECT("'" &amp; $C$3 &amp; "'!$B$20:$X$219"),"XXXXX",0,1),    "XX",    0,    1)</f>
        <v>27.9</v>
      </c>
      <c r="N168" s="11">
        <f t="shared" ca="1" si="35"/>
        <v>21.400000000000006</v>
      </c>
      <c r="O168" s="4">
        <f t="shared" ca="1" si="36"/>
        <v>9.9710000000000107</v>
      </c>
      <c r="P168" s="11">
        <v>16.25694889064388</v>
      </c>
      <c r="Q168" s="11">
        <f t="shared" ca="1" si="37"/>
        <v>37.043051109356128</v>
      </c>
      <c r="R168" s="11" t="str">
        <f t="shared" ca="1" si="38"/>
        <v>conical</v>
      </c>
      <c r="S168" s="13">
        <f t="shared" ca="1" si="39"/>
        <v>8.9</v>
      </c>
      <c r="T168" s="13"/>
    </row>
    <row r="169" spans="1:20" x14ac:dyDescent="0.2">
      <c r="A169" s="11" t="s">
        <v>3</v>
      </c>
      <c r="B169" s="11" t="s">
        <v>44</v>
      </c>
      <c r="C169" s="11">
        <f>_xlfn.XLOOKUP($A169,'Conical section geometry'!$B$11:$B$17,'Conical section geometry'!$C$11:$C$17,"XXXX",0,1)</f>
        <v>-6.5</v>
      </c>
      <c r="D169" s="11">
        <f>_xlfn.XLOOKUP($A169,'Conical section geometry'!$B$11:$B$17,'Conical section geometry'!$D$11:$D$17,"XXXX",0,1)</f>
        <v>-17.928999999999998</v>
      </c>
      <c r="E169" s="11" cm="1">
        <f t="array" aca="1" ref="E169" ca="1">_xlfn.XLOOKUP($B169,    INDIRECT("'" &amp; $C$3 &amp; "'!$A$20:$A$219"),    _xlfn.XLOOKUP(E$18,INDIRECT("'" &amp; $C$3 &amp; "'!$B$18:$X$18"), INDIRECT("'" &amp; $C$3 &amp; "'!$B$20:$X$219"),"XXXXX",0,1),    "XX",    0,    1)</f>
        <v>8</v>
      </c>
      <c r="F169" s="11" cm="1">
        <f t="array" aca="1" ref="F169" ca="1">_xlfn.XLOOKUP($B169,    INDIRECT("'" &amp; $C$3 &amp; "'!$A$20:$A$219"),    _xlfn.XLOOKUP(F$18,INDIRECT("'" &amp; $C$3 &amp; "'!$B$18:$X$18"), INDIRECT("'" &amp; $C$3 &amp; "'!$B$20:$X$219"),"XXXXX",0,1),    "XX",    0,    1)</f>
        <v>10</v>
      </c>
      <c r="G169" s="11">
        <f>_xlfn.XLOOKUP($A169,'Conical section geometry'!$B$11:$B$17,'Conical section geometry'!$E$11:$E$17,"XXXX",0,1)</f>
        <v>-174.99340000000001</v>
      </c>
      <c r="H169" s="11" cm="1">
        <f t="array" aca="1" ref="H169" ca="1">_xlfn.XLOOKUP($B169,    INDIRECT("'" &amp; $C$3 &amp; "'!$A$20:$A$219"),    _xlfn.XLOOKUP(H$18,INDIRECT("'" &amp; $C$3 &amp; "'!$B$18:$X$18"), INDIRECT("'" &amp; $C$3 &amp; "'!$B$20:$X$219"),"XXXXX",0,1),    "XX",    0,    1)</f>
        <v>-37.4</v>
      </c>
      <c r="I169" s="11" cm="1">
        <f t="array" aca="1" ref="I169" ca="1">_xlfn.XLOOKUP($B169,    INDIRECT("'" &amp; $C$3 &amp; "'!$A$20:$A$219"),    _xlfn.XLOOKUP(I$18,INDIRECT("'" &amp; $C$3 &amp; "'!$B$18:$X$18"), INDIRECT("'" &amp; $C$3 &amp; "'!$B$20:$X$219"),"XXXXX",0,1),    "XX",    0,    1)</f>
        <v>90.7</v>
      </c>
      <c r="J169" s="11">
        <f t="shared" si="32"/>
        <v>31.9</v>
      </c>
      <c r="K169" s="11">
        <f t="shared" si="33"/>
        <v>11.428999999999998</v>
      </c>
      <c r="L169" s="11">
        <f t="shared" si="34"/>
        <v>43.328999999999994</v>
      </c>
      <c r="M169" s="11" cm="1">
        <f t="array" aca="1" ref="M169" ca="1">_xlfn.XLOOKUP($B169,    INDIRECT("'" &amp; $C$3 &amp; "'!$A$20:$A$219"),    _xlfn.XLOOKUP(M$18,INDIRECT("'" &amp; $C$3 &amp; "'!$B$18:$X$18"), INDIRECT("'" &amp; $C$3 &amp; "'!$B$20:$X$219"),"XXXXX",0,1),    "XX",    0,    1)</f>
        <v>27.9</v>
      </c>
      <c r="N169" s="11">
        <f t="shared" ca="1" si="35"/>
        <v>21.400000000000006</v>
      </c>
      <c r="O169" s="4">
        <f t="shared" ca="1" si="36"/>
        <v>9.9710000000000107</v>
      </c>
      <c r="P169" s="11">
        <v>16.25694889064388</v>
      </c>
      <c r="Q169" s="11">
        <f t="shared" ca="1" si="37"/>
        <v>37.043051109356128</v>
      </c>
      <c r="R169" s="11" t="str">
        <f t="shared" ca="1" si="38"/>
        <v>conical</v>
      </c>
      <c r="S169" s="13">
        <f t="shared" ca="1" si="39"/>
        <v>8.9</v>
      </c>
      <c r="T169" s="13"/>
    </row>
    <row r="170" spans="1:20" x14ac:dyDescent="0.2">
      <c r="A170" s="11" t="s">
        <v>3</v>
      </c>
      <c r="B170" s="11" t="s">
        <v>117</v>
      </c>
      <c r="C170" s="11">
        <f>_xlfn.XLOOKUP($A170,'Conical section geometry'!$B$11:$B$17,'Conical section geometry'!$C$11:$C$17,"XXXX",0,1)</f>
        <v>-6.5</v>
      </c>
      <c r="D170" s="11">
        <f>_xlfn.XLOOKUP($A170,'Conical section geometry'!$B$11:$B$17,'Conical section geometry'!$D$11:$D$17,"XXXX",0,1)</f>
        <v>-17.928999999999998</v>
      </c>
      <c r="E170" s="11" cm="1">
        <f t="array" aca="1" ref="E170" ca="1">_xlfn.XLOOKUP($B170,    INDIRECT("'" &amp; $C$3 &amp; "'!$A$20:$A$219"),    _xlfn.XLOOKUP(E$18,INDIRECT("'" &amp; $C$3 &amp; "'!$B$18:$X$18"), INDIRECT("'" &amp; $C$3 &amp; "'!$B$20:$X$219"),"XXXXX",0,1),    "XX",    0,    1)</f>
        <v>8</v>
      </c>
      <c r="F170" s="11" cm="1">
        <f t="array" aca="1" ref="F170" ca="1">_xlfn.XLOOKUP($B170,    INDIRECT("'" &amp; $C$3 &amp; "'!$A$20:$A$219"),    _xlfn.XLOOKUP(F$18,INDIRECT("'" &amp; $C$3 &amp; "'!$B$18:$X$18"), INDIRECT("'" &amp; $C$3 &amp; "'!$B$20:$X$219"),"XXXXX",0,1),    "XX",    0,    1)</f>
        <v>10</v>
      </c>
      <c r="G170" s="11">
        <f>_xlfn.XLOOKUP($A170,'Conical section geometry'!$B$11:$B$17,'Conical section geometry'!$E$11:$E$17,"XXXX",0,1)</f>
        <v>-174.99340000000001</v>
      </c>
      <c r="H170" s="11" cm="1">
        <f t="array" aca="1" ref="H170" ca="1">_xlfn.XLOOKUP($B170,    INDIRECT("'" &amp; $C$3 &amp; "'!$A$20:$A$219"),    _xlfn.XLOOKUP(H$18,INDIRECT("'" &amp; $C$3 &amp; "'!$B$18:$X$18"), INDIRECT("'" &amp; $C$3 &amp; "'!$B$20:$X$219"),"XXXXX",0,1),    "XX",    0,    1)</f>
        <v>-33.700000000000003</v>
      </c>
      <c r="I170" s="11" cm="1">
        <f t="array" aca="1" ref="I170" ca="1">_xlfn.XLOOKUP($B170,    INDIRECT("'" &amp; $C$3 &amp; "'!$A$20:$A$219"),    _xlfn.XLOOKUP(I$18,INDIRECT("'" &amp; $C$3 &amp; "'!$B$18:$X$18"), INDIRECT("'" &amp; $C$3 &amp; "'!$B$20:$X$219"),"XXXXX",0,1),    "XX",    0,    1)</f>
        <v>86.9</v>
      </c>
      <c r="J170" s="11">
        <f t="shared" si="32"/>
        <v>31.9</v>
      </c>
      <c r="K170" s="11">
        <f t="shared" si="33"/>
        <v>11.428999999999998</v>
      </c>
      <c r="L170" s="11">
        <f t="shared" si="34"/>
        <v>43.328999999999994</v>
      </c>
      <c r="M170" s="11" cm="1">
        <f t="array" aca="1" ref="M170" ca="1">_xlfn.XLOOKUP($B170,    INDIRECT("'" &amp; $C$3 &amp; "'!$A$20:$A$219"),    _xlfn.XLOOKUP(M$18,INDIRECT("'" &amp; $C$3 &amp; "'!$B$18:$X$18"), INDIRECT("'" &amp; $C$3 &amp; "'!$B$20:$X$219"),"XXXXX",0,1),    "XX",    0,    1)</f>
        <v>27.8</v>
      </c>
      <c r="N170" s="11">
        <f t="shared" ca="1" si="35"/>
        <v>21.300000000000004</v>
      </c>
      <c r="O170" s="4">
        <f t="shared" ca="1" si="36"/>
        <v>9.8710000000000093</v>
      </c>
      <c r="P170" s="11">
        <v>16.156948890643879</v>
      </c>
      <c r="Q170" s="11">
        <f t="shared" ca="1" si="37"/>
        <v>37.043051109356128</v>
      </c>
      <c r="R170" s="11" t="str">
        <f t="shared" ca="1" si="38"/>
        <v>conical</v>
      </c>
      <c r="S170" s="13">
        <f t="shared" ca="1" si="39"/>
        <v>8.9</v>
      </c>
      <c r="T170" s="13"/>
    </row>
    <row r="171" spans="1:20" x14ac:dyDescent="0.2">
      <c r="A171" s="11" t="s">
        <v>3</v>
      </c>
      <c r="B171" s="11" t="s">
        <v>119</v>
      </c>
      <c r="C171" s="11">
        <f>_xlfn.XLOOKUP($A171,'Conical section geometry'!$B$11:$B$17,'Conical section geometry'!$C$11:$C$17,"XXXX",0,1)</f>
        <v>-6.5</v>
      </c>
      <c r="D171" s="11">
        <f>_xlfn.XLOOKUP($A171,'Conical section geometry'!$B$11:$B$17,'Conical section geometry'!$D$11:$D$17,"XXXX",0,1)</f>
        <v>-17.928999999999998</v>
      </c>
      <c r="E171" s="11" cm="1">
        <f t="array" aca="1" ref="E171" ca="1">_xlfn.XLOOKUP($B171,    INDIRECT("'" &amp; $C$3 &amp; "'!$A$20:$A$219"),    _xlfn.XLOOKUP(E$18,INDIRECT("'" &amp; $C$3 &amp; "'!$B$18:$X$18"), INDIRECT("'" &amp; $C$3 &amp; "'!$B$20:$X$219"),"XXXXX",0,1),    "XX",    0,    1)</f>
        <v>8</v>
      </c>
      <c r="F171" s="11" cm="1">
        <f t="array" aca="1" ref="F171" ca="1">_xlfn.XLOOKUP($B171,    INDIRECT("'" &amp; $C$3 &amp; "'!$A$20:$A$219"),    _xlfn.XLOOKUP(F$18,INDIRECT("'" &amp; $C$3 &amp; "'!$B$18:$X$18"), INDIRECT("'" &amp; $C$3 &amp; "'!$B$20:$X$219"),"XXXXX",0,1),    "XX",    0,    1)</f>
        <v>10</v>
      </c>
      <c r="G171" s="11">
        <f>_xlfn.XLOOKUP($A171,'Conical section geometry'!$B$11:$B$17,'Conical section geometry'!$E$11:$E$17,"XXXX",0,1)</f>
        <v>-174.99340000000001</v>
      </c>
      <c r="H171" s="11" cm="1">
        <f t="array" aca="1" ref="H171" ca="1">_xlfn.XLOOKUP($B171,    INDIRECT("'" &amp; $C$3 &amp; "'!$A$20:$A$219"),    _xlfn.XLOOKUP(H$18,INDIRECT("'" &amp; $C$3 &amp; "'!$B$18:$X$18"), INDIRECT("'" &amp; $C$3 &amp; "'!$B$20:$X$219"),"XXXXX",0,1),    "XX",    0,    1)</f>
        <v>-33.799999999999997</v>
      </c>
      <c r="I171" s="11" cm="1">
        <f t="array" aca="1" ref="I171" ca="1">_xlfn.XLOOKUP($B171,    INDIRECT("'" &amp; $C$3 &amp; "'!$A$20:$A$219"),    _xlfn.XLOOKUP(I$18,INDIRECT("'" &amp; $C$3 &amp; "'!$B$18:$X$18"), INDIRECT("'" &amp; $C$3 &amp; "'!$B$20:$X$219"),"XXXXX",0,1),    "XX",    0,    1)</f>
        <v>86.9</v>
      </c>
      <c r="J171" s="11">
        <f t="shared" si="32"/>
        <v>31.9</v>
      </c>
      <c r="K171" s="11">
        <f t="shared" si="33"/>
        <v>11.428999999999998</v>
      </c>
      <c r="L171" s="11">
        <f t="shared" si="34"/>
        <v>43.328999999999994</v>
      </c>
      <c r="M171" s="11" cm="1">
        <f t="array" aca="1" ref="M171" ca="1">_xlfn.XLOOKUP($B171,    INDIRECT("'" &amp; $C$3 &amp; "'!$A$20:$A$219"),    _xlfn.XLOOKUP(M$18,INDIRECT("'" &amp; $C$3 &amp; "'!$B$18:$X$18"), INDIRECT("'" &amp; $C$3 &amp; "'!$B$20:$X$219"),"XXXXX",0,1),    "XX",    0,    1)</f>
        <v>27.7</v>
      </c>
      <c r="N171" s="11">
        <f t="shared" ca="1" si="35"/>
        <v>21.20000000000001</v>
      </c>
      <c r="O171" s="4">
        <f t="shared" ca="1" si="36"/>
        <v>9.771000000000015</v>
      </c>
      <c r="P171" s="11">
        <v>16.056948890643888</v>
      </c>
      <c r="Q171" s="11">
        <f t="shared" ca="1" si="37"/>
        <v>37.043051109356121</v>
      </c>
      <c r="R171" s="11" t="str">
        <f t="shared" ca="1" si="38"/>
        <v>conical</v>
      </c>
      <c r="S171" s="13">
        <f t="shared" ca="1" si="39"/>
        <v>8.9</v>
      </c>
      <c r="T171" s="13"/>
    </row>
    <row r="172" spans="1:20" x14ac:dyDescent="0.2">
      <c r="A172" s="11" t="s">
        <v>4</v>
      </c>
      <c r="B172" s="11" t="s">
        <v>187</v>
      </c>
      <c r="C172" s="11">
        <f>_xlfn.XLOOKUP($A172,'Conical section geometry'!$B$11:$B$17,'Conical section geometry'!$C$11:$C$17,"XXXX",0,1)</f>
        <v>-6.5</v>
      </c>
      <c r="D172" s="11">
        <f>_xlfn.XLOOKUP($A172,'Conical section geometry'!$B$11:$B$17,'Conical section geometry'!$D$11:$D$17,"XXXX",0,1)</f>
        <v>-20.786000000000001</v>
      </c>
      <c r="E172" s="11" cm="1">
        <f t="array" aca="1" ref="E172" ca="1">_xlfn.XLOOKUP($B172,    INDIRECT("'" &amp; $C$3 &amp; "'!$A$20:$A$219"),    _xlfn.XLOOKUP(E$18,INDIRECT("'" &amp; $C$3 &amp; "'!$B$18:$X$18"), INDIRECT("'" &amp; $C$3 &amp; "'!$B$20:$X$219"),"XXXXX",0,1),    "XX",    0,    1)</f>
        <v>8</v>
      </c>
      <c r="F172" s="11" cm="1">
        <f t="array" aca="1" ref="F172" ca="1">_xlfn.XLOOKUP($B172,    INDIRECT("'" &amp; $C$3 &amp; "'!$A$20:$A$219"),    _xlfn.XLOOKUP(F$18,INDIRECT("'" &amp; $C$3 &amp; "'!$B$18:$X$18"), INDIRECT("'" &amp; $C$3 &amp; "'!$B$20:$X$219"),"XXXXX",0,1),    "XX",    0,    1)</f>
        <v>10.5</v>
      </c>
      <c r="G172" s="11">
        <f>_xlfn.XLOOKUP($A172,'Conical section geometry'!$B$11:$B$17,'Conical section geometry'!$E$11:$E$17,"XXXX",0,1)</f>
        <v>-174.996500069999</v>
      </c>
      <c r="H172" s="11" cm="1">
        <f t="array" aca="1" ref="H172" ca="1">_xlfn.XLOOKUP($B172,    INDIRECT("'" &amp; $C$3 &amp; "'!$A$20:$A$219"),    _xlfn.XLOOKUP(H$18,INDIRECT("'" &amp; $C$3 &amp; "'!$B$18:$X$18"), INDIRECT("'" &amp; $C$3 &amp; "'!$B$20:$X$219"),"XXXXX",0,1),    "XX",    0,    1)</f>
        <v>-37.4</v>
      </c>
      <c r="I172" s="11" cm="1">
        <f t="array" aca="1" ref="I172" ca="1">_xlfn.XLOOKUP($B172,    INDIRECT("'" &amp; $C$3 &amp; "'!$A$20:$A$219"),    _xlfn.XLOOKUP(I$18,INDIRECT("'" &amp; $C$3 &amp; "'!$B$18:$X$18"), INDIRECT("'" &amp; $C$3 &amp; "'!$B$20:$X$219"),"XXXXX",0,1),    "XX",    0,    1)</f>
        <v>90.4</v>
      </c>
      <c r="J172" s="11">
        <f t="shared" si="32"/>
        <v>31.9</v>
      </c>
      <c r="K172" s="11">
        <f t="shared" si="33"/>
        <v>14.286000000000001</v>
      </c>
      <c r="L172" s="11">
        <f t="shared" si="34"/>
        <v>46.186</v>
      </c>
      <c r="M172" s="11" cm="1">
        <f t="array" aca="1" ref="M172" ca="1">_xlfn.XLOOKUP($B172,    INDIRECT("'" &amp; $C$3 &amp; "'!$A$20:$A$219"),    _xlfn.XLOOKUP(M$18,INDIRECT("'" &amp; $C$3 &amp; "'!$B$18:$X$18"), INDIRECT("'" &amp; $C$3 &amp; "'!$B$20:$X$219"),"XXXXX",0,1),    "XX",    0,    1)</f>
        <v>27.6</v>
      </c>
      <c r="N172" s="11">
        <f t="shared" ca="1" si="35"/>
        <v>21.100000000000009</v>
      </c>
      <c r="O172" s="4">
        <f t="shared" ca="1" si="36"/>
        <v>6.8140000000000072</v>
      </c>
      <c r="P172" s="11">
        <v>15.957040000000015</v>
      </c>
      <c r="Q172" s="11">
        <f t="shared" ca="1" si="37"/>
        <v>37.042959999999994</v>
      </c>
      <c r="R172" s="11" t="str">
        <f t="shared" ca="1" si="38"/>
        <v>conical</v>
      </c>
      <c r="S172" s="13">
        <f t="shared" ca="1" si="39"/>
        <v>8.9000000000000021</v>
      </c>
      <c r="T172" s="13"/>
    </row>
    <row r="173" spans="1:20" x14ac:dyDescent="0.2">
      <c r="A173" s="11" t="s">
        <v>4</v>
      </c>
      <c r="B173" s="11" t="s">
        <v>185</v>
      </c>
      <c r="C173" s="11">
        <f>_xlfn.XLOOKUP($A173,'Conical section geometry'!$B$11:$B$17,'Conical section geometry'!$C$11:$C$17,"XXXX",0,1)</f>
        <v>-6.5</v>
      </c>
      <c r="D173" s="11">
        <f>_xlfn.XLOOKUP($A173,'Conical section geometry'!$B$11:$B$17,'Conical section geometry'!$D$11:$D$17,"XXXX",0,1)</f>
        <v>-20.786000000000001</v>
      </c>
      <c r="E173" s="11" cm="1">
        <f t="array" aca="1" ref="E173" ca="1">_xlfn.XLOOKUP($B173,    INDIRECT("'" &amp; $C$3 &amp; "'!$A$20:$A$219"),    _xlfn.XLOOKUP(E$18,INDIRECT("'" &amp; $C$3 &amp; "'!$B$18:$X$18"), INDIRECT("'" &amp; $C$3 &amp; "'!$B$20:$X$219"),"XXXXX",0,1),    "XX",    0,    1)</f>
        <v>8</v>
      </c>
      <c r="F173" s="11" cm="1">
        <f t="array" aca="1" ref="F173" ca="1">_xlfn.XLOOKUP($B173,    INDIRECT("'" &amp; $C$3 &amp; "'!$A$20:$A$219"),    _xlfn.XLOOKUP(F$18,INDIRECT("'" &amp; $C$3 &amp; "'!$B$18:$X$18"), INDIRECT("'" &amp; $C$3 &amp; "'!$B$20:$X$219"),"XXXXX",0,1),    "XX",    0,    1)</f>
        <v>10.5</v>
      </c>
      <c r="G173" s="11">
        <f>_xlfn.XLOOKUP($A173,'Conical section geometry'!$B$11:$B$17,'Conical section geometry'!$E$11:$E$17,"XXXX",0,1)</f>
        <v>-174.996500069999</v>
      </c>
      <c r="H173" s="11" cm="1">
        <f t="array" aca="1" ref="H173" ca="1">_xlfn.XLOOKUP($B173,    INDIRECT("'" &amp; $C$3 &amp; "'!$A$20:$A$219"),    _xlfn.XLOOKUP(H$18,INDIRECT("'" &amp; $C$3 &amp; "'!$B$18:$X$18"), INDIRECT("'" &amp; $C$3 &amp; "'!$B$20:$X$219"),"XXXXX",0,1),    "XX",    0,    1)</f>
        <v>-38.9</v>
      </c>
      <c r="I173" s="11" cm="1">
        <f t="array" aca="1" ref="I173" ca="1">_xlfn.XLOOKUP($B173,    INDIRECT("'" &amp; $C$3 &amp; "'!$A$20:$A$219"),    _xlfn.XLOOKUP(I$18,INDIRECT("'" &amp; $C$3 &amp; "'!$B$18:$X$18"), INDIRECT("'" &amp; $C$3 &amp; "'!$B$20:$X$219"),"XXXXX",0,1),    "XX",    0,    1)</f>
        <v>91.9</v>
      </c>
      <c r="J173" s="11">
        <f t="shared" si="32"/>
        <v>31.9</v>
      </c>
      <c r="K173" s="11">
        <f t="shared" si="33"/>
        <v>14.286000000000001</v>
      </c>
      <c r="L173" s="11">
        <f t="shared" si="34"/>
        <v>46.186</v>
      </c>
      <c r="M173" s="11" cm="1">
        <f t="array" aca="1" ref="M173" ca="1">_xlfn.XLOOKUP($B173,    INDIRECT("'" &amp; $C$3 &amp; "'!$A$20:$A$219"),    _xlfn.XLOOKUP(M$18,INDIRECT("'" &amp; $C$3 &amp; "'!$B$18:$X$18"), INDIRECT("'" &amp; $C$3 &amp; "'!$B$20:$X$219"),"XXXXX",0,1),    "XX",    0,    1)</f>
        <v>27.6</v>
      </c>
      <c r="N173" s="11">
        <f t="shared" ca="1" si="35"/>
        <v>21.100000000000009</v>
      </c>
      <c r="O173" s="4">
        <f t="shared" ca="1" si="36"/>
        <v>6.8140000000000072</v>
      </c>
      <c r="P173" s="11">
        <v>15.957040000000017</v>
      </c>
      <c r="Q173" s="11">
        <f t="shared" ca="1" si="37"/>
        <v>37.042959999999994</v>
      </c>
      <c r="R173" s="11" t="str">
        <f t="shared" ca="1" si="38"/>
        <v>conical</v>
      </c>
      <c r="S173" s="13">
        <f t="shared" ca="1" si="39"/>
        <v>8.9000000000000021</v>
      </c>
      <c r="T173" s="13"/>
    </row>
    <row r="174" spans="1:20" x14ac:dyDescent="0.2">
      <c r="A174" s="11" t="s">
        <v>3</v>
      </c>
      <c r="B174" s="11" t="s">
        <v>110</v>
      </c>
      <c r="C174" s="11">
        <f>_xlfn.XLOOKUP($A174,'Conical section geometry'!$B$11:$B$17,'Conical section geometry'!$C$11:$C$17,"XXXX",0,1)</f>
        <v>-6.5</v>
      </c>
      <c r="D174" s="11">
        <f>_xlfn.XLOOKUP($A174,'Conical section geometry'!$B$11:$B$17,'Conical section geometry'!$D$11:$D$17,"XXXX",0,1)</f>
        <v>-17.928999999999998</v>
      </c>
      <c r="E174" s="11" cm="1">
        <f t="array" aca="1" ref="E174" ca="1">_xlfn.XLOOKUP($B174,    INDIRECT("'" &amp; $C$3 &amp; "'!$A$20:$A$219"),    _xlfn.XLOOKUP(E$18,INDIRECT("'" &amp; $C$3 &amp; "'!$B$18:$X$18"), INDIRECT("'" &amp; $C$3 &amp; "'!$B$20:$X$219"),"XXXXX",0,1),    "XX",    0,    1)</f>
        <v>8</v>
      </c>
      <c r="F174" s="11" cm="1">
        <f t="array" aca="1" ref="F174" ca="1">_xlfn.XLOOKUP($B174,    INDIRECT("'" &amp; $C$3 &amp; "'!$A$20:$A$219"),    _xlfn.XLOOKUP(F$18,INDIRECT("'" &amp; $C$3 &amp; "'!$B$18:$X$18"), INDIRECT("'" &amp; $C$3 &amp; "'!$B$20:$X$219"),"XXXXX",0,1),    "XX",    0,    1)</f>
        <v>10</v>
      </c>
      <c r="G174" s="11">
        <f>_xlfn.XLOOKUP($A174,'Conical section geometry'!$B$11:$B$17,'Conical section geometry'!$E$11:$E$17,"XXXX",0,1)</f>
        <v>-174.99340000000001</v>
      </c>
      <c r="H174" s="11" cm="1">
        <f t="array" aca="1" ref="H174" ca="1">_xlfn.XLOOKUP($B174,    INDIRECT("'" &amp; $C$3 &amp; "'!$A$20:$A$219"),    _xlfn.XLOOKUP(H$18,INDIRECT("'" &amp; $C$3 &amp; "'!$B$18:$X$18"), INDIRECT("'" &amp; $C$3 &amp; "'!$B$20:$X$219"),"XXXXX",0,1),    "XX",    0,    1)</f>
        <v>-34.4</v>
      </c>
      <c r="I174" s="11" cm="1">
        <f t="array" aca="1" ref="I174" ca="1">_xlfn.XLOOKUP($B174,    INDIRECT("'" &amp; $C$3 &amp; "'!$A$20:$A$219"),    _xlfn.XLOOKUP(I$18,INDIRECT("'" &amp; $C$3 &amp; "'!$B$18:$X$18"), INDIRECT("'" &amp; $C$3 &amp; "'!$B$20:$X$219"),"XXXXX",0,1),    "XX",    0,    1)</f>
        <v>87.4</v>
      </c>
      <c r="J174" s="11">
        <f t="shared" si="32"/>
        <v>31.9</v>
      </c>
      <c r="K174" s="11">
        <f t="shared" si="33"/>
        <v>11.428999999999998</v>
      </c>
      <c r="L174" s="11">
        <f t="shared" si="34"/>
        <v>43.328999999999994</v>
      </c>
      <c r="M174" s="11" cm="1">
        <f t="array" aca="1" ref="M174" ca="1">_xlfn.XLOOKUP($B174,    INDIRECT("'" &amp; $C$3 &amp; "'!$A$20:$A$219"),    _xlfn.XLOOKUP(M$18,INDIRECT("'" &amp; $C$3 &amp; "'!$B$18:$X$18"), INDIRECT("'" &amp; $C$3 &amp; "'!$B$20:$X$219"),"XXXXX",0,1),    "XX",    0,    1)</f>
        <v>27.6</v>
      </c>
      <c r="N174" s="11">
        <f t="shared" ca="1" si="35"/>
        <v>21.100000000000009</v>
      </c>
      <c r="O174" s="4">
        <f t="shared" ca="1" si="36"/>
        <v>9.6710000000000136</v>
      </c>
      <c r="P174" s="11">
        <v>15.956948890643879</v>
      </c>
      <c r="Q174" s="11">
        <f t="shared" ca="1" si="37"/>
        <v>37.043051109356128</v>
      </c>
      <c r="R174" s="11" t="str">
        <f t="shared" ca="1" si="38"/>
        <v>conical</v>
      </c>
      <c r="S174" s="13">
        <f t="shared" ca="1" si="39"/>
        <v>8.9</v>
      </c>
      <c r="T174" s="13"/>
    </row>
    <row r="175" spans="1:20" x14ac:dyDescent="0.2">
      <c r="A175" s="11" t="s">
        <v>3</v>
      </c>
      <c r="B175" s="11" t="s">
        <v>60</v>
      </c>
      <c r="C175" s="11">
        <f>_xlfn.XLOOKUP($A175,'Conical section geometry'!$B$11:$B$17,'Conical section geometry'!$C$11:$C$17,"XXXX",0,1)</f>
        <v>-6.5</v>
      </c>
      <c r="D175" s="11">
        <f>_xlfn.XLOOKUP($A175,'Conical section geometry'!$B$11:$B$17,'Conical section geometry'!$D$11:$D$17,"XXXX",0,1)</f>
        <v>-17.928999999999998</v>
      </c>
      <c r="E175" s="11" cm="1">
        <f t="array" aca="1" ref="E175" ca="1">_xlfn.XLOOKUP($B175,    INDIRECT("'" &amp; $C$3 &amp; "'!$A$20:$A$219"),    _xlfn.XLOOKUP(E$18,INDIRECT("'" &amp; $C$3 &amp; "'!$B$18:$X$18"), INDIRECT("'" &amp; $C$3 &amp; "'!$B$20:$X$219"),"XXXXX",0,1),    "XX",    0,    1)</f>
        <v>8</v>
      </c>
      <c r="F175" s="11" cm="1">
        <f t="array" aca="1" ref="F175" ca="1">_xlfn.XLOOKUP($B175,    INDIRECT("'" &amp; $C$3 &amp; "'!$A$20:$A$219"),    _xlfn.XLOOKUP(F$18,INDIRECT("'" &amp; $C$3 &amp; "'!$B$18:$X$18"), INDIRECT("'" &amp; $C$3 &amp; "'!$B$20:$X$219"),"XXXXX",0,1),    "XX",    0,    1)</f>
        <v>10</v>
      </c>
      <c r="G175" s="11">
        <f>_xlfn.XLOOKUP($A175,'Conical section geometry'!$B$11:$B$17,'Conical section geometry'!$E$11:$E$17,"XXXX",0,1)</f>
        <v>-174.99340000000001</v>
      </c>
      <c r="H175" s="11" cm="1">
        <f t="array" aca="1" ref="H175" ca="1">_xlfn.XLOOKUP($B175,    INDIRECT("'" &amp; $C$3 &amp; "'!$A$20:$A$219"),    _xlfn.XLOOKUP(H$18,INDIRECT("'" &amp; $C$3 &amp; "'!$B$18:$X$18"), INDIRECT("'" &amp; $C$3 &amp; "'!$B$20:$X$219"),"XXXXX",0,1),    "XX",    0,    1)</f>
        <v>-37.200000000000003</v>
      </c>
      <c r="I175" s="11" cm="1">
        <f t="array" aca="1" ref="I175" ca="1">_xlfn.XLOOKUP($B175,    INDIRECT("'" &amp; $C$3 &amp; "'!$A$20:$A$219"),    _xlfn.XLOOKUP(I$18,INDIRECT("'" &amp; $C$3 &amp; "'!$B$18:$X$18"), INDIRECT("'" &amp; $C$3 &amp; "'!$B$20:$X$219"),"XXXXX",0,1),    "XX",    0,    1)</f>
        <v>90.2</v>
      </c>
      <c r="J175" s="11">
        <f t="shared" si="32"/>
        <v>31.9</v>
      </c>
      <c r="K175" s="11">
        <f t="shared" si="33"/>
        <v>11.428999999999998</v>
      </c>
      <c r="L175" s="11">
        <f t="shared" si="34"/>
        <v>43.328999999999994</v>
      </c>
      <c r="M175" s="11" cm="1">
        <f t="array" aca="1" ref="M175" ca="1">_xlfn.XLOOKUP($B175,    INDIRECT("'" &amp; $C$3 &amp; "'!$A$20:$A$219"),    _xlfn.XLOOKUP(M$18,INDIRECT("'" &amp; $C$3 &amp; "'!$B$18:$X$18"), INDIRECT("'" &amp; $C$3 &amp; "'!$B$20:$X$219"),"XXXXX",0,1),    "XX",    0,    1)</f>
        <v>27.6</v>
      </c>
      <c r="N175" s="11">
        <f t="shared" ca="1" si="35"/>
        <v>21.1</v>
      </c>
      <c r="O175" s="4">
        <f t="shared" ca="1" si="36"/>
        <v>9.6710000000000065</v>
      </c>
      <c r="P175" s="11">
        <v>15.956948890643877</v>
      </c>
      <c r="Q175" s="11">
        <f t="shared" ca="1" si="37"/>
        <v>37.043051109356121</v>
      </c>
      <c r="R175" s="11" t="str">
        <f t="shared" ca="1" si="38"/>
        <v>conical</v>
      </c>
      <c r="S175" s="13">
        <f t="shared" ca="1" si="39"/>
        <v>8.9</v>
      </c>
      <c r="T175" s="13"/>
    </row>
    <row r="176" spans="1:20" x14ac:dyDescent="0.2">
      <c r="A176" s="11" t="s">
        <v>3</v>
      </c>
      <c r="B176" s="11" t="s">
        <v>83</v>
      </c>
      <c r="C176" s="11">
        <f>_xlfn.XLOOKUP($A176,'Conical section geometry'!$B$11:$B$17,'Conical section geometry'!$C$11:$C$17,"XXXX",0,1)</f>
        <v>-6.5</v>
      </c>
      <c r="D176" s="11">
        <f>_xlfn.XLOOKUP($A176,'Conical section geometry'!$B$11:$B$17,'Conical section geometry'!$D$11:$D$17,"XXXX",0,1)</f>
        <v>-17.928999999999998</v>
      </c>
      <c r="E176" s="11" cm="1">
        <f t="array" aca="1" ref="E176" ca="1">_xlfn.XLOOKUP($B176,    INDIRECT("'" &amp; $C$3 &amp; "'!$A$20:$A$219"),    _xlfn.XLOOKUP(E$18,INDIRECT("'" &amp; $C$3 &amp; "'!$B$18:$X$18"), INDIRECT("'" &amp; $C$3 &amp; "'!$B$20:$X$219"),"XXXXX",0,1),    "XX",    0,    1)</f>
        <v>8</v>
      </c>
      <c r="F176" s="11" cm="1">
        <f t="array" aca="1" ref="F176" ca="1">_xlfn.XLOOKUP($B176,    INDIRECT("'" &amp; $C$3 &amp; "'!$A$20:$A$219"),    _xlfn.XLOOKUP(F$18,INDIRECT("'" &amp; $C$3 &amp; "'!$B$18:$X$18"), INDIRECT("'" &amp; $C$3 &amp; "'!$B$20:$X$219"),"XXXXX",0,1),    "XX",    0,    1)</f>
        <v>10</v>
      </c>
      <c r="G176" s="11">
        <f>_xlfn.XLOOKUP($A176,'Conical section geometry'!$B$11:$B$17,'Conical section geometry'!$E$11:$E$17,"XXXX",0,1)</f>
        <v>-174.99340000000001</v>
      </c>
      <c r="H176" s="11" cm="1">
        <f t="array" aca="1" ref="H176" ca="1">_xlfn.XLOOKUP($B176,    INDIRECT("'" &amp; $C$3 &amp; "'!$A$20:$A$219"),    _xlfn.XLOOKUP(H$18,INDIRECT("'" &amp; $C$3 &amp; "'!$B$18:$X$18"), INDIRECT("'" &amp; $C$3 &amp; "'!$B$20:$X$219"),"XXXXX",0,1),    "XX",    0,    1)</f>
        <v>-35.700000000000003</v>
      </c>
      <c r="I176" s="11" cm="1">
        <f t="array" aca="1" ref="I176" ca="1">_xlfn.XLOOKUP($B176,    INDIRECT("'" &amp; $C$3 &amp; "'!$A$20:$A$219"),    _xlfn.XLOOKUP(I$18,INDIRECT("'" &amp; $C$3 &amp; "'!$B$18:$X$18"), INDIRECT("'" &amp; $C$3 &amp; "'!$B$20:$X$219"),"XXXXX",0,1),    "XX",    0,    1)</f>
        <v>88.6</v>
      </c>
      <c r="J176" s="11">
        <f t="shared" si="32"/>
        <v>31.9</v>
      </c>
      <c r="K176" s="11">
        <f t="shared" si="33"/>
        <v>11.428999999999998</v>
      </c>
      <c r="L176" s="11">
        <f t="shared" si="34"/>
        <v>43.328999999999994</v>
      </c>
      <c r="M176" s="11" cm="1">
        <f t="array" aca="1" ref="M176" ca="1">_xlfn.XLOOKUP($B176,    INDIRECT("'" &amp; $C$3 &amp; "'!$A$20:$A$219"),    _xlfn.XLOOKUP(M$18,INDIRECT("'" &amp; $C$3 &amp; "'!$B$18:$X$18"), INDIRECT("'" &amp; $C$3 &amp; "'!$B$20:$X$219"),"XXXXX",0,1),    "XX",    0,    1)</f>
        <v>27.5</v>
      </c>
      <c r="N176" s="11">
        <f t="shared" ca="1" si="35"/>
        <v>20.999999999999993</v>
      </c>
      <c r="O176" s="4">
        <f t="shared" ca="1" si="36"/>
        <v>9.570999999999998</v>
      </c>
      <c r="P176" s="11">
        <v>15.856948890643871</v>
      </c>
      <c r="Q176" s="11">
        <f t="shared" ca="1" si="37"/>
        <v>37.043051109356121</v>
      </c>
      <c r="R176" s="11" t="str">
        <f t="shared" ca="1" si="38"/>
        <v>conical</v>
      </c>
      <c r="S176" s="13">
        <f t="shared" ca="1" si="39"/>
        <v>8.9</v>
      </c>
      <c r="T176" s="13"/>
    </row>
    <row r="177" spans="1:20" x14ac:dyDescent="0.2">
      <c r="A177" s="11" t="s">
        <v>3</v>
      </c>
      <c r="B177" s="11" t="s">
        <v>73</v>
      </c>
      <c r="C177" s="11">
        <f>_xlfn.XLOOKUP($A177,'Conical section geometry'!$B$11:$B$17,'Conical section geometry'!$C$11:$C$17,"XXXX",0,1)</f>
        <v>-6.5</v>
      </c>
      <c r="D177" s="11">
        <f>_xlfn.XLOOKUP($A177,'Conical section geometry'!$B$11:$B$17,'Conical section geometry'!$D$11:$D$17,"XXXX",0,1)</f>
        <v>-17.928999999999998</v>
      </c>
      <c r="E177" s="11" cm="1">
        <f t="array" aca="1" ref="E177" ca="1">_xlfn.XLOOKUP($B177,    INDIRECT("'" &amp; $C$3 &amp; "'!$A$20:$A$219"),    _xlfn.XLOOKUP(E$18,INDIRECT("'" &amp; $C$3 &amp; "'!$B$18:$X$18"), INDIRECT("'" &amp; $C$3 &amp; "'!$B$20:$X$219"),"XXXXX",0,1),    "XX",    0,    1)</f>
        <v>8</v>
      </c>
      <c r="F177" s="11" cm="1">
        <f t="array" aca="1" ref="F177" ca="1">_xlfn.XLOOKUP($B177,    INDIRECT("'" &amp; $C$3 &amp; "'!$A$20:$A$219"),    _xlfn.XLOOKUP(F$18,INDIRECT("'" &amp; $C$3 &amp; "'!$B$18:$X$18"), INDIRECT("'" &amp; $C$3 &amp; "'!$B$20:$X$219"),"XXXXX",0,1),    "XX",    0,    1)</f>
        <v>10</v>
      </c>
      <c r="G177" s="11">
        <f>_xlfn.XLOOKUP($A177,'Conical section geometry'!$B$11:$B$17,'Conical section geometry'!$E$11:$E$17,"XXXX",0,1)</f>
        <v>-174.99340000000001</v>
      </c>
      <c r="H177" s="11" cm="1">
        <f t="array" aca="1" ref="H177" ca="1">_xlfn.XLOOKUP($B177,    INDIRECT("'" &amp; $C$3 &amp; "'!$A$20:$A$219"),    _xlfn.XLOOKUP(H$18,INDIRECT("'" &amp; $C$3 &amp; "'!$B$18:$X$18"), INDIRECT("'" &amp; $C$3 &amp; "'!$B$20:$X$219"),"XXXXX",0,1),    "XX",    0,    1)</f>
        <v>-36.200000000000003</v>
      </c>
      <c r="I177" s="11" cm="1">
        <f t="array" aca="1" ref="I177" ca="1">_xlfn.XLOOKUP($B177,    INDIRECT("'" &amp; $C$3 &amp; "'!$A$20:$A$219"),    _xlfn.XLOOKUP(I$18,INDIRECT("'" &amp; $C$3 &amp; "'!$B$18:$X$18"), INDIRECT("'" &amp; $C$3 &amp; "'!$B$20:$X$219"),"XXXXX",0,1),    "XX",    0,    1)</f>
        <v>89.1</v>
      </c>
      <c r="J177" s="11">
        <f t="shared" si="32"/>
        <v>31.9</v>
      </c>
      <c r="K177" s="11">
        <f t="shared" si="33"/>
        <v>11.428999999999998</v>
      </c>
      <c r="L177" s="11">
        <f t="shared" si="34"/>
        <v>43.328999999999994</v>
      </c>
      <c r="M177" s="11" cm="1">
        <f t="array" aca="1" ref="M177" ca="1">_xlfn.XLOOKUP($B177,    INDIRECT("'" &amp; $C$3 &amp; "'!$A$20:$A$219"),    _xlfn.XLOOKUP(M$18,INDIRECT("'" &amp; $C$3 &amp; "'!$B$18:$X$18"), INDIRECT("'" &amp; $C$3 &amp; "'!$B$20:$X$219"),"XXXXX",0,1),    "XX",    0,    1)</f>
        <v>27.5</v>
      </c>
      <c r="N177" s="11">
        <f t="shared" ca="1" si="35"/>
        <v>20.999999999999993</v>
      </c>
      <c r="O177" s="4">
        <f t="shared" ca="1" si="36"/>
        <v>9.570999999999998</v>
      </c>
      <c r="P177" s="11">
        <v>15.856948890643871</v>
      </c>
      <c r="Q177" s="11">
        <f t="shared" ca="1" si="37"/>
        <v>37.043051109356121</v>
      </c>
      <c r="R177" s="11" t="str">
        <f t="shared" ca="1" si="38"/>
        <v>conical</v>
      </c>
      <c r="S177" s="13">
        <f t="shared" ca="1" si="39"/>
        <v>8.9</v>
      </c>
      <c r="T177" s="13"/>
    </row>
    <row r="178" spans="1:20" x14ac:dyDescent="0.2">
      <c r="A178" s="11" t="s">
        <v>3</v>
      </c>
      <c r="B178" s="11" t="s">
        <v>154</v>
      </c>
      <c r="C178" s="11">
        <f>_xlfn.XLOOKUP($A178,'Conical section geometry'!$B$11:$B$17,'Conical section geometry'!$C$11:$C$17,"XXXX",0,1)</f>
        <v>-6.5</v>
      </c>
      <c r="D178" s="11">
        <f>_xlfn.XLOOKUP($A178,'Conical section geometry'!$B$11:$B$17,'Conical section geometry'!$D$11:$D$17,"XXXX",0,1)</f>
        <v>-17.928999999999998</v>
      </c>
      <c r="E178" s="11" cm="1">
        <f t="array" aca="1" ref="E178" ca="1">_xlfn.XLOOKUP($B178,    INDIRECT("'" &amp; $C$3 &amp; "'!$A$20:$A$219"),    _xlfn.XLOOKUP(E$18,INDIRECT("'" &amp; $C$3 &amp; "'!$B$18:$X$18"), INDIRECT("'" &amp; $C$3 &amp; "'!$B$20:$X$219"),"XXXXX",0,1),    "XX",    0,    1)</f>
        <v>8</v>
      </c>
      <c r="F178" s="11" cm="1">
        <f t="array" aca="1" ref="F178" ca="1">_xlfn.XLOOKUP($B178,    INDIRECT("'" &amp; $C$3 &amp; "'!$A$20:$A$219"),    _xlfn.XLOOKUP(F$18,INDIRECT("'" &amp; $C$3 &amp; "'!$B$18:$X$18"), INDIRECT("'" &amp; $C$3 &amp; "'!$B$20:$X$219"),"XXXXX",0,1),    "XX",    0,    1)</f>
        <v>10</v>
      </c>
      <c r="G178" s="11">
        <f>_xlfn.XLOOKUP($A178,'Conical section geometry'!$B$11:$B$17,'Conical section geometry'!$E$11:$E$17,"XXXX",0,1)</f>
        <v>-174.99340000000001</v>
      </c>
      <c r="H178" s="11" cm="1">
        <f t="array" aca="1" ref="H178" ca="1">_xlfn.XLOOKUP($B178,    INDIRECT("'" &amp; $C$3 &amp; "'!$A$20:$A$219"),    _xlfn.XLOOKUP(H$18,INDIRECT("'" &amp; $C$3 &amp; "'!$B$18:$X$18"), INDIRECT("'" &amp; $C$3 &amp; "'!$B$20:$X$219"),"XXXXX",0,1),    "XX",    0,    1)</f>
        <v>-31.3</v>
      </c>
      <c r="I178" s="11" cm="1">
        <f t="array" aca="1" ref="I178" ca="1">_xlfn.XLOOKUP($B178,    INDIRECT("'" &amp; $C$3 &amp; "'!$A$20:$A$219"),    _xlfn.XLOOKUP(I$18,INDIRECT("'" &amp; $C$3 &amp; "'!$B$18:$X$18"), INDIRECT("'" &amp; $C$3 &amp; "'!$B$20:$X$219"),"XXXXX",0,1),    "XX",    0,    1)</f>
        <v>84.1</v>
      </c>
      <c r="J178" s="11">
        <f t="shared" si="32"/>
        <v>31.9</v>
      </c>
      <c r="K178" s="11">
        <f t="shared" si="33"/>
        <v>11.428999999999998</v>
      </c>
      <c r="L178" s="11">
        <f t="shared" si="34"/>
        <v>43.328999999999994</v>
      </c>
      <c r="M178" s="11" cm="1">
        <f t="array" aca="1" ref="M178" ca="1">_xlfn.XLOOKUP($B178,    INDIRECT("'" &amp; $C$3 &amp; "'!$A$20:$A$219"),    _xlfn.XLOOKUP(M$18,INDIRECT("'" &amp; $C$3 &amp; "'!$B$18:$X$18"), INDIRECT("'" &amp; $C$3 &amp; "'!$B$20:$X$219"),"XXXXX",0,1),    "XX",    0,    1)</f>
        <v>27.4</v>
      </c>
      <c r="N178" s="11">
        <f t="shared" ca="1" si="35"/>
        <v>20.899999999999995</v>
      </c>
      <c r="O178" s="4">
        <f t="shared" ca="1" si="36"/>
        <v>9.4710000000000001</v>
      </c>
      <c r="P178" s="11">
        <v>15.756948890643866</v>
      </c>
      <c r="Q178" s="11">
        <f t="shared" ca="1" si="37"/>
        <v>37.043051109356128</v>
      </c>
      <c r="R178" s="11" t="str">
        <f t="shared" ca="1" si="38"/>
        <v>conical</v>
      </c>
      <c r="S178" s="13">
        <f t="shared" ca="1" si="39"/>
        <v>8.9</v>
      </c>
      <c r="T178" s="13"/>
    </row>
    <row r="179" spans="1:20" x14ac:dyDescent="0.2">
      <c r="A179" s="11" t="s">
        <v>3</v>
      </c>
      <c r="B179" s="11" t="s">
        <v>63</v>
      </c>
      <c r="C179" s="11">
        <f>_xlfn.XLOOKUP($A179,'Conical section geometry'!$B$11:$B$17,'Conical section geometry'!$C$11:$C$17,"XXXX",0,1)</f>
        <v>-6.5</v>
      </c>
      <c r="D179" s="11">
        <f>_xlfn.XLOOKUP($A179,'Conical section geometry'!$B$11:$B$17,'Conical section geometry'!$D$11:$D$17,"XXXX",0,1)</f>
        <v>-17.928999999999998</v>
      </c>
      <c r="E179" s="11" cm="1">
        <f t="array" aca="1" ref="E179" ca="1">_xlfn.XLOOKUP($B179,    INDIRECT("'" &amp; $C$3 &amp; "'!$A$20:$A$219"),    _xlfn.XLOOKUP(E$18,INDIRECT("'" &amp; $C$3 &amp; "'!$B$18:$X$18"), INDIRECT("'" &amp; $C$3 &amp; "'!$B$20:$X$219"),"XXXXX",0,1),    "XX",    0,    1)</f>
        <v>8</v>
      </c>
      <c r="F179" s="11" cm="1">
        <f t="array" aca="1" ref="F179" ca="1">_xlfn.XLOOKUP($B179,    INDIRECT("'" &amp; $C$3 &amp; "'!$A$20:$A$219"),    _xlfn.XLOOKUP(F$18,INDIRECT("'" &amp; $C$3 &amp; "'!$B$18:$X$18"), INDIRECT("'" &amp; $C$3 &amp; "'!$B$20:$X$219"),"XXXXX",0,1),    "XX",    0,    1)</f>
        <v>10</v>
      </c>
      <c r="G179" s="11">
        <f>_xlfn.XLOOKUP($A179,'Conical section geometry'!$B$11:$B$17,'Conical section geometry'!$E$11:$E$17,"XXXX",0,1)</f>
        <v>-174.99340000000001</v>
      </c>
      <c r="H179" s="11" cm="1">
        <f t="array" aca="1" ref="H179" ca="1">_xlfn.XLOOKUP($B179,    INDIRECT("'" &amp; $C$3 &amp; "'!$A$20:$A$219"),    _xlfn.XLOOKUP(H$18,INDIRECT("'" &amp; $C$3 &amp; "'!$B$18:$X$18"), INDIRECT("'" &amp; $C$3 &amp; "'!$B$20:$X$219"),"XXXXX",0,1),    "XX",    0,    1)</f>
        <v>-36.9</v>
      </c>
      <c r="I179" s="11" cm="1">
        <f t="array" aca="1" ref="I179" ca="1">_xlfn.XLOOKUP($B179,    INDIRECT("'" &amp; $C$3 &amp; "'!$A$20:$A$219"),    _xlfn.XLOOKUP(I$18,INDIRECT("'" &amp; $C$3 &amp; "'!$B$18:$X$18"), INDIRECT("'" &amp; $C$3 &amp; "'!$B$20:$X$219"),"XXXXX",0,1),    "XX",    0,    1)</f>
        <v>89.7</v>
      </c>
      <c r="J179" s="11">
        <f t="shared" si="32"/>
        <v>31.9</v>
      </c>
      <c r="K179" s="11">
        <f t="shared" si="33"/>
        <v>11.428999999999998</v>
      </c>
      <c r="L179" s="11">
        <f t="shared" si="34"/>
        <v>43.328999999999994</v>
      </c>
      <c r="M179" s="11" cm="1">
        <f t="array" aca="1" ref="M179" ca="1">_xlfn.XLOOKUP($B179,    INDIRECT("'" &amp; $C$3 &amp; "'!$A$20:$A$219"),    _xlfn.XLOOKUP(M$18,INDIRECT("'" &amp; $C$3 &amp; "'!$B$18:$X$18"), INDIRECT("'" &amp; $C$3 &amp; "'!$B$20:$X$219"),"XXXXX",0,1),    "XX",    0,    1)</f>
        <v>27.4</v>
      </c>
      <c r="N179" s="11">
        <f t="shared" ca="1" si="35"/>
        <v>20.900000000000006</v>
      </c>
      <c r="O179" s="4">
        <f t="shared" ca="1" si="36"/>
        <v>9.4710000000000107</v>
      </c>
      <c r="P179" s="11">
        <v>15.756948890643875</v>
      </c>
      <c r="Q179" s="11">
        <f t="shared" ca="1" si="37"/>
        <v>37.043051109356128</v>
      </c>
      <c r="R179" s="11" t="str">
        <f t="shared" ca="1" si="38"/>
        <v>conical</v>
      </c>
      <c r="S179" s="13">
        <f t="shared" ca="1" si="39"/>
        <v>8.9</v>
      </c>
      <c r="T179" s="13"/>
    </row>
    <row r="180" spans="1:20" x14ac:dyDescent="0.2">
      <c r="A180" s="11" t="s">
        <v>3</v>
      </c>
      <c r="B180" s="11" t="s">
        <v>36</v>
      </c>
      <c r="C180" s="11">
        <f>_xlfn.XLOOKUP($A180,'Conical section geometry'!$B$11:$B$17,'Conical section geometry'!$C$11:$C$17,"XXXX",0,1)</f>
        <v>-6.5</v>
      </c>
      <c r="D180" s="11">
        <f>_xlfn.XLOOKUP($A180,'Conical section geometry'!$B$11:$B$17,'Conical section geometry'!$D$11:$D$17,"XXXX",0,1)</f>
        <v>-17.928999999999998</v>
      </c>
      <c r="E180" s="11" cm="1">
        <f t="array" aca="1" ref="E180" ca="1">_xlfn.XLOOKUP($B180,    INDIRECT("'" &amp; $C$3 &amp; "'!$A$20:$A$219"),    _xlfn.XLOOKUP(E$18,INDIRECT("'" &amp; $C$3 &amp; "'!$B$18:$X$18"), INDIRECT("'" &amp; $C$3 &amp; "'!$B$20:$X$219"),"XXXXX",0,1),    "XX",    0,    1)</f>
        <v>8</v>
      </c>
      <c r="F180" s="11" cm="1">
        <f t="array" aca="1" ref="F180" ca="1">_xlfn.XLOOKUP($B180,    INDIRECT("'" &amp; $C$3 &amp; "'!$A$20:$A$219"),    _xlfn.XLOOKUP(F$18,INDIRECT("'" &amp; $C$3 &amp; "'!$B$18:$X$18"), INDIRECT("'" &amp; $C$3 &amp; "'!$B$20:$X$219"),"XXXXX",0,1),    "XX",    0,    1)</f>
        <v>10</v>
      </c>
      <c r="G180" s="11">
        <f>_xlfn.XLOOKUP($A180,'Conical section geometry'!$B$11:$B$17,'Conical section geometry'!$E$11:$E$17,"XXXX",0,1)</f>
        <v>-174.99340000000001</v>
      </c>
      <c r="H180" s="11" cm="1">
        <f t="array" aca="1" ref="H180" ca="1">_xlfn.XLOOKUP($B180,    INDIRECT("'" &amp; $C$3 &amp; "'!$A$20:$A$219"),    _xlfn.XLOOKUP(H$18,INDIRECT("'" &amp; $C$3 &amp; "'!$B$18:$X$18"), INDIRECT("'" &amp; $C$3 &amp; "'!$B$20:$X$219"),"XXXXX",0,1),    "XX",    0,    1)</f>
        <v>-37.9</v>
      </c>
      <c r="I180" s="11" cm="1">
        <f t="array" aca="1" ref="I180" ca="1">_xlfn.XLOOKUP($B180,    INDIRECT("'" &amp; $C$3 &amp; "'!$A$20:$A$219"),    _xlfn.XLOOKUP(I$18,INDIRECT("'" &amp; $C$3 &amp; "'!$B$18:$X$18"), INDIRECT("'" &amp; $C$3 &amp; "'!$B$20:$X$219"),"XXXXX",0,1),    "XX",    0,    1)</f>
        <v>90.6</v>
      </c>
      <c r="J180" s="11">
        <f t="shared" ref="J180:J211" si="40">$C$1-$C180</f>
        <v>31.9</v>
      </c>
      <c r="K180" s="11">
        <f t="shared" ref="K180:K211" si="41">C$20-$D180</f>
        <v>11.428999999999998</v>
      </c>
      <c r="L180" s="11">
        <f t="shared" ref="L180:L211" si="42">$C$1-$D180</f>
        <v>43.328999999999994</v>
      </c>
      <c r="M180" s="11" cm="1">
        <f t="array" aca="1" ref="M180" ca="1">_xlfn.XLOOKUP($B180,    INDIRECT("'" &amp; $C$3 &amp; "'!$A$20:$A$219"),    _xlfn.XLOOKUP(M$18,INDIRECT("'" &amp; $C$3 &amp; "'!$B$18:$X$18"), INDIRECT("'" &amp; $C$3 &amp; "'!$B$20:$X$219"),"XXXXX",0,1),    "XX",    0,    1)</f>
        <v>27.3</v>
      </c>
      <c r="N180" s="11">
        <f t="shared" ref="N180:N211" ca="1" si="43">$I180-$J180-(-$H180)</f>
        <v>20.799999999999997</v>
      </c>
      <c r="O180" s="4">
        <f t="shared" ref="O180:O211" ca="1" si="44">$I180-$L180-(-$H180)</f>
        <v>9.3710000000000022</v>
      </c>
      <c r="P180" s="11">
        <v>15.656948890643863</v>
      </c>
      <c r="Q180" s="11">
        <f t="shared" ref="Q180:Q211" ca="1" si="45">$I180-($P180+(ABS($H180)))</f>
        <v>37.043051109356135</v>
      </c>
      <c r="R180" s="11" t="str">
        <f t="shared" ref="R180:R211" ca="1" si="46">IF($Q180&lt;=$J180,"top",IF($Q180&lt;=$L180,"conical","bottom"))</f>
        <v>conical</v>
      </c>
      <c r="S180" s="13">
        <f t="shared" ref="S180:S211" ca="1" si="47">IF($R180="top",$E180,IF($R180="bottom",$F180,$E180-(($Q180-$J180)*$G180)/1000))</f>
        <v>8.9000000000000021</v>
      </c>
      <c r="T180" s="13"/>
    </row>
    <row r="181" spans="1:20" x14ac:dyDescent="0.2">
      <c r="A181" s="11" t="s">
        <v>3</v>
      </c>
      <c r="B181" s="11" t="s">
        <v>72</v>
      </c>
      <c r="C181" s="11">
        <f>_xlfn.XLOOKUP($A181,'Conical section geometry'!$B$11:$B$17,'Conical section geometry'!$C$11:$C$17,"XXXX",0,1)</f>
        <v>-6.5</v>
      </c>
      <c r="D181" s="11">
        <f>_xlfn.XLOOKUP($A181,'Conical section geometry'!$B$11:$B$17,'Conical section geometry'!$D$11:$D$17,"XXXX",0,1)</f>
        <v>-17.928999999999998</v>
      </c>
      <c r="E181" s="11" cm="1">
        <f t="array" aca="1" ref="E181" ca="1">_xlfn.XLOOKUP($B181,    INDIRECT("'" &amp; $C$3 &amp; "'!$A$20:$A$219"),    _xlfn.XLOOKUP(E$18,INDIRECT("'" &amp; $C$3 &amp; "'!$B$18:$X$18"), INDIRECT("'" &amp; $C$3 &amp; "'!$B$20:$X$219"),"XXXXX",0,1),    "XX",    0,    1)</f>
        <v>8</v>
      </c>
      <c r="F181" s="11" cm="1">
        <f t="array" aca="1" ref="F181" ca="1">_xlfn.XLOOKUP($B181,    INDIRECT("'" &amp; $C$3 &amp; "'!$A$20:$A$219"),    _xlfn.XLOOKUP(F$18,INDIRECT("'" &amp; $C$3 &amp; "'!$B$18:$X$18"), INDIRECT("'" &amp; $C$3 &amp; "'!$B$20:$X$219"),"XXXXX",0,1),    "XX",    0,    1)</f>
        <v>10</v>
      </c>
      <c r="G181" s="11">
        <f>_xlfn.XLOOKUP($A181,'Conical section geometry'!$B$11:$B$17,'Conical section geometry'!$E$11:$E$17,"XXXX",0,1)</f>
        <v>-174.99340000000001</v>
      </c>
      <c r="H181" s="11" cm="1">
        <f t="array" aca="1" ref="H181" ca="1">_xlfn.XLOOKUP($B181,    INDIRECT("'" &amp; $C$3 &amp; "'!$A$20:$A$219"),    _xlfn.XLOOKUP(H$18,INDIRECT("'" &amp; $C$3 &amp; "'!$B$18:$X$18"), INDIRECT("'" &amp; $C$3 &amp; "'!$B$20:$X$219"),"XXXXX",0,1),    "XX",    0,    1)</f>
        <v>-36.6</v>
      </c>
      <c r="I181" s="11" cm="1">
        <f t="array" aca="1" ref="I181" ca="1">_xlfn.XLOOKUP($B181,    INDIRECT("'" &amp; $C$3 &amp; "'!$A$20:$A$219"),    _xlfn.XLOOKUP(I$18,INDIRECT("'" &amp; $C$3 &amp; "'!$B$18:$X$18"), INDIRECT("'" &amp; $C$3 &amp; "'!$B$20:$X$219"),"XXXXX",0,1),    "XX",    0,    1)</f>
        <v>89.3</v>
      </c>
      <c r="J181" s="11">
        <f t="shared" si="40"/>
        <v>31.9</v>
      </c>
      <c r="K181" s="11">
        <f t="shared" si="41"/>
        <v>11.428999999999998</v>
      </c>
      <c r="L181" s="11">
        <f t="shared" si="42"/>
        <v>43.328999999999994</v>
      </c>
      <c r="M181" s="11" cm="1">
        <f t="array" aca="1" ref="M181" ca="1">_xlfn.XLOOKUP($B181,    INDIRECT("'" &amp; $C$3 &amp; "'!$A$20:$A$219"),    _xlfn.XLOOKUP(M$18,INDIRECT("'" &amp; $C$3 &amp; "'!$B$18:$X$18"), INDIRECT("'" &amp; $C$3 &amp; "'!$B$20:$X$219"),"XXXXX",0,1),    "XX",    0,    1)</f>
        <v>27.3</v>
      </c>
      <c r="N181" s="11">
        <f t="shared" ca="1" si="43"/>
        <v>20.799999999999997</v>
      </c>
      <c r="O181" s="4">
        <f t="shared" ca="1" si="44"/>
        <v>9.3710000000000022</v>
      </c>
      <c r="P181" s="11">
        <v>15.656948890643868</v>
      </c>
      <c r="Q181" s="11">
        <f t="shared" ca="1" si="45"/>
        <v>37.043051109356128</v>
      </c>
      <c r="R181" s="11" t="str">
        <f t="shared" ca="1" si="46"/>
        <v>conical</v>
      </c>
      <c r="S181" s="13">
        <f t="shared" ca="1" si="47"/>
        <v>8.9</v>
      </c>
      <c r="T181" s="13"/>
    </row>
    <row r="182" spans="1:20" x14ac:dyDescent="0.2">
      <c r="A182" s="11" t="s">
        <v>3</v>
      </c>
      <c r="B182" s="11" t="s">
        <v>139</v>
      </c>
      <c r="C182" s="11">
        <f>_xlfn.XLOOKUP($A182,'Conical section geometry'!$B$11:$B$17,'Conical section geometry'!$C$11:$C$17,"XXXX",0,1)</f>
        <v>-6.5</v>
      </c>
      <c r="D182" s="11">
        <f>_xlfn.XLOOKUP($A182,'Conical section geometry'!$B$11:$B$17,'Conical section geometry'!$D$11:$D$17,"XXXX",0,1)</f>
        <v>-17.928999999999998</v>
      </c>
      <c r="E182" s="11" cm="1">
        <f t="array" aca="1" ref="E182" ca="1">_xlfn.XLOOKUP($B182,    INDIRECT("'" &amp; $C$3 &amp; "'!$A$20:$A$219"),    _xlfn.XLOOKUP(E$18,INDIRECT("'" &amp; $C$3 &amp; "'!$B$18:$X$18"), INDIRECT("'" &amp; $C$3 &amp; "'!$B$20:$X$219"),"XXXXX",0,1),    "XX",    0,    1)</f>
        <v>8</v>
      </c>
      <c r="F182" s="11" cm="1">
        <f t="array" aca="1" ref="F182" ca="1">_xlfn.XLOOKUP($B182,    INDIRECT("'" &amp; $C$3 &amp; "'!$A$20:$A$219"),    _xlfn.XLOOKUP(F$18,INDIRECT("'" &amp; $C$3 &amp; "'!$B$18:$X$18"), INDIRECT("'" &amp; $C$3 &amp; "'!$B$20:$X$219"),"XXXXX",0,1),    "XX",    0,    1)</f>
        <v>10</v>
      </c>
      <c r="G182" s="11">
        <f>_xlfn.XLOOKUP($A182,'Conical section geometry'!$B$11:$B$17,'Conical section geometry'!$E$11:$E$17,"XXXX",0,1)</f>
        <v>-174.99340000000001</v>
      </c>
      <c r="H182" s="11" cm="1">
        <f t="array" aca="1" ref="H182" ca="1">_xlfn.XLOOKUP($B182,    INDIRECT("'" &amp; $C$3 &amp; "'!$A$20:$A$219"),    _xlfn.XLOOKUP(H$18,INDIRECT("'" &amp; $C$3 &amp; "'!$B$18:$X$18"), INDIRECT("'" &amp; $C$3 &amp; "'!$B$20:$X$219"),"XXXXX",0,1),    "XX",    0,    1)</f>
        <v>-32.799999999999997</v>
      </c>
      <c r="I182" s="11" cm="1">
        <f t="array" aca="1" ref="I182" ca="1">_xlfn.XLOOKUP($B182,    INDIRECT("'" &amp; $C$3 &amp; "'!$A$20:$A$219"),    _xlfn.XLOOKUP(I$18,INDIRECT("'" &amp; $C$3 &amp; "'!$B$18:$X$18"), INDIRECT("'" &amp; $C$3 &amp; "'!$B$20:$X$219"),"XXXXX",0,1),    "XX",    0,    1)</f>
        <v>85.4</v>
      </c>
      <c r="J182" s="11">
        <f t="shared" si="40"/>
        <v>31.9</v>
      </c>
      <c r="K182" s="11">
        <f t="shared" si="41"/>
        <v>11.428999999999998</v>
      </c>
      <c r="L182" s="11">
        <f t="shared" si="42"/>
        <v>43.328999999999994</v>
      </c>
      <c r="M182" s="11" cm="1">
        <f t="array" aca="1" ref="M182" ca="1">_xlfn.XLOOKUP($B182,    INDIRECT("'" &amp; $C$3 &amp; "'!$A$20:$A$219"),    _xlfn.XLOOKUP(M$18,INDIRECT("'" &amp; $C$3 &amp; "'!$B$18:$X$18"), INDIRECT("'" &amp; $C$3 &amp; "'!$B$20:$X$219"),"XXXXX",0,1),    "XX",    0,    1)</f>
        <v>27.2</v>
      </c>
      <c r="N182" s="11">
        <f t="shared" ca="1" si="43"/>
        <v>20.70000000000001</v>
      </c>
      <c r="O182" s="4">
        <f t="shared" ca="1" si="44"/>
        <v>9.271000000000015</v>
      </c>
      <c r="P182" s="11">
        <v>15.556948890643881</v>
      </c>
      <c r="Q182" s="11">
        <f t="shared" ca="1" si="45"/>
        <v>37.043051109356128</v>
      </c>
      <c r="R182" s="11" t="str">
        <f t="shared" ca="1" si="46"/>
        <v>conical</v>
      </c>
      <c r="S182" s="13">
        <f t="shared" ca="1" si="47"/>
        <v>8.9</v>
      </c>
      <c r="T182" s="13"/>
    </row>
    <row r="183" spans="1:20" x14ac:dyDescent="0.2">
      <c r="A183" s="11" t="s">
        <v>3</v>
      </c>
      <c r="B183" s="11" t="s">
        <v>49</v>
      </c>
      <c r="C183" s="11">
        <f>_xlfn.XLOOKUP($A183,'Conical section geometry'!$B$11:$B$17,'Conical section geometry'!$C$11:$C$17,"XXXX",0,1)</f>
        <v>-6.5</v>
      </c>
      <c r="D183" s="11">
        <f>_xlfn.XLOOKUP($A183,'Conical section geometry'!$B$11:$B$17,'Conical section geometry'!$D$11:$D$17,"XXXX",0,1)</f>
        <v>-17.928999999999998</v>
      </c>
      <c r="E183" s="11" cm="1">
        <f t="array" aca="1" ref="E183" ca="1">_xlfn.XLOOKUP($B183,    INDIRECT("'" &amp; $C$3 &amp; "'!$A$20:$A$219"),    _xlfn.XLOOKUP(E$18,INDIRECT("'" &amp; $C$3 &amp; "'!$B$18:$X$18"), INDIRECT("'" &amp; $C$3 &amp; "'!$B$20:$X$219"),"XXXXX",0,1),    "XX",    0,    1)</f>
        <v>8</v>
      </c>
      <c r="F183" s="11" cm="1">
        <f t="array" aca="1" ref="F183" ca="1">_xlfn.XLOOKUP($B183,    INDIRECT("'" &amp; $C$3 &amp; "'!$A$20:$A$219"),    _xlfn.XLOOKUP(F$18,INDIRECT("'" &amp; $C$3 &amp; "'!$B$18:$X$18"), INDIRECT("'" &amp; $C$3 &amp; "'!$B$20:$X$219"),"XXXXX",0,1),    "XX",    0,    1)</f>
        <v>10</v>
      </c>
      <c r="G183" s="11">
        <f>_xlfn.XLOOKUP($A183,'Conical section geometry'!$B$11:$B$17,'Conical section geometry'!$E$11:$E$17,"XXXX",0,1)</f>
        <v>-174.99340000000001</v>
      </c>
      <c r="H183" s="11" cm="1">
        <f t="array" aca="1" ref="H183" ca="1">_xlfn.XLOOKUP($B183,    INDIRECT("'" &amp; $C$3 &amp; "'!$A$20:$A$219"),    _xlfn.XLOOKUP(H$18,INDIRECT("'" &amp; $C$3 &amp; "'!$B$18:$X$18"), INDIRECT("'" &amp; $C$3 &amp; "'!$B$20:$X$219"),"XXXXX",0,1),    "XX",    0,    1)</f>
        <v>-38</v>
      </c>
      <c r="I183" s="11" cm="1">
        <f t="array" aca="1" ref="I183" ca="1">_xlfn.XLOOKUP($B183,    INDIRECT("'" &amp; $C$3 &amp; "'!$A$20:$A$219"),    _xlfn.XLOOKUP(I$18,INDIRECT("'" &amp; $C$3 &amp; "'!$B$18:$X$18"), INDIRECT("'" &amp; $C$3 &amp; "'!$B$20:$X$219"),"XXXXX",0,1),    "XX",    0,    1)</f>
        <v>90.5</v>
      </c>
      <c r="J183" s="11">
        <f t="shared" si="40"/>
        <v>31.9</v>
      </c>
      <c r="K183" s="11">
        <f t="shared" si="41"/>
        <v>11.428999999999998</v>
      </c>
      <c r="L183" s="11">
        <f t="shared" si="42"/>
        <v>43.328999999999994</v>
      </c>
      <c r="M183" s="11" cm="1">
        <f t="array" aca="1" ref="M183" ca="1">_xlfn.XLOOKUP($B183,    INDIRECT("'" &amp; $C$3 &amp; "'!$A$20:$A$219"),    _xlfn.XLOOKUP(M$18,INDIRECT("'" &amp; $C$3 &amp; "'!$B$18:$X$18"), INDIRECT("'" &amp; $C$3 &amp; "'!$B$20:$X$219"),"XXXXX",0,1),    "XX",    0,    1)</f>
        <v>27.1</v>
      </c>
      <c r="N183" s="11">
        <f t="shared" ca="1" si="43"/>
        <v>20.6</v>
      </c>
      <c r="O183" s="4">
        <f t="shared" ca="1" si="44"/>
        <v>9.1710000000000065</v>
      </c>
      <c r="P183" s="11">
        <v>15.456948890643876</v>
      </c>
      <c r="Q183" s="11">
        <f t="shared" ca="1" si="45"/>
        <v>37.043051109356128</v>
      </c>
      <c r="R183" s="11" t="str">
        <f t="shared" ca="1" si="46"/>
        <v>conical</v>
      </c>
      <c r="S183" s="13">
        <f t="shared" ca="1" si="47"/>
        <v>8.9</v>
      </c>
      <c r="T183" s="13"/>
    </row>
    <row r="184" spans="1:20" x14ac:dyDescent="0.2">
      <c r="A184" s="11" t="s">
        <v>3</v>
      </c>
      <c r="B184" s="11" t="s">
        <v>56</v>
      </c>
      <c r="C184" s="11">
        <f>_xlfn.XLOOKUP($A184,'Conical section geometry'!$B$11:$B$17,'Conical section geometry'!$C$11:$C$17,"XXXX",0,1)</f>
        <v>-6.5</v>
      </c>
      <c r="D184" s="11">
        <f>_xlfn.XLOOKUP($A184,'Conical section geometry'!$B$11:$B$17,'Conical section geometry'!$D$11:$D$17,"XXXX",0,1)</f>
        <v>-17.928999999999998</v>
      </c>
      <c r="E184" s="11" cm="1">
        <f t="array" aca="1" ref="E184" ca="1">_xlfn.XLOOKUP($B184,    INDIRECT("'" &amp; $C$3 &amp; "'!$A$20:$A$219"),    _xlfn.XLOOKUP(E$18,INDIRECT("'" &amp; $C$3 &amp; "'!$B$18:$X$18"), INDIRECT("'" &amp; $C$3 &amp; "'!$B$20:$X$219"),"XXXXX",0,1),    "XX",    0,    1)</f>
        <v>8</v>
      </c>
      <c r="F184" s="11" cm="1">
        <f t="array" aca="1" ref="F184" ca="1">_xlfn.XLOOKUP($B184,    INDIRECT("'" &amp; $C$3 &amp; "'!$A$20:$A$219"),    _xlfn.XLOOKUP(F$18,INDIRECT("'" &amp; $C$3 &amp; "'!$B$18:$X$18"), INDIRECT("'" &amp; $C$3 &amp; "'!$B$20:$X$219"),"XXXXX",0,1),    "XX",    0,    1)</f>
        <v>10</v>
      </c>
      <c r="G184" s="11">
        <f>_xlfn.XLOOKUP($A184,'Conical section geometry'!$B$11:$B$17,'Conical section geometry'!$E$11:$E$17,"XXXX",0,1)</f>
        <v>-174.99340000000001</v>
      </c>
      <c r="H184" s="11" cm="1">
        <f t="array" aca="1" ref="H184" ca="1">_xlfn.XLOOKUP($B184,    INDIRECT("'" &amp; $C$3 &amp; "'!$A$20:$A$219"),    _xlfn.XLOOKUP(H$18,INDIRECT("'" &amp; $C$3 &amp; "'!$B$18:$X$18"), INDIRECT("'" &amp; $C$3 &amp; "'!$B$20:$X$219"),"XXXXX",0,1),    "XX",    0,    1)</f>
        <v>-37.299999999999997</v>
      </c>
      <c r="I184" s="11" cm="1">
        <f t="array" aca="1" ref="I184" ca="1">_xlfn.XLOOKUP($B184,    INDIRECT("'" &amp; $C$3 &amp; "'!$A$20:$A$219"),    _xlfn.XLOOKUP(I$18,INDIRECT("'" &amp; $C$3 &amp; "'!$B$18:$X$18"), INDIRECT("'" &amp; $C$3 &amp; "'!$B$20:$X$219"),"XXXXX",0,1),    "XX",    0,    1)</f>
        <v>89.8</v>
      </c>
      <c r="J184" s="11">
        <f t="shared" si="40"/>
        <v>31.9</v>
      </c>
      <c r="K184" s="11">
        <f t="shared" si="41"/>
        <v>11.428999999999998</v>
      </c>
      <c r="L184" s="11">
        <f t="shared" si="42"/>
        <v>43.328999999999994</v>
      </c>
      <c r="M184" s="11" cm="1">
        <f t="array" aca="1" ref="M184" ca="1">_xlfn.XLOOKUP($B184,    INDIRECT("'" &amp; $C$3 &amp; "'!$A$20:$A$219"),    _xlfn.XLOOKUP(M$18,INDIRECT("'" &amp; $C$3 &amp; "'!$B$18:$X$18"), INDIRECT("'" &amp; $C$3 &amp; "'!$B$20:$X$219"),"XXXXX",0,1),    "XX",    0,    1)</f>
        <v>27.1</v>
      </c>
      <c r="N184" s="11">
        <f t="shared" ca="1" si="43"/>
        <v>20.6</v>
      </c>
      <c r="O184" s="4">
        <f t="shared" ca="1" si="44"/>
        <v>9.1710000000000065</v>
      </c>
      <c r="P184" s="11">
        <v>15.456948890643876</v>
      </c>
      <c r="Q184" s="11">
        <f t="shared" ca="1" si="45"/>
        <v>37.043051109356128</v>
      </c>
      <c r="R184" s="11" t="str">
        <f t="shared" ca="1" si="46"/>
        <v>conical</v>
      </c>
      <c r="S184" s="13">
        <f t="shared" ca="1" si="47"/>
        <v>8.9</v>
      </c>
      <c r="T184" s="13"/>
    </row>
    <row r="185" spans="1:20" x14ac:dyDescent="0.2">
      <c r="A185" s="11" t="s">
        <v>3</v>
      </c>
      <c r="B185" s="11" t="s">
        <v>125</v>
      </c>
      <c r="C185" s="11">
        <f>_xlfn.XLOOKUP($A185,'Conical section geometry'!$B$11:$B$17,'Conical section geometry'!$C$11:$C$17,"XXXX",0,1)</f>
        <v>-6.5</v>
      </c>
      <c r="D185" s="11">
        <f>_xlfn.XLOOKUP($A185,'Conical section geometry'!$B$11:$B$17,'Conical section geometry'!$D$11:$D$17,"XXXX",0,1)</f>
        <v>-17.928999999999998</v>
      </c>
      <c r="E185" s="11" cm="1">
        <f t="array" aca="1" ref="E185" ca="1">_xlfn.XLOOKUP($B185,    INDIRECT("'" &amp; $C$3 &amp; "'!$A$20:$A$219"),    _xlfn.XLOOKUP(E$18,INDIRECT("'" &amp; $C$3 &amp; "'!$B$18:$X$18"), INDIRECT("'" &amp; $C$3 &amp; "'!$B$20:$X$219"),"XXXXX",0,1),    "XX",    0,    1)</f>
        <v>8</v>
      </c>
      <c r="F185" s="11" cm="1">
        <f t="array" aca="1" ref="F185" ca="1">_xlfn.XLOOKUP($B185,    INDIRECT("'" &amp; $C$3 &amp; "'!$A$20:$A$219"),    _xlfn.XLOOKUP(F$18,INDIRECT("'" &amp; $C$3 &amp; "'!$B$18:$X$18"), INDIRECT("'" &amp; $C$3 &amp; "'!$B$20:$X$219"),"XXXXX",0,1),    "XX",    0,    1)</f>
        <v>10</v>
      </c>
      <c r="G185" s="11">
        <f>_xlfn.XLOOKUP($A185,'Conical section geometry'!$B$11:$B$17,'Conical section geometry'!$E$11:$E$17,"XXXX",0,1)</f>
        <v>-174.99340000000001</v>
      </c>
      <c r="H185" s="11" cm="1">
        <f t="array" aca="1" ref="H185" ca="1">_xlfn.XLOOKUP($B185,    INDIRECT("'" &amp; $C$3 &amp; "'!$A$20:$A$219"),    _xlfn.XLOOKUP(H$18,INDIRECT("'" &amp; $C$3 &amp; "'!$B$18:$X$18"), INDIRECT("'" &amp; $C$3 &amp; "'!$B$20:$X$219"),"XXXXX",0,1),    "XX",    0,    1)</f>
        <v>-33.9</v>
      </c>
      <c r="I185" s="11" cm="1">
        <f t="array" aca="1" ref="I185" ca="1">_xlfn.XLOOKUP($B185,    INDIRECT("'" &amp; $C$3 &amp; "'!$A$20:$A$219"),    _xlfn.XLOOKUP(I$18,INDIRECT("'" &amp; $C$3 &amp; "'!$B$18:$X$18"), INDIRECT("'" &amp; $C$3 &amp; "'!$B$20:$X$219"),"XXXXX",0,1),    "XX",    0,    1)</f>
        <v>86.4</v>
      </c>
      <c r="J185" s="11">
        <f t="shared" si="40"/>
        <v>31.9</v>
      </c>
      <c r="K185" s="11">
        <f t="shared" si="41"/>
        <v>11.428999999999998</v>
      </c>
      <c r="L185" s="11">
        <f t="shared" si="42"/>
        <v>43.328999999999994</v>
      </c>
      <c r="M185" s="11" cm="1">
        <f t="array" aca="1" ref="M185" ca="1">_xlfn.XLOOKUP($B185,    INDIRECT("'" &amp; $C$3 &amp; "'!$A$20:$A$219"),    _xlfn.XLOOKUP(M$18,INDIRECT("'" &amp; $C$3 &amp; "'!$B$18:$X$18"), INDIRECT("'" &amp; $C$3 &amp; "'!$B$20:$X$219"),"XXXXX",0,1),    "XX",    0,    1)</f>
        <v>27.1</v>
      </c>
      <c r="N185" s="11">
        <f t="shared" ca="1" si="43"/>
        <v>20.600000000000009</v>
      </c>
      <c r="O185" s="4">
        <f t="shared" ca="1" si="44"/>
        <v>9.1710000000000136</v>
      </c>
      <c r="P185" s="11">
        <v>15.456948890643879</v>
      </c>
      <c r="Q185" s="11">
        <f t="shared" ca="1" si="45"/>
        <v>37.043051109356128</v>
      </c>
      <c r="R185" s="11" t="str">
        <f t="shared" ca="1" si="46"/>
        <v>conical</v>
      </c>
      <c r="S185" s="13">
        <f t="shared" ca="1" si="47"/>
        <v>8.9</v>
      </c>
      <c r="T185" s="13"/>
    </row>
    <row r="186" spans="1:20" x14ac:dyDescent="0.2">
      <c r="A186" s="11" t="s">
        <v>3</v>
      </c>
      <c r="B186" s="11" t="s">
        <v>54</v>
      </c>
      <c r="C186" s="11">
        <f>_xlfn.XLOOKUP($A186,'Conical section geometry'!$B$11:$B$17,'Conical section geometry'!$C$11:$C$17,"XXXX",0,1)</f>
        <v>-6.5</v>
      </c>
      <c r="D186" s="11">
        <f>_xlfn.XLOOKUP($A186,'Conical section geometry'!$B$11:$B$17,'Conical section geometry'!$D$11:$D$17,"XXXX",0,1)</f>
        <v>-17.928999999999998</v>
      </c>
      <c r="E186" s="11" cm="1">
        <f t="array" aca="1" ref="E186" ca="1">_xlfn.XLOOKUP($B186,    INDIRECT("'" &amp; $C$3 &amp; "'!$A$20:$A$219"),    _xlfn.XLOOKUP(E$18,INDIRECT("'" &amp; $C$3 &amp; "'!$B$18:$X$18"), INDIRECT("'" &amp; $C$3 &amp; "'!$B$20:$X$219"),"XXXXX",0,1),    "XX",    0,    1)</f>
        <v>8</v>
      </c>
      <c r="F186" s="11" cm="1">
        <f t="array" aca="1" ref="F186" ca="1">_xlfn.XLOOKUP($B186,    INDIRECT("'" &amp; $C$3 &amp; "'!$A$20:$A$219"),    _xlfn.XLOOKUP(F$18,INDIRECT("'" &amp; $C$3 &amp; "'!$B$18:$X$18"), INDIRECT("'" &amp; $C$3 &amp; "'!$B$20:$X$219"),"XXXXX",0,1),    "XX",    0,    1)</f>
        <v>10</v>
      </c>
      <c r="G186" s="11">
        <f>_xlfn.XLOOKUP($A186,'Conical section geometry'!$B$11:$B$17,'Conical section geometry'!$E$11:$E$17,"XXXX",0,1)</f>
        <v>-174.99340000000001</v>
      </c>
      <c r="H186" s="11" cm="1">
        <f t="array" aca="1" ref="H186" ca="1">_xlfn.XLOOKUP($B186,    INDIRECT("'" &amp; $C$3 &amp; "'!$A$20:$A$219"),    _xlfn.XLOOKUP(H$18,INDIRECT("'" &amp; $C$3 &amp; "'!$B$18:$X$18"), INDIRECT("'" &amp; $C$3 &amp; "'!$B$20:$X$219"),"XXXXX",0,1),    "XX",    0,    1)</f>
        <v>-37.4</v>
      </c>
      <c r="I186" s="11" cm="1">
        <f t="array" aca="1" ref="I186" ca="1">_xlfn.XLOOKUP($B186,    INDIRECT("'" &amp; $C$3 &amp; "'!$A$20:$A$219"),    _xlfn.XLOOKUP(I$18,INDIRECT("'" &amp; $C$3 &amp; "'!$B$18:$X$18"), INDIRECT("'" &amp; $C$3 &amp; "'!$B$20:$X$219"),"XXXXX",0,1),    "XX",    0,    1)</f>
        <v>89.9</v>
      </c>
      <c r="J186" s="11">
        <f t="shared" si="40"/>
        <v>31.9</v>
      </c>
      <c r="K186" s="11">
        <f t="shared" si="41"/>
        <v>11.428999999999998</v>
      </c>
      <c r="L186" s="11">
        <f t="shared" si="42"/>
        <v>43.328999999999994</v>
      </c>
      <c r="M186" s="11" cm="1">
        <f t="array" aca="1" ref="M186" ca="1">_xlfn.XLOOKUP($B186,    INDIRECT("'" &amp; $C$3 &amp; "'!$A$20:$A$219"),    _xlfn.XLOOKUP(M$18,INDIRECT("'" &amp; $C$3 &amp; "'!$B$18:$X$18"), INDIRECT("'" &amp; $C$3 &amp; "'!$B$20:$X$219"),"XXXXX",0,1),    "XX",    0,    1)</f>
        <v>27.1</v>
      </c>
      <c r="N186" s="11">
        <f t="shared" ca="1" si="43"/>
        <v>20.600000000000009</v>
      </c>
      <c r="O186" s="4">
        <f t="shared" ca="1" si="44"/>
        <v>9.1710000000000136</v>
      </c>
      <c r="P186" s="11">
        <v>15.456948890643886</v>
      </c>
      <c r="Q186" s="11">
        <f t="shared" ca="1" si="45"/>
        <v>37.043051109356121</v>
      </c>
      <c r="R186" s="11" t="str">
        <f t="shared" ca="1" si="46"/>
        <v>conical</v>
      </c>
      <c r="S186" s="13">
        <f t="shared" ca="1" si="47"/>
        <v>8.9</v>
      </c>
      <c r="T186" s="13"/>
    </row>
    <row r="187" spans="1:20" x14ac:dyDescent="0.2">
      <c r="A187" s="11" t="s">
        <v>3</v>
      </c>
      <c r="B187" s="11" t="s">
        <v>64</v>
      </c>
      <c r="C187" s="11">
        <f>_xlfn.XLOOKUP($A187,'Conical section geometry'!$B$11:$B$17,'Conical section geometry'!$C$11:$C$17,"XXXX",0,1)</f>
        <v>-6.5</v>
      </c>
      <c r="D187" s="11">
        <f>_xlfn.XLOOKUP($A187,'Conical section geometry'!$B$11:$B$17,'Conical section geometry'!$D$11:$D$17,"XXXX",0,1)</f>
        <v>-17.928999999999998</v>
      </c>
      <c r="E187" s="11" cm="1">
        <f t="array" aca="1" ref="E187" ca="1">_xlfn.XLOOKUP($B187,    INDIRECT("'" &amp; $C$3 &amp; "'!$A$20:$A$219"),    _xlfn.XLOOKUP(E$18,INDIRECT("'" &amp; $C$3 &amp; "'!$B$18:$X$18"), INDIRECT("'" &amp; $C$3 &amp; "'!$B$20:$X$219"),"XXXXX",0,1),    "XX",    0,    1)</f>
        <v>8</v>
      </c>
      <c r="F187" s="11" cm="1">
        <f t="array" aca="1" ref="F187" ca="1">_xlfn.XLOOKUP($B187,    INDIRECT("'" &amp; $C$3 &amp; "'!$A$20:$A$219"),    _xlfn.XLOOKUP(F$18,INDIRECT("'" &amp; $C$3 &amp; "'!$B$18:$X$18"), INDIRECT("'" &amp; $C$3 &amp; "'!$B$20:$X$219"),"XXXXX",0,1),    "XX",    0,    1)</f>
        <v>10</v>
      </c>
      <c r="G187" s="11">
        <f>_xlfn.XLOOKUP($A187,'Conical section geometry'!$B$11:$B$17,'Conical section geometry'!$E$11:$E$17,"XXXX",0,1)</f>
        <v>-174.99340000000001</v>
      </c>
      <c r="H187" s="11" cm="1">
        <f t="array" aca="1" ref="H187" ca="1">_xlfn.XLOOKUP($B187,    INDIRECT("'" &amp; $C$3 &amp; "'!$A$20:$A$219"),    _xlfn.XLOOKUP(H$18,INDIRECT("'" &amp; $C$3 &amp; "'!$B$18:$X$18"), INDIRECT("'" &amp; $C$3 &amp; "'!$B$20:$X$219"),"XXXXX",0,1),    "XX",    0,    1)</f>
        <v>-37</v>
      </c>
      <c r="I187" s="11" cm="1">
        <f t="array" aca="1" ref="I187" ca="1">_xlfn.XLOOKUP($B187,    INDIRECT("'" &amp; $C$3 &amp; "'!$A$20:$A$219"),    _xlfn.XLOOKUP(I$18,INDIRECT("'" &amp; $C$3 &amp; "'!$B$18:$X$18"), INDIRECT("'" &amp; $C$3 &amp; "'!$B$20:$X$219"),"XXXXX",0,1),    "XX",    0,    1)</f>
        <v>89.328999999999994</v>
      </c>
      <c r="J187" s="11">
        <f t="shared" si="40"/>
        <v>31.9</v>
      </c>
      <c r="K187" s="11">
        <f t="shared" si="41"/>
        <v>11.428999999999998</v>
      </c>
      <c r="L187" s="11">
        <f t="shared" si="42"/>
        <v>43.328999999999994</v>
      </c>
      <c r="M187" s="11" cm="1">
        <f t="array" aca="1" ref="M187" ca="1">_xlfn.XLOOKUP($B187,    INDIRECT("'" &amp; $C$3 &amp; "'!$A$20:$A$219"),    _xlfn.XLOOKUP(M$18,INDIRECT("'" &amp; $C$3 &amp; "'!$B$18:$X$18"), INDIRECT("'" &amp; $C$3 &amp; "'!$B$20:$X$219"),"XXXXX",0,1),    "XX",    0,    1)</f>
        <v>26.928999999999998</v>
      </c>
      <c r="N187" s="11">
        <f t="shared" ca="1" si="43"/>
        <v>20.428999999999995</v>
      </c>
      <c r="O187" s="4">
        <f t="shared" ca="1" si="44"/>
        <v>9</v>
      </c>
      <c r="P187" s="11">
        <v>15.285948890643862</v>
      </c>
      <c r="Q187" s="11">
        <f t="shared" ca="1" si="45"/>
        <v>37.043051109356128</v>
      </c>
      <c r="R187" s="11" t="str">
        <f t="shared" ca="1" si="46"/>
        <v>conical</v>
      </c>
      <c r="S187" s="13">
        <f t="shared" ca="1" si="47"/>
        <v>8.9</v>
      </c>
      <c r="T187" s="13"/>
    </row>
    <row r="188" spans="1:20" x14ac:dyDescent="0.2">
      <c r="A188" s="11" t="s">
        <v>4</v>
      </c>
      <c r="B188" s="11" t="s">
        <v>184</v>
      </c>
      <c r="C188" s="11">
        <f>_xlfn.XLOOKUP($A188,'Conical section geometry'!$B$11:$B$17,'Conical section geometry'!$C$11:$C$17,"XXXX",0,1)</f>
        <v>-6.5</v>
      </c>
      <c r="D188" s="11">
        <f>_xlfn.XLOOKUP($A188,'Conical section geometry'!$B$11:$B$17,'Conical section geometry'!$D$11:$D$17,"XXXX",0,1)</f>
        <v>-20.786000000000001</v>
      </c>
      <c r="E188" s="11" cm="1">
        <f t="array" aca="1" ref="E188" ca="1">_xlfn.XLOOKUP($B188,    INDIRECT("'" &amp; $C$3 &amp; "'!$A$20:$A$219"),    _xlfn.XLOOKUP(E$18,INDIRECT("'" &amp; $C$3 &amp; "'!$B$18:$X$18"), INDIRECT("'" &amp; $C$3 &amp; "'!$B$20:$X$219"),"XXXXX",0,1),    "XX",    0,    1)</f>
        <v>8</v>
      </c>
      <c r="F188" s="11" cm="1">
        <f t="array" aca="1" ref="F188" ca="1">_xlfn.XLOOKUP($B188,    INDIRECT("'" &amp; $C$3 &amp; "'!$A$20:$A$219"),    _xlfn.XLOOKUP(F$18,INDIRECT("'" &amp; $C$3 &amp; "'!$B$18:$X$18"), INDIRECT("'" &amp; $C$3 &amp; "'!$B$20:$X$219"),"XXXXX",0,1),    "XX",    0,    1)</f>
        <v>10.5</v>
      </c>
      <c r="G188" s="11">
        <f>_xlfn.XLOOKUP($A188,'Conical section geometry'!$B$11:$B$17,'Conical section geometry'!$E$11:$E$17,"XXXX",0,1)</f>
        <v>-174.996500069999</v>
      </c>
      <c r="H188" s="11" cm="1">
        <f t="array" aca="1" ref="H188" ca="1">_xlfn.XLOOKUP($B188,    INDIRECT("'" &amp; $C$3 &amp; "'!$A$20:$A$219"),    _xlfn.XLOOKUP(H$18,INDIRECT("'" &amp; $C$3 &amp; "'!$B$18:$X$18"), INDIRECT("'" &amp; $C$3 &amp; "'!$B$20:$X$219"),"XXXXX",0,1),    "XX",    0,    1)</f>
        <v>-39.9</v>
      </c>
      <c r="I188" s="11" cm="1">
        <f t="array" aca="1" ref="I188" ca="1">_xlfn.XLOOKUP($B188,    INDIRECT("'" &amp; $C$3 &amp; "'!$A$20:$A$219"),    _xlfn.XLOOKUP(I$18,INDIRECT("'" &amp; $C$3 &amp; "'!$B$18:$X$18"), INDIRECT("'" &amp; $C$3 &amp; "'!$B$20:$X$219"),"XXXXX",0,1),    "XX",    0,    1)</f>
        <v>92.2</v>
      </c>
      <c r="J188" s="11">
        <f t="shared" si="40"/>
        <v>31.9</v>
      </c>
      <c r="K188" s="11">
        <f t="shared" si="41"/>
        <v>14.286000000000001</v>
      </c>
      <c r="L188" s="11">
        <f t="shared" si="42"/>
        <v>46.186</v>
      </c>
      <c r="M188" s="11" cm="1">
        <f t="array" aca="1" ref="M188" ca="1">_xlfn.XLOOKUP($B188,    INDIRECT("'" &amp; $C$3 &amp; "'!$A$20:$A$219"),    _xlfn.XLOOKUP(M$18,INDIRECT("'" &amp; $C$3 &amp; "'!$B$18:$X$18"), INDIRECT("'" &amp; $C$3 &amp; "'!$B$20:$X$219"),"XXXXX",0,1),    "XX",    0,    1)</f>
        <v>26.9</v>
      </c>
      <c r="N188" s="11">
        <f t="shared" ca="1" si="43"/>
        <v>20.400000000000006</v>
      </c>
      <c r="O188" s="4">
        <f t="shared" ca="1" si="44"/>
        <v>6.1140000000000043</v>
      </c>
      <c r="P188" s="11">
        <v>15.257040000000014</v>
      </c>
      <c r="Q188" s="11">
        <f t="shared" ca="1" si="45"/>
        <v>37.042959999999994</v>
      </c>
      <c r="R188" s="11" t="str">
        <f t="shared" ca="1" si="46"/>
        <v>conical</v>
      </c>
      <c r="S188" s="13">
        <f t="shared" ca="1" si="47"/>
        <v>8.9000000000000021</v>
      </c>
      <c r="T188" s="13"/>
    </row>
    <row r="189" spans="1:20" x14ac:dyDescent="0.2">
      <c r="A189" s="11" t="s">
        <v>3</v>
      </c>
      <c r="B189" s="11" t="s">
        <v>35</v>
      </c>
      <c r="C189" s="11">
        <f>_xlfn.XLOOKUP($A189,'Conical section geometry'!$B$11:$B$17,'Conical section geometry'!$C$11:$C$17,"XXXX",0,1)</f>
        <v>-6.5</v>
      </c>
      <c r="D189" s="11">
        <f>_xlfn.XLOOKUP($A189,'Conical section geometry'!$B$11:$B$17,'Conical section geometry'!$D$11:$D$17,"XXXX",0,1)</f>
        <v>-17.928999999999998</v>
      </c>
      <c r="E189" s="11" cm="1">
        <f t="array" aca="1" ref="E189" ca="1">_xlfn.XLOOKUP($B189,    INDIRECT("'" &amp; $C$3 &amp; "'!$A$20:$A$219"),    _xlfn.XLOOKUP(E$18,INDIRECT("'" &amp; $C$3 &amp; "'!$B$18:$X$18"), INDIRECT("'" &amp; $C$3 &amp; "'!$B$20:$X$219"),"XXXXX",0,1),    "XX",    0,    1)</f>
        <v>8</v>
      </c>
      <c r="F189" s="11" cm="1">
        <f t="array" aca="1" ref="F189" ca="1">_xlfn.XLOOKUP($B189,    INDIRECT("'" &amp; $C$3 &amp; "'!$A$20:$A$219"),    _xlfn.XLOOKUP(F$18,INDIRECT("'" &amp; $C$3 &amp; "'!$B$18:$X$18"), INDIRECT("'" &amp; $C$3 &amp; "'!$B$20:$X$219"),"XXXXX",0,1),    "XX",    0,    1)</f>
        <v>10</v>
      </c>
      <c r="G189" s="11">
        <f>_xlfn.XLOOKUP($A189,'Conical section geometry'!$B$11:$B$17,'Conical section geometry'!$E$11:$E$17,"XXXX",0,1)</f>
        <v>-174.99340000000001</v>
      </c>
      <c r="H189" s="11" cm="1">
        <f t="array" aca="1" ref="H189" ca="1">_xlfn.XLOOKUP($B189,    INDIRECT("'" &amp; $C$3 &amp; "'!$A$20:$A$219"),    _xlfn.XLOOKUP(H$18,INDIRECT("'" &amp; $C$3 &amp; "'!$B$18:$X$18"), INDIRECT("'" &amp; $C$3 &amp; "'!$B$20:$X$219"),"XXXXX",0,1),    "XX",    0,    1)</f>
        <v>-38.9</v>
      </c>
      <c r="I189" s="11" cm="1">
        <f t="array" aca="1" ref="I189" ca="1">_xlfn.XLOOKUP($B189,    INDIRECT("'" &amp; $C$3 &amp; "'!$A$20:$A$219"),    _xlfn.XLOOKUP(I$18,INDIRECT("'" &amp; $C$3 &amp; "'!$B$18:$X$18"), INDIRECT("'" &amp; $C$3 &amp; "'!$B$20:$X$219"),"XXXXX",0,1),    "XX",    0,    1)</f>
        <v>91.2</v>
      </c>
      <c r="J189" s="11">
        <f t="shared" si="40"/>
        <v>31.9</v>
      </c>
      <c r="K189" s="11">
        <f t="shared" si="41"/>
        <v>11.428999999999998</v>
      </c>
      <c r="L189" s="11">
        <f t="shared" si="42"/>
        <v>43.328999999999994</v>
      </c>
      <c r="M189" s="11" cm="1">
        <f t="array" aca="1" ref="M189" ca="1">_xlfn.XLOOKUP($B189,    INDIRECT("'" &amp; $C$3 &amp; "'!$A$20:$A$219"),    _xlfn.XLOOKUP(M$18,INDIRECT("'" &amp; $C$3 &amp; "'!$B$18:$X$18"), INDIRECT("'" &amp; $C$3 &amp; "'!$B$20:$X$219"),"XXXXX",0,1),    "XX",    0,    1)</f>
        <v>26.9</v>
      </c>
      <c r="N189" s="11">
        <f t="shared" ca="1" si="43"/>
        <v>20.400000000000006</v>
      </c>
      <c r="O189" s="4">
        <f t="shared" ca="1" si="44"/>
        <v>8.9710000000000107</v>
      </c>
      <c r="P189" s="11">
        <v>15.256948890643882</v>
      </c>
      <c r="Q189" s="11">
        <f t="shared" ca="1" si="45"/>
        <v>37.043051109356121</v>
      </c>
      <c r="R189" s="11" t="str">
        <f t="shared" ca="1" si="46"/>
        <v>conical</v>
      </c>
      <c r="S189" s="13">
        <f t="shared" ca="1" si="47"/>
        <v>8.9</v>
      </c>
      <c r="T189" s="13"/>
    </row>
    <row r="190" spans="1:20" x14ac:dyDescent="0.2">
      <c r="A190" s="11" t="s">
        <v>3</v>
      </c>
      <c r="B190" s="11" t="s">
        <v>80</v>
      </c>
      <c r="C190" s="11">
        <f>_xlfn.XLOOKUP($A190,'Conical section geometry'!$B$11:$B$17,'Conical section geometry'!$C$11:$C$17,"XXXX",0,1)</f>
        <v>-6.5</v>
      </c>
      <c r="D190" s="11">
        <f>_xlfn.XLOOKUP($A190,'Conical section geometry'!$B$11:$B$17,'Conical section geometry'!$D$11:$D$17,"XXXX",0,1)</f>
        <v>-17.928999999999998</v>
      </c>
      <c r="E190" s="11" cm="1">
        <f t="array" aca="1" ref="E190" ca="1">_xlfn.XLOOKUP($B190,    INDIRECT("'" &amp; $C$3 &amp; "'!$A$20:$A$219"),    _xlfn.XLOOKUP(E$18,INDIRECT("'" &amp; $C$3 &amp; "'!$B$18:$X$18"), INDIRECT("'" &amp; $C$3 &amp; "'!$B$20:$X$219"),"XXXXX",0,1),    "XX",    0,    1)</f>
        <v>8</v>
      </c>
      <c r="F190" s="11" cm="1">
        <f t="array" aca="1" ref="F190" ca="1">_xlfn.XLOOKUP($B190,    INDIRECT("'" &amp; $C$3 &amp; "'!$A$20:$A$219"),    _xlfn.XLOOKUP(F$18,INDIRECT("'" &amp; $C$3 &amp; "'!$B$18:$X$18"), INDIRECT("'" &amp; $C$3 &amp; "'!$B$20:$X$219"),"XXXXX",0,1),    "XX",    0,    1)</f>
        <v>10</v>
      </c>
      <c r="G190" s="11">
        <f>_xlfn.XLOOKUP($A190,'Conical section geometry'!$B$11:$B$17,'Conical section geometry'!$E$11:$E$17,"XXXX",0,1)</f>
        <v>-174.99340000000001</v>
      </c>
      <c r="H190" s="11" cm="1">
        <f t="array" aca="1" ref="H190" ca="1">_xlfn.XLOOKUP($B190,    INDIRECT("'" &amp; $C$3 &amp; "'!$A$20:$A$219"),    _xlfn.XLOOKUP(H$18,INDIRECT("'" &amp; $C$3 &amp; "'!$B$18:$X$18"), INDIRECT("'" &amp; $C$3 &amp; "'!$B$20:$X$219"),"XXXXX",0,1),    "XX",    0,    1)</f>
        <v>-36.799999999999997</v>
      </c>
      <c r="I190" s="11" cm="1">
        <f t="array" aca="1" ref="I190" ca="1">_xlfn.XLOOKUP($B190,    INDIRECT("'" &amp; $C$3 &amp; "'!$A$20:$A$219"),    _xlfn.XLOOKUP(I$18,INDIRECT("'" &amp; $C$3 &amp; "'!$B$18:$X$18"), INDIRECT("'" &amp; $C$3 &amp; "'!$B$20:$X$219"),"XXXXX",0,1),    "XX",    0,    1)</f>
        <v>89.1</v>
      </c>
      <c r="J190" s="11">
        <f t="shared" si="40"/>
        <v>31.9</v>
      </c>
      <c r="K190" s="11">
        <f t="shared" si="41"/>
        <v>11.428999999999998</v>
      </c>
      <c r="L190" s="11">
        <f t="shared" si="42"/>
        <v>43.328999999999994</v>
      </c>
      <c r="M190" s="11" cm="1">
        <f t="array" aca="1" ref="M190" ca="1">_xlfn.XLOOKUP($B190,    INDIRECT("'" &amp; $C$3 &amp; "'!$A$20:$A$219"),    _xlfn.XLOOKUP(M$18,INDIRECT("'" &amp; $C$3 &amp; "'!$B$18:$X$18"), INDIRECT("'" &amp; $C$3 &amp; "'!$B$20:$X$219"),"XXXXX",0,1),    "XX",    0,    1)</f>
        <v>26.9</v>
      </c>
      <c r="N190" s="11">
        <f t="shared" ca="1" si="43"/>
        <v>20.399999999999999</v>
      </c>
      <c r="O190" s="4">
        <f t="shared" ca="1" si="44"/>
        <v>8.9710000000000036</v>
      </c>
      <c r="P190" s="11">
        <v>15.256948890643869</v>
      </c>
      <c r="Q190" s="11">
        <f t="shared" ca="1" si="45"/>
        <v>37.043051109356128</v>
      </c>
      <c r="R190" s="11" t="str">
        <f t="shared" ca="1" si="46"/>
        <v>conical</v>
      </c>
      <c r="S190" s="13">
        <f t="shared" ca="1" si="47"/>
        <v>8.9</v>
      </c>
      <c r="T190" s="13"/>
    </row>
    <row r="191" spans="1:20" x14ac:dyDescent="0.2">
      <c r="A191" s="11" t="s">
        <v>3</v>
      </c>
      <c r="B191" s="11" t="s">
        <v>76</v>
      </c>
      <c r="C191" s="11">
        <f>_xlfn.XLOOKUP($A191,'Conical section geometry'!$B$11:$B$17,'Conical section geometry'!$C$11:$C$17,"XXXX",0,1)</f>
        <v>-6.5</v>
      </c>
      <c r="D191" s="11">
        <f>_xlfn.XLOOKUP($A191,'Conical section geometry'!$B$11:$B$17,'Conical section geometry'!$D$11:$D$17,"XXXX",0,1)</f>
        <v>-17.928999999999998</v>
      </c>
      <c r="E191" s="11" cm="1">
        <f t="array" aca="1" ref="E191" ca="1">_xlfn.XLOOKUP($B191,    INDIRECT("'" &amp; $C$3 &amp; "'!$A$20:$A$219"),    _xlfn.XLOOKUP(E$18,INDIRECT("'" &amp; $C$3 &amp; "'!$B$18:$X$18"), INDIRECT("'" &amp; $C$3 &amp; "'!$B$20:$X$219"),"XXXXX",0,1),    "XX",    0,    1)</f>
        <v>8</v>
      </c>
      <c r="F191" s="11" cm="1">
        <f t="array" aca="1" ref="F191" ca="1">_xlfn.XLOOKUP($B191,    INDIRECT("'" &amp; $C$3 &amp; "'!$A$20:$A$219"),    _xlfn.XLOOKUP(F$18,INDIRECT("'" &amp; $C$3 &amp; "'!$B$18:$X$18"), INDIRECT("'" &amp; $C$3 &amp; "'!$B$20:$X$219"),"XXXXX",0,1),    "XX",    0,    1)</f>
        <v>10</v>
      </c>
      <c r="G191" s="11">
        <f>_xlfn.XLOOKUP($A191,'Conical section geometry'!$B$11:$B$17,'Conical section geometry'!$E$11:$E$17,"XXXX",0,1)</f>
        <v>-174.99340000000001</v>
      </c>
      <c r="H191" s="11" cm="1">
        <f t="array" aca="1" ref="H191" ca="1">_xlfn.XLOOKUP($B191,    INDIRECT("'" &amp; $C$3 &amp; "'!$A$20:$A$219"),    _xlfn.XLOOKUP(H$18,INDIRECT("'" &amp; $C$3 &amp; "'!$B$18:$X$18"), INDIRECT("'" &amp; $C$3 &amp; "'!$B$20:$X$219"),"XXXXX",0,1),    "XX",    0,    1)</f>
        <v>-36.700000000000003</v>
      </c>
      <c r="I191" s="11" cm="1">
        <f t="array" aca="1" ref="I191" ca="1">_xlfn.XLOOKUP($B191,    INDIRECT("'" &amp; $C$3 &amp; "'!$A$20:$A$219"),    _xlfn.XLOOKUP(I$18,INDIRECT("'" &amp; $C$3 &amp; "'!$B$18:$X$18"), INDIRECT("'" &amp; $C$3 &amp; "'!$B$20:$X$219"),"XXXXX",0,1),    "XX",    0,    1)</f>
        <v>88.8</v>
      </c>
      <c r="J191" s="11">
        <f t="shared" si="40"/>
        <v>31.9</v>
      </c>
      <c r="K191" s="11">
        <f t="shared" si="41"/>
        <v>11.428999999999998</v>
      </c>
      <c r="L191" s="11">
        <f t="shared" si="42"/>
        <v>43.328999999999994</v>
      </c>
      <c r="M191" s="11" cm="1">
        <f t="array" aca="1" ref="M191" ca="1">_xlfn.XLOOKUP($B191,    INDIRECT("'" &amp; $C$3 &amp; "'!$A$20:$A$219"),    _xlfn.XLOOKUP(M$18,INDIRECT("'" &amp; $C$3 &amp; "'!$B$18:$X$18"), INDIRECT("'" &amp; $C$3 &amp; "'!$B$20:$X$219"),"XXXXX",0,1),    "XX",    0,    1)</f>
        <v>26.7</v>
      </c>
      <c r="N191" s="11">
        <f t="shared" ca="1" si="43"/>
        <v>20.199999999999996</v>
      </c>
      <c r="O191" s="4">
        <f t="shared" ca="1" si="44"/>
        <v>8.7710000000000008</v>
      </c>
      <c r="P191" s="11">
        <v>15.056948890643866</v>
      </c>
      <c r="Q191" s="11">
        <f t="shared" ca="1" si="45"/>
        <v>37.043051109356128</v>
      </c>
      <c r="R191" s="11" t="str">
        <f t="shared" ca="1" si="46"/>
        <v>conical</v>
      </c>
      <c r="S191" s="13">
        <f t="shared" ca="1" si="47"/>
        <v>8.9</v>
      </c>
      <c r="T191" s="13"/>
    </row>
    <row r="192" spans="1:20" x14ac:dyDescent="0.2">
      <c r="A192" s="11" t="s">
        <v>3</v>
      </c>
      <c r="B192" s="11" t="s">
        <v>55</v>
      </c>
      <c r="C192" s="11">
        <f>_xlfn.XLOOKUP($A192,'Conical section geometry'!$B$11:$B$17,'Conical section geometry'!$C$11:$C$17,"XXXX",0,1)</f>
        <v>-6.5</v>
      </c>
      <c r="D192" s="11">
        <f>_xlfn.XLOOKUP($A192,'Conical section geometry'!$B$11:$B$17,'Conical section geometry'!$D$11:$D$17,"XXXX",0,1)</f>
        <v>-17.928999999999998</v>
      </c>
      <c r="E192" s="11" cm="1">
        <f t="array" aca="1" ref="E192" ca="1">_xlfn.XLOOKUP($B192,    INDIRECT("'" &amp; $C$3 &amp; "'!$A$20:$A$219"),    _xlfn.XLOOKUP(E$18,INDIRECT("'" &amp; $C$3 &amp; "'!$B$18:$X$18"), INDIRECT("'" &amp; $C$3 &amp; "'!$B$20:$X$219"),"XXXXX",0,1),    "XX",    0,    1)</f>
        <v>8</v>
      </c>
      <c r="F192" s="11" cm="1">
        <f t="array" aca="1" ref="F192" ca="1">_xlfn.XLOOKUP($B192,    INDIRECT("'" &amp; $C$3 &amp; "'!$A$20:$A$219"),    _xlfn.XLOOKUP(F$18,INDIRECT("'" &amp; $C$3 &amp; "'!$B$18:$X$18"), INDIRECT("'" &amp; $C$3 &amp; "'!$B$20:$X$219"),"XXXXX",0,1),    "XX",    0,    1)</f>
        <v>10</v>
      </c>
      <c r="G192" s="11">
        <f>_xlfn.XLOOKUP($A192,'Conical section geometry'!$B$11:$B$17,'Conical section geometry'!$E$11:$E$17,"XXXX",0,1)</f>
        <v>-174.99340000000001</v>
      </c>
      <c r="H192" s="11" cm="1">
        <f t="array" aca="1" ref="H192" ca="1">_xlfn.XLOOKUP($B192,    INDIRECT("'" &amp; $C$3 &amp; "'!$A$20:$A$219"),    _xlfn.XLOOKUP(H$18,INDIRECT("'" &amp; $C$3 &amp; "'!$B$18:$X$18"), INDIRECT("'" &amp; $C$3 &amp; "'!$B$20:$X$219"),"XXXXX",0,1),    "XX",    0,    1)</f>
        <v>-37.799999999999997</v>
      </c>
      <c r="I192" s="11" cm="1">
        <f t="array" aca="1" ref="I192" ca="1">_xlfn.XLOOKUP($B192,    INDIRECT("'" &amp; $C$3 &amp; "'!$A$20:$A$219"),    _xlfn.XLOOKUP(I$18,INDIRECT("'" &amp; $C$3 &amp; "'!$B$18:$X$18"), INDIRECT("'" &amp; $C$3 &amp; "'!$B$20:$X$219"),"XXXXX",0,1),    "XX",    0,    1)</f>
        <v>89.7</v>
      </c>
      <c r="J192" s="11">
        <f t="shared" si="40"/>
        <v>31.9</v>
      </c>
      <c r="K192" s="11">
        <f t="shared" si="41"/>
        <v>11.428999999999998</v>
      </c>
      <c r="L192" s="11">
        <f t="shared" si="42"/>
        <v>43.328999999999994</v>
      </c>
      <c r="M192" s="11" cm="1">
        <f t="array" aca="1" ref="M192" ca="1">_xlfn.XLOOKUP($B192,    INDIRECT("'" &amp; $C$3 &amp; "'!$A$20:$A$219"),    _xlfn.XLOOKUP(M$18,INDIRECT("'" &amp; $C$3 &amp; "'!$B$18:$X$18"), INDIRECT("'" &amp; $C$3 &amp; "'!$B$20:$X$219"),"XXXXX",0,1),    "XX",    0,    1)</f>
        <v>26.5</v>
      </c>
      <c r="N192" s="11">
        <f t="shared" ca="1" si="43"/>
        <v>20.000000000000007</v>
      </c>
      <c r="O192" s="4">
        <f t="shared" ca="1" si="44"/>
        <v>8.5710000000000122</v>
      </c>
      <c r="P192" s="11">
        <v>14.856948890643885</v>
      </c>
      <c r="Q192" s="11">
        <f t="shared" ca="1" si="45"/>
        <v>37.043051109356121</v>
      </c>
      <c r="R192" s="11" t="str">
        <f t="shared" ca="1" si="46"/>
        <v>conical</v>
      </c>
      <c r="S192" s="13">
        <f t="shared" ca="1" si="47"/>
        <v>8.9</v>
      </c>
      <c r="T192" s="13"/>
    </row>
    <row r="193" spans="1:20" x14ac:dyDescent="0.2">
      <c r="A193" s="11" t="s">
        <v>3</v>
      </c>
      <c r="B193" s="11" t="s">
        <v>70</v>
      </c>
      <c r="C193" s="11">
        <f>_xlfn.XLOOKUP($A193,'Conical section geometry'!$B$11:$B$17,'Conical section geometry'!$C$11:$C$17,"XXXX",0,1)</f>
        <v>-6.5</v>
      </c>
      <c r="D193" s="11">
        <f>_xlfn.XLOOKUP($A193,'Conical section geometry'!$B$11:$B$17,'Conical section geometry'!$D$11:$D$17,"XXXX",0,1)</f>
        <v>-17.928999999999998</v>
      </c>
      <c r="E193" s="11" cm="1">
        <f t="array" aca="1" ref="E193" ca="1">_xlfn.XLOOKUP($B193,    INDIRECT("'" &amp; $C$3 &amp; "'!$A$20:$A$219"),    _xlfn.XLOOKUP(E$18,INDIRECT("'" &amp; $C$3 &amp; "'!$B$18:$X$18"), INDIRECT("'" &amp; $C$3 &amp; "'!$B$20:$X$219"),"XXXXX",0,1),    "XX",    0,    1)</f>
        <v>8</v>
      </c>
      <c r="F193" s="11" cm="1">
        <f t="array" aca="1" ref="F193" ca="1">_xlfn.XLOOKUP($B193,    INDIRECT("'" &amp; $C$3 &amp; "'!$A$20:$A$219"),    _xlfn.XLOOKUP(F$18,INDIRECT("'" &amp; $C$3 &amp; "'!$B$18:$X$18"), INDIRECT("'" &amp; $C$3 &amp; "'!$B$20:$X$219"),"XXXXX",0,1),    "XX",    0,    1)</f>
        <v>10</v>
      </c>
      <c r="G193" s="11">
        <f>_xlfn.XLOOKUP($A193,'Conical section geometry'!$B$11:$B$17,'Conical section geometry'!$E$11:$E$17,"XXXX",0,1)</f>
        <v>-174.99340000000001</v>
      </c>
      <c r="H193" s="11" cm="1">
        <f t="array" aca="1" ref="H193" ca="1">_xlfn.XLOOKUP($B193,    INDIRECT("'" &amp; $C$3 &amp; "'!$A$20:$A$219"),    _xlfn.XLOOKUP(H$18,INDIRECT("'" &amp; $C$3 &amp; "'!$B$18:$X$18"), INDIRECT("'" &amp; $C$3 &amp; "'!$B$20:$X$219"),"XXXXX",0,1),    "XX",    0,    1)</f>
        <v>-37.200000000000003</v>
      </c>
      <c r="I193" s="11" cm="1">
        <f t="array" aca="1" ref="I193" ca="1">_xlfn.XLOOKUP($B193,    INDIRECT("'" &amp; $C$3 &amp; "'!$A$20:$A$219"),    _xlfn.XLOOKUP(I$18,INDIRECT("'" &amp; $C$3 &amp; "'!$B$18:$X$18"), INDIRECT("'" &amp; $C$3 &amp; "'!$B$20:$X$219"),"XXXXX",0,1),    "XX",    0,    1)</f>
        <v>89</v>
      </c>
      <c r="J193" s="11">
        <f t="shared" si="40"/>
        <v>31.9</v>
      </c>
      <c r="K193" s="11">
        <f t="shared" si="41"/>
        <v>11.428999999999998</v>
      </c>
      <c r="L193" s="11">
        <f t="shared" si="42"/>
        <v>43.328999999999994</v>
      </c>
      <c r="M193" s="11" cm="1">
        <f t="array" aca="1" ref="M193" ca="1">_xlfn.XLOOKUP($B193,    INDIRECT("'" &amp; $C$3 &amp; "'!$A$20:$A$219"),    _xlfn.XLOOKUP(M$18,INDIRECT("'" &amp; $C$3 &amp; "'!$B$18:$X$18"), INDIRECT("'" &amp; $C$3 &amp; "'!$B$20:$X$219"),"XXXXX",0,1),    "XX",    0,    1)</f>
        <v>26.4</v>
      </c>
      <c r="N193" s="11">
        <f t="shared" ca="1" si="43"/>
        <v>19.899999999999999</v>
      </c>
      <c r="O193" s="4">
        <f t="shared" ca="1" si="44"/>
        <v>8.4710000000000036</v>
      </c>
      <c r="P193" s="11">
        <v>14.756948890643866</v>
      </c>
      <c r="Q193" s="11">
        <f t="shared" ca="1" si="45"/>
        <v>37.043051109356128</v>
      </c>
      <c r="R193" s="11" t="str">
        <f t="shared" ca="1" si="46"/>
        <v>conical</v>
      </c>
      <c r="S193" s="13">
        <f t="shared" ca="1" si="47"/>
        <v>8.9</v>
      </c>
      <c r="T193" s="13"/>
    </row>
    <row r="194" spans="1:20" x14ac:dyDescent="0.2">
      <c r="A194" s="11" t="s">
        <v>3</v>
      </c>
      <c r="B194" s="11" t="s">
        <v>37</v>
      </c>
      <c r="C194" s="11">
        <f>_xlfn.XLOOKUP($A194,'Conical section geometry'!$B$11:$B$17,'Conical section geometry'!$C$11:$C$17,"XXXX",0,1)</f>
        <v>-6.5</v>
      </c>
      <c r="D194" s="11">
        <f>_xlfn.XLOOKUP($A194,'Conical section geometry'!$B$11:$B$17,'Conical section geometry'!$D$11:$D$17,"XXXX",0,1)</f>
        <v>-17.928999999999998</v>
      </c>
      <c r="E194" s="11" cm="1">
        <f t="array" aca="1" ref="E194" ca="1">_xlfn.XLOOKUP($B194,    INDIRECT("'" &amp; $C$3 &amp; "'!$A$20:$A$219"),    _xlfn.XLOOKUP(E$18,INDIRECT("'" &amp; $C$3 &amp; "'!$B$18:$X$18"), INDIRECT("'" &amp; $C$3 &amp; "'!$B$20:$X$219"),"XXXXX",0,1),    "XX",    0,    1)</f>
        <v>8</v>
      </c>
      <c r="F194" s="11" cm="1">
        <f t="array" aca="1" ref="F194" ca="1">_xlfn.XLOOKUP($B194,    INDIRECT("'" &amp; $C$3 &amp; "'!$A$20:$A$219"),    _xlfn.XLOOKUP(F$18,INDIRECT("'" &amp; $C$3 &amp; "'!$B$18:$X$18"), INDIRECT("'" &amp; $C$3 &amp; "'!$B$20:$X$219"),"XXXXX",0,1),    "XX",    0,    1)</f>
        <v>10</v>
      </c>
      <c r="G194" s="11">
        <f>_xlfn.XLOOKUP($A194,'Conical section geometry'!$B$11:$B$17,'Conical section geometry'!$E$11:$E$17,"XXXX",0,1)</f>
        <v>-174.99340000000001</v>
      </c>
      <c r="H194" s="11" cm="1">
        <f t="array" aca="1" ref="H194" ca="1">_xlfn.XLOOKUP($B194,    INDIRECT("'" &amp; $C$3 &amp; "'!$A$20:$A$219"),    _xlfn.XLOOKUP(H$18,INDIRECT("'" &amp; $C$3 &amp; "'!$B$18:$X$18"), INDIRECT("'" &amp; $C$3 &amp; "'!$B$20:$X$219"),"XXXXX",0,1),    "XX",    0,    1)</f>
        <v>-38.700000000000003</v>
      </c>
      <c r="I194" s="11" cm="1">
        <f t="array" aca="1" ref="I194" ca="1">_xlfn.XLOOKUP($B194,    INDIRECT("'" &amp; $C$3 &amp; "'!$A$20:$A$219"),    _xlfn.XLOOKUP(I$18,INDIRECT("'" &amp; $C$3 &amp; "'!$B$18:$X$18"), INDIRECT("'" &amp; $C$3 &amp; "'!$B$20:$X$219"),"XXXXX",0,1),    "XX",    0,    1)</f>
        <v>90.4</v>
      </c>
      <c r="J194" s="11">
        <f t="shared" si="40"/>
        <v>31.9</v>
      </c>
      <c r="K194" s="11">
        <f t="shared" si="41"/>
        <v>11.428999999999998</v>
      </c>
      <c r="L194" s="11">
        <f t="shared" si="42"/>
        <v>43.328999999999994</v>
      </c>
      <c r="M194" s="11" cm="1">
        <f t="array" aca="1" ref="M194" ca="1">_xlfn.XLOOKUP($B194,    INDIRECT("'" &amp; $C$3 &amp; "'!$A$20:$A$219"),    _xlfn.XLOOKUP(M$18,INDIRECT("'" &amp; $C$3 &amp; "'!$B$18:$X$18"), INDIRECT("'" &amp; $C$3 &amp; "'!$B$20:$X$219"),"XXXXX",0,1),    "XX",    0,    1)</f>
        <v>26.3</v>
      </c>
      <c r="N194" s="11">
        <f t="shared" ca="1" si="43"/>
        <v>19.800000000000004</v>
      </c>
      <c r="O194" s="4">
        <f t="shared" ca="1" si="44"/>
        <v>8.3710000000000093</v>
      </c>
      <c r="P194" s="11">
        <v>14.656948890643875</v>
      </c>
      <c r="Q194" s="11">
        <f t="shared" ca="1" si="45"/>
        <v>37.043051109356128</v>
      </c>
      <c r="R194" s="11" t="str">
        <f t="shared" ca="1" si="46"/>
        <v>conical</v>
      </c>
      <c r="S194" s="13">
        <f t="shared" ca="1" si="47"/>
        <v>8.9</v>
      </c>
      <c r="T194" s="13"/>
    </row>
    <row r="195" spans="1:20" x14ac:dyDescent="0.2">
      <c r="A195" s="11" t="s">
        <v>3</v>
      </c>
      <c r="B195" s="11" t="s">
        <v>136</v>
      </c>
      <c r="C195" s="11">
        <f>_xlfn.XLOOKUP($A195,'Conical section geometry'!$B$11:$B$17,'Conical section geometry'!$C$11:$C$17,"XXXX",0,1)</f>
        <v>-6.5</v>
      </c>
      <c r="D195" s="11">
        <f>_xlfn.XLOOKUP($A195,'Conical section geometry'!$B$11:$B$17,'Conical section geometry'!$D$11:$D$17,"XXXX",0,1)</f>
        <v>-17.928999999999998</v>
      </c>
      <c r="E195" s="11" cm="1">
        <f t="array" aca="1" ref="E195" ca="1">_xlfn.XLOOKUP($B195,    INDIRECT("'" &amp; $C$3 &amp; "'!$A$20:$A$219"),    _xlfn.XLOOKUP(E$18,INDIRECT("'" &amp; $C$3 &amp; "'!$B$18:$X$18"), INDIRECT("'" &amp; $C$3 &amp; "'!$B$20:$X$219"),"XXXXX",0,1),    "XX",    0,    1)</f>
        <v>8</v>
      </c>
      <c r="F195" s="11" cm="1">
        <f t="array" aca="1" ref="F195" ca="1">_xlfn.XLOOKUP($B195,    INDIRECT("'" &amp; $C$3 &amp; "'!$A$20:$A$219"),    _xlfn.XLOOKUP(F$18,INDIRECT("'" &amp; $C$3 &amp; "'!$B$18:$X$18"), INDIRECT("'" &amp; $C$3 &amp; "'!$B$20:$X$219"),"XXXXX",0,1),    "XX",    0,    1)</f>
        <v>10</v>
      </c>
      <c r="G195" s="11">
        <f>_xlfn.XLOOKUP($A195,'Conical section geometry'!$B$11:$B$17,'Conical section geometry'!$E$11:$E$17,"XXXX",0,1)</f>
        <v>-174.99340000000001</v>
      </c>
      <c r="H195" s="11" cm="1">
        <f t="array" aca="1" ref="H195" ca="1">_xlfn.XLOOKUP($B195,    INDIRECT("'" &amp; $C$3 &amp; "'!$A$20:$A$219"),    _xlfn.XLOOKUP(H$18,INDIRECT("'" &amp; $C$3 &amp; "'!$B$18:$X$18"), INDIRECT("'" &amp; $C$3 &amp; "'!$B$20:$X$219"),"XXXXX",0,1),    "XX",    0,    1)</f>
        <v>-33.6</v>
      </c>
      <c r="I195" s="11" cm="1">
        <f t="array" aca="1" ref="I195" ca="1">_xlfn.XLOOKUP($B195,    INDIRECT("'" &amp; $C$3 &amp; "'!$A$20:$A$219"),    _xlfn.XLOOKUP(I$18,INDIRECT("'" &amp; $C$3 &amp; "'!$B$18:$X$18"), INDIRECT("'" &amp; $C$3 &amp; "'!$B$20:$X$219"),"XXXXX",0,1),    "XX",    0,    1)</f>
        <v>85.3</v>
      </c>
      <c r="J195" s="11">
        <f t="shared" si="40"/>
        <v>31.9</v>
      </c>
      <c r="K195" s="11">
        <f t="shared" si="41"/>
        <v>11.428999999999998</v>
      </c>
      <c r="L195" s="11">
        <f t="shared" si="42"/>
        <v>43.328999999999994</v>
      </c>
      <c r="M195" s="11" cm="1">
        <f t="array" aca="1" ref="M195" ca="1">_xlfn.XLOOKUP($B195,    INDIRECT("'" &amp; $C$3 &amp; "'!$A$20:$A$219"),    _xlfn.XLOOKUP(M$18,INDIRECT("'" &amp; $C$3 &amp; "'!$B$18:$X$18"), INDIRECT("'" &amp; $C$3 &amp; "'!$B$20:$X$219"),"XXXXX",0,1),    "XX",    0,    1)</f>
        <v>26.3</v>
      </c>
      <c r="N195" s="11">
        <f t="shared" ca="1" si="43"/>
        <v>19.799999999999997</v>
      </c>
      <c r="O195" s="4">
        <f t="shared" ca="1" si="44"/>
        <v>8.3710000000000022</v>
      </c>
      <c r="P195" s="11">
        <v>14.656948890643864</v>
      </c>
      <c r="Q195" s="11">
        <f t="shared" ca="1" si="45"/>
        <v>37.043051109356128</v>
      </c>
      <c r="R195" s="11" t="str">
        <f t="shared" ca="1" si="46"/>
        <v>conical</v>
      </c>
      <c r="S195" s="13">
        <f t="shared" ca="1" si="47"/>
        <v>8.9</v>
      </c>
      <c r="T195" s="13"/>
    </row>
    <row r="196" spans="1:20" x14ac:dyDescent="0.2">
      <c r="A196" s="11" t="s">
        <v>3</v>
      </c>
      <c r="B196" s="11" t="s">
        <v>77</v>
      </c>
      <c r="C196" s="11">
        <f>_xlfn.XLOOKUP($A196,'Conical section geometry'!$B$11:$B$17,'Conical section geometry'!$C$11:$C$17,"XXXX",0,1)</f>
        <v>-6.5</v>
      </c>
      <c r="D196" s="11">
        <f>_xlfn.XLOOKUP($A196,'Conical section geometry'!$B$11:$B$17,'Conical section geometry'!$D$11:$D$17,"XXXX",0,1)</f>
        <v>-17.928999999999998</v>
      </c>
      <c r="E196" s="11" cm="1">
        <f t="array" aca="1" ref="E196" ca="1">_xlfn.XLOOKUP($B196,    INDIRECT("'" &amp; $C$3 &amp; "'!$A$20:$A$219"),    _xlfn.XLOOKUP(E$18,INDIRECT("'" &amp; $C$3 &amp; "'!$B$18:$X$18"), INDIRECT("'" &amp; $C$3 &amp; "'!$B$20:$X$219"),"XXXXX",0,1),    "XX",    0,    1)</f>
        <v>8</v>
      </c>
      <c r="F196" s="11" cm="1">
        <f t="array" aca="1" ref="F196" ca="1">_xlfn.XLOOKUP($B196,    INDIRECT("'" &amp; $C$3 &amp; "'!$A$20:$A$219"),    _xlfn.XLOOKUP(F$18,INDIRECT("'" &amp; $C$3 &amp; "'!$B$18:$X$18"), INDIRECT("'" &amp; $C$3 &amp; "'!$B$20:$X$219"),"XXXXX",0,1),    "XX",    0,    1)</f>
        <v>10</v>
      </c>
      <c r="G196" s="11">
        <f>_xlfn.XLOOKUP($A196,'Conical section geometry'!$B$11:$B$17,'Conical section geometry'!$E$11:$E$17,"XXXX",0,1)</f>
        <v>-174.99340000000001</v>
      </c>
      <c r="H196" s="11" cm="1">
        <f t="array" aca="1" ref="H196" ca="1">_xlfn.XLOOKUP($B196,    INDIRECT("'" &amp; $C$3 &amp; "'!$A$20:$A$219"),    _xlfn.XLOOKUP(H$18,INDIRECT("'" &amp; $C$3 &amp; "'!$B$18:$X$18"), INDIRECT("'" &amp; $C$3 &amp; "'!$B$20:$X$219"),"XXXXX",0,1),    "XX",    0,    1)</f>
        <v>-36.9</v>
      </c>
      <c r="I196" s="11" cm="1">
        <f t="array" aca="1" ref="I196" ca="1">_xlfn.XLOOKUP($B196,    INDIRECT("'" &amp; $C$3 &amp; "'!$A$20:$A$219"),    _xlfn.XLOOKUP(I$18,INDIRECT("'" &amp; $C$3 &amp; "'!$B$18:$X$18"), INDIRECT("'" &amp; $C$3 &amp; "'!$B$20:$X$219"),"XXXXX",0,1),    "XX",    0,    1)</f>
        <v>88.5</v>
      </c>
      <c r="J196" s="11">
        <f t="shared" si="40"/>
        <v>31.9</v>
      </c>
      <c r="K196" s="11">
        <f t="shared" si="41"/>
        <v>11.428999999999998</v>
      </c>
      <c r="L196" s="11">
        <f t="shared" si="42"/>
        <v>43.328999999999994</v>
      </c>
      <c r="M196" s="11" cm="1">
        <f t="array" aca="1" ref="M196" ca="1">_xlfn.XLOOKUP($B196,    INDIRECT("'" &amp; $C$3 &amp; "'!$A$20:$A$219"),    _xlfn.XLOOKUP(M$18,INDIRECT("'" &amp; $C$3 &amp; "'!$B$18:$X$18"), INDIRECT("'" &amp; $C$3 &amp; "'!$B$20:$X$219"),"XXXXX",0,1),    "XX",    0,    1)</f>
        <v>26.2</v>
      </c>
      <c r="N196" s="11">
        <f t="shared" ca="1" si="43"/>
        <v>19.700000000000003</v>
      </c>
      <c r="O196" s="4">
        <f t="shared" ca="1" si="44"/>
        <v>8.2710000000000079</v>
      </c>
      <c r="P196" s="11">
        <v>14.556948890643877</v>
      </c>
      <c r="Q196" s="11">
        <f t="shared" ca="1" si="45"/>
        <v>37.043051109356128</v>
      </c>
      <c r="R196" s="11" t="str">
        <f t="shared" ca="1" si="46"/>
        <v>conical</v>
      </c>
      <c r="S196" s="13">
        <f t="shared" ca="1" si="47"/>
        <v>8.9</v>
      </c>
      <c r="T196" s="13"/>
    </row>
    <row r="197" spans="1:20" x14ac:dyDescent="0.2">
      <c r="A197" s="11" t="s">
        <v>4</v>
      </c>
      <c r="B197" s="11" t="s">
        <v>188</v>
      </c>
      <c r="C197" s="11">
        <f>_xlfn.XLOOKUP($A197,'Conical section geometry'!$B$11:$B$17,'Conical section geometry'!$C$11:$C$17,"XXXX",0,1)</f>
        <v>-6.5</v>
      </c>
      <c r="D197" s="11">
        <f>_xlfn.XLOOKUP($A197,'Conical section geometry'!$B$11:$B$17,'Conical section geometry'!$D$11:$D$17,"XXXX",0,1)</f>
        <v>-20.786000000000001</v>
      </c>
      <c r="E197" s="11" cm="1">
        <f t="array" aca="1" ref="E197" ca="1">_xlfn.XLOOKUP($B197,    INDIRECT("'" &amp; $C$3 &amp; "'!$A$20:$A$219"),    _xlfn.XLOOKUP(E$18,INDIRECT("'" &amp; $C$3 &amp; "'!$B$18:$X$18"), INDIRECT("'" &amp; $C$3 &amp; "'!$B$20:$X$219"),"XXXXX",0,1),    "XX",    0,    1)</f>
        <v>8</v>
      </c>
      <c r="F197" s="11" cm="1">
        <f t="array" aca="1" ref="F197" ca="1">_xlfn.XLOOKUP($B197,    INDIRECT("'" &amp; $C$3 &amp; "'!$A$20:$A$219"),    _xlfn.XLOOKUP(F$18,INDIRECT("'" &amp; $C$3 &amp; "'!$B$18:$X$18"), INDIRECT("'" &amp; $C$3 &amp; "'!$B$20:$X$219"),"XXXXX",0,1),    "XX",    0,    1)</f>
        <v>10.5</v>
      </c>
      <c r="G197" s="11">
        <f>_xlfn.XLOOKUP($A197,'Conical section geometry'!$B$11:$B$17,'Conical section geometry'!$E$11:$E$17,"XXXX",0,1)</f>
        <v>-174.996500069999</v>
      </c>
      <c r="H197" s="11" cm="1">
        <f t="array" aca="1" ref="H197" ca="1">_xlfn.XLOOKUP($B197,    INDIRECT("'" &amp; $C$3 &amp; "'!$A$20:$A$219"),    _xlfn.XLOOKUP(H$18,INDIRECT("'" &amp; $C$3 &amp; "'!$B$18:$X$18"), INDIRECT("'" &amp; $C$3 &amp; "'!$B$20:$X$219"),"XXXXX",0,1),    "XX",    0,    1)</f>
        <v>-38.6</v>
      </c>
      <c r="I197" s="11" cm="1">
        <f t="array" aca="1" ref="I197" ca="1">_xlfn.XLOOKUP($B197,    INDIRECT("'" &amp; $C$3 &amp; "'!$A$20:$A$219"),    _xlfn.XLOOKUP(I$18,INDIRECT("'" &amp; $C$3 &amp; "'!$B$18:$X$18"), INDIRECT("'" &amp; $C$3 &amp; "'!$B$20:$X$219"),"XXXXX",0,1),    "XX",    0,    1)</f>
        <v>90.1</v>
      </c>
      <c r="J197" s="11">
        <f t="shared" si="40"/>
        <v>31.9</v>
      </c>
      <c r="K197" s="11">
        <f t="shared" si="41"/>
        <v>14.286000000000001</v>
      </c>
      <c r="L197" s="11">
        <f t="shared" si="42"/>
        <v>46.186</v>
      </c>
      <c r="M197" s="11" cm="1">
        <f t="array" aca="1" ref="M197" ca="1">_xlfn.XLOOKUP($B197,    INDIRECT("'" &amp; $C$3 &amp; "'!$A$20:$A$219"),    _xlfn.XLOOKUP(M$18,INDIRECT("'" &amp; $C$3 &amp; "'!$B$18:$X$18"), INDIRECT("'" &amp; $C$3 &amp; "'!$B$20:$X$219"),"XXXXX",0,1),    "XX",    0,    1)</f>
        <v>26.1</v>
      </c>
      <c r="N197" s="11">
        <f t="shared" ca="1" si="43"/>
        <v>19.599999999999994</v>
      </c>
      <c r="O197" s="4">
        <f t="shared" ca="1" si="44"/>
        <v>5.313999999999993</v>
      </c>
      <c r="P197" s="11">
        <v>14.457040000000001</v>
      </c>
      <c r="Q197" s="11">
        <f t="shared" ca="1" si="45"/>
        <v>37.042959999999994</v>
      </c>
      <c r="R197" s="11" t="str">
        <f t="shared" ca="1" si="46"/>
        <v>conical</v>
      </c>
      <c r="S197" s="13">
        <f t="shared" ca="1" si="47"/>
        <v>8.9000000000000021</v>
      </c>
      <c r="T197" s="13"/>
    </row>
    <row r="198" spans="1:20" x14ac:dyDescent="0.2">
      <c r="A198" s="11" t="s">
        <v>3</v>
      </c>
      <c r="B198" s="11" t="s">
        <v>93</v>
      </c>
      <c r="C198" s="11">
        <f>_xlfn.XLOOKUP($A198,'Conical section geometry'!$B$11:$B$17,'Conical section geometry'!$C$11:$C$17,"XXXX",0,1)</f>
        <v>-6.5</v>
      </c>
      <c r="D198" s="11">
        <f>_xlfn.XLOOKUP($A198,'Conical section geometry'!$B$11:$B$17,'Conical section geometry'!$D$11:$D$17,"XXXX",0,1)</f>
        <v>-17.928999999999998</v>
      </c>
      <c r="E198" s="11" cm="1">
        <f t="array" aca="1" ref="E198" ca="1">_xlfn.XLOOKUP($B198,    INDIRECT("'" &amp; $C$3 &amp; "'!$A$20:$A$219"),    _xlfn.XLOOKUP(E$18,INDIRECT("'" &amp; $C$3 &amp; "'!$B$18:$X$18"), INDIRECT("'" &amp; $C$3 &amp; "'!$B$20:$X$219"),"XXXXX",0,1),    "XX",    0,    1)</f>
        <v>8</v>
      </c>
      <c r="F198" s="11" cm="1">
        <f t="array" aca="1" ref="F198" ca="1">_xlfn.XLOOKUP($B198,    INDIRECT("'" &amp; $C$3 &amp; "'!$A$20:$A$219"),    _xlfn.XLOOKUP(F$18,INDIRECT("'" &amp; $C$3 &amp; "'!$B$18:$X$18"), INDIRECT("'" &amp; $C$3 &amp; "'!$B$20:$X$219"),"XXXXX",0,1),    "XX",    0,    1)</f>
        <v>10</v>
      </c>
      <c r="G198" s="11">
        <f>_xlfn.XLOOKUP($A198,'Conical section geometry'!$B$11:$B$17,'Conical section geometry'!$E$11:$E$17,"XXXX",0,1)</f>
        <v>-174.99340000000001</v>
      </c>
      <c r="H198" s="11" cm="1">
        <f t="array" aca="1" ref="H198" ca="1">_xlfn.XLOOKUP($B198,    INDIRECT("'" &amp; $C$3 &amp; "'!$A$20:$A$219"),    _xlfn.XLOOKUP(H$18,INDIRECT("'" &amp; $C$3 &amp; "'!$B$18:$X$18"), INDIRECT("'" &amp; $C$3 &amp; "'!$B$20:$X$219"),"XXXXX",0,1),    "XX",    0,    1)</f>
        <v>-36.700000000000003</v>
      </c>
      <c r="I198" s="11" cm="1">
        <f t="array" aca="1" ref="I198" ca="1">_xlfn.XLOOKUP($B198,    INDIRECT("'" &amp; $C$3 &amp; "'!$A$20:$A$219"),    _xlfn.XLOOKUP(I$18,INDIRECT("'" &amp; $C$3 &amp; "'!$B$18:$X$18"), INDIRECT("'" &amp; $C$3 &amp; "'!$B$20:$X$219"),"XXXXX",0,1),    "XX",    0,    1)</f>
        <v>88.2</v>
      </c>
      <c r="J198" s="11">
        <f t="shared" si="40"/>
        <v>31.9</v>
      </c>
      <c r="K198" s="11">
        <f t="shared" si="41"/>
        <v>11.428999999999998</v>
      </c>
      <c r="L198" s="11">
        <f t="shared" si="42"/>
        <v>43.328999999999994</v>
      </c>
      <c r="M198" s="11" cm="1">
        <f t="array" aca="1" ref="M198" ca="1">_xlfn.XLOOKUP($B198,    INDIRECT("'" &amp; $C$3 &amp; "'!$A$20:$A$219"),    _xlfn.XLOOKUP(M$18,INDIRECT("'" &amp; $C$3 &amp; "'!$B$18:$X$18"), INDIRECT("'" &amp; $C$3 &amp; "'!$B$20:$X$219"),"XXXXX",0,1),    "XX",    0,    1)</f>
        <v>26.1</v>
      </c>
      <c r="N198" s="11">
        <f t="shared" ca="1" si="43"/>
        <v>19.600000000000001</v>
      </c>
      <c r="O198" s="4">
        <f t="shared" ca="1" si="44"/>
        <v>8.1710000000000065</v>
      </c>
      <c r="P198" s="11">
        <v>14.456948890643867</v>
      </c>
      <c r="Q198" s="11">
        <f t="shared" ca="1" si="45"/>
        <v>37.043051109356135</v>
      </c>
      <c r="R198" s="11" t="str">
        <f t="shared" ca="1" si="46"/>
        <v>conical</v>
      </c>
      <c r="S198" s="13">
        <f t="shared" ca="1" si="47"/>
        <v>8.9000000000000021</v>
      </c>
      <c r="T198" s="13"/>
    </row>
    <row r="199" spans="1:20" x14ac:dyDescent="0.2">
      <c r="A199" s="11" t="s">
        <v>3</v>
      </c>
      <c r="B199" s="11" t="s">
        <v>86</v>
      </c>
      <c r="C199" s="11">
        <f>_xlfn.XLOOKUP($A199,'Conical section geometry'!$B$11:$B$17,'Conical section geometry'!$C$11:$C$17,"XXXX",0,1)</f>
        <v>-6.5</v>
      </c>
      <c r="D199" s="11">
        <f>_xlfn.XLOOKUP($A199,'Conical section geometry'!$B$11:$B$17,'Conical section geometry'!$D$11:$D$17,"XXXX",0,1)</f>
        <v>-17.928999999999998</v>
      </c>
      <c r="E199" s="11" cm="1">
        <f t="array" aca="1" ref="E199" ca="1">_xlfn.XLOOKUP($B199,    INDIRECT("'" &amp; $C$3 &amp; "'!$A$20:$A$219"),    _xlfn.XLOOKUP(E$18,INDIRECT("'" &amp; $C$3 &amp; "'!$B$18:$X$18"), INDIRECT("'" &amp; $C$3 &amp; "'!$B$20:$X$219"),"XXXXX",0,1),    "XX",    0,    1)</f>
        <v>8</v>
      </c>
      <c r="F199" s="11" cm="1">
        <f t="array" aca="1" ref="F199" ca="1">_xlfn.XLOOKUP($B199,    INDIRECT("'" &amp; $C$3 &amp; "'!$A$20:$A$219"),    _xlfn.XLOOKUP(F$18,INDIRECT("'" &amp; $C$3 &amp; "'!$B$18:$X$18"), INDIRECT("'" &amp; $C$3 &amp; "'!$B$20:$X$219"),"XXXXX",0,1),    "XX",    0,    1)</f>
        <v>10</v>
      </c>
      <c r="G199" s="11">
        <f>_xlfn.XLOOKUP($A199,'Conical section geometry'!$B$11:$B$17,'Conical section geometry'!$E$11:$E$17,"XXXX",0,1)</f>
        <v>-174.99340000000001</v>
      </c>
      <c r="H199" s="11" cm="1">
        <f t="array" aca="1" ref="H199" ca="1">_xlfn.XLOOKUP($B199,    INDIRECT("'" &amp; $C$3 &amp; "'!$A$20:$A$219"),    _xlfn.XLOOKUP(H$18,INDIRECT("'" &amp; $C$3 &amp; "'!$B$18:$X$18"), INDIRECT("'" &amp; $C$3 &amp; "'!$B$20:$X$219"),"XXXXX",0,1),    "XX",    0,    1)</f>
        <v>-36.799999999999997</v>
      </c>
      <c r="I199" s="11" cm="1">
        <f t="array" aca="1" ref="I199" ca="1">_xlfn.XLOOKUP($B199,    INDIRECT("'" &amp; $C$3 &amp; "'!$A$20:$A$219"),    _xlfn.XLOOKUP(I$18,INDIRECT("'" &amp; $C$3 &amp; "'!$B$18:$X$18"), INDIRECT("'" &amp; $C$3 &amp; "'!$B$20:$X$219"),"XXXXX",0,1),    "XX",    0,    1)</f>
        <v>88.3</v>
      </c>
      <c r="J199" s="11">
        <f t="shared" si="40"/>
        <v>31.9</v>
      </c>
      <c r="K199" s="11">
        <f t="shared" si="41"/>
        <v>11.428999999999998</v>
      </c>
      <c r="L199" s="11">
        <f t="shared" si="42"/>
        <v>43.328999999999994</v>
      </c>
      <c r="M199" s="11" cm="1">
        <f t="array" aca="1" ref="M199" ca="1">_xlfn.XLOOKUP($B199,    INDIRECT("'" &amp; $C$3 &amp; "'!$A$20:$A$219"),    _xlfn.XLOOKUP(M$18,INDIRECT("'" &amp; $C$3 &amp; "'!$B$18:$X$18"), INDIRECT("'" &amp; $C$3 &amp; "'!$B$20:$X$219"),"XXXXX",0,1),    "XX",    0,    1)</f>
        <v>26.1</v>
      </c>
      <c r="N199" s="11">
        <f t="shared" ca="1" si="43"/>
        <v>19.600000000000001</v>
      </c>
      <c r="O199" s="4">
        <f t="shared" ca="1" si="44"/>
        <v>8.1710000000000065</v>
      </c>
      <c r="P199" s="11">
        <v>14.456948890643867</v>
      </c>
      <c r="Q199" s="11">
        <f t="shared" ca="1" si="45"/>
        <v>37.043051109356135</v>
      </c>
      <c r="R199" s="11" t="str">
        <f t="shared" ca="1" si="46"/>
        <v>conical</v>
      </c>
      <c r="S199" s="13">
        <f t="shared" ca="1" si="47"/>
        <v>8.9000000000000021</v>
      </c>
      <c r="T199" s="13"/>
    </row>
    <row r="200" spans="1:20" x14ac:dyDescent="0.2">
      <c r="A200" s="11" t="s">
        <v>3</v>
      </c>
      <c r="B200" s="11" t="s">
        <v>105</v>
      </c>
      <c r="C200" s="11">
        <f>_xlfn.XLOOKUP($A200,'Conical section geometry'!$B$11:$B$17,'Conical section geometry'!$C$11:$C$17,"XXXX",0,1)</f>
        <v>-6.5</v>
      </c>
      <c r="D200" s="11">
        <f>_xlfn.XLOOKUP($A200,'Conical section geometry'!$B$11:$B$17,'Conical section geometry'!$D$11:$D$17,"XXXX",0,1)</f>
        <v>-17.928999999999998</v>
      </c>
      <c r="E200" s="11" cm="1">
        <f t="array" aca="1" ref="E200" ca="1">_xlfn.XLOOKUP($B200,    INDIRECT("'" &amp; $C$3 &amp; "'!$A$20:$A$219"),    _xlfn.XLOOKUP(E$18,INDIRECT("'" &amp; $C$3 &amp; "'!$B$18:$X$18"), INDIRECT("'" &amp; $C$3 &amp; "'!$B$20:$X$219"),"XXXXX",0,1),    "XX",    0,    1)</f>
        <v>8</v>
      </c>
      <c r="F200" s="11" cm="1">
        <f t="array" aca="1" ref="F200" ca="1">_xlfn.XLOOKUP($B200,    INDIRECT("'" &amp; $C$3 &amp; "'!$A$20:$A$219"),    _xlfn.XLOOKUP(F$18,INDIRECT("'" &amp; $C$3 &amp; "'!$B$18:$X$18"), INDIRECT("'" &amp; $C$3 &amp; "'!$B$20:$X$219"),"XXXXX",0,1),    "XX",    0,    1)</f>
        <v>10</v>
      </c>
      <c r="G200" s="11">
        <f>_xlfn.XLOOKUP($A200,'Conical section geometry'!$B$11:$B$17,'Conical section geometry'!$E$11:$E$17,"XXXX",0,1)</f>
        <v>-174.99340000000001</v>
      </c>
      <c r="H200" s="11" cm="1">
        <f t="array" aca="1" ref="H200" ca="1">_xlfn.XLOOKUP($B200,    INDIRECT("'" &amp; $C$3 &amp; "'!$A$20:$A$219"),    _xlfn.XLOOKUP(H$18,INDIRECT("'" &amp; $C$3 &amp; "'!$B$18:$X$18"), INDIRECT("'" &amp; $C$3 &amp; "'!$B$20:$X$219"),"XXXXX",0,1),    "XX",    0,    1)</f>
        <v>-36.200000000000003</v>
      </c>
      <c r="I200" s="11" cm="1">
        <f t="array" aca="1" ref="I200" ca="1">_xlfn.XLOOKUP($B200,    INDIRECT("'" &amp; $C$3 &amp; "'!$A$20:$A$219"),    _xlfn.XLOOKUP(I$18,INDIRECT("'" &amp; $C$3 &amp; "'!$B$18:$X$18"), INDIRECT("'" &amp; $C$3 &amp; "'!$B$20:$X$219"),"XXXXX",0,1),    "XX",    0,    1)</f>
        <v>87.7</v>
      </c>
      <c r="J200" s="11">
        <f t="shared" si="40"/>
        <v>31.9</v>
      </c>
      <c r="K200" s="11">
        <f t="shared" si="41"/>
        <v>11.428999999999998</v>
      </c>
      <c r="L200" s="11">
        <f t="shared" si="42"/>
        <v>43.328999999999994</v>
      </c>
      <c r="M200" s="11" cm="1">
        <f t="array" aca="1" ref="M200" ca="1">_xlfn.XLOOKUP($B200,    INDIRECT("'" &amp; $C$3 &amp; "'!$A$20:$A$219"),    _xlfn.XLOOKUP(M$18,INDIRECT("'" &amp; $C$3 &amp; "'!$B$18:$X$18"), INDIRECT("'" &amp; $C$3 &amp; "'!$B$20:$X$219"),"XXXXX",0,1),    "XX",    0,    1)</f>
        <v>26.1</v>
      </c>
      <c r="N200" s="11">
        <f t="shared" ca="1" si="43"/>
        <v>19.600000000000001</v>
      </c>
      <c r="O200" s="4">
        <f t="shared" ca="1" si="44"/>
        <v>8.1710000000000065</v>
      </c>
      <c r="P200" s="11">
        <v>14.456948890643867</v>
      </c>
      <c r="Q200" s="11">
        <f t="shared" ca="1" si="45"/>
        <v>37.043051109356135</v>
      </c>
      <c r="R200" s="11" t="str">
        <f t="shared" ca="1" si="46"/>
        <v>conical</v>
      </c>
      <c r="S200" s="13">
        <f t="shared" ca="1" si="47"/>
        <v>8.9000000000000021</v>
      </c>
      <c r="T200" s="13"/>
    </row>
    <row r="201" spans="1:20" x14ac:dyDescent="0.2">
      <c r="A201" s="11" t="s">
        <v>3</v>
      </c>
      <c r="B201" s="11" t="s">
        <v>78</v>
      </c>
      <c r="C201" s="11">
        <f>_xlfn.XLOOKUP($A201,'Conical section geometry'!$B$11:$B$17,'Conical section geometry'!$C$11:$C$17,"XXXX",0,1)</f>
        <v>-6.5</v>
      </c>
      <c r="D201" s="11">
        <f>_xlfn.XLOOKUP($A201,'Conical section geometry'!$B$11:$B$17,'Conical section geometry'!$D$11:$D$17,"XXXX",0,1)</f>
        <v>-17.928999999999998</v>
      </c>
      <c r="E201" s="11" cm="1">
        <f t="array" aca="1" ref="E201" ca="1">_xlfn.XLOOKUP($B201,    INDIRECT("'" &amp; $C$3 &amp; "'!$A$20:$A$219"),    _xlfn.XLOOKUP(E$18,INDIRECT("'" &amp; $C$3 &amp; "'!$B$18:$X$18"), INDIRECT("'" &amp; $C$3 &amp; "'!$B$20:$X$219"),"XXXXX",0,1),    "XX",    0,    1)</f>
        <v>8</v>
      </c>
      <c r="F201" s="11" cm="1">
        <f t="array" aca="1" ref="F201" ca="1">_xlfn.XLOOKUP($B201,    INDIRECT("'" &amp; $C$3 &amp; "'!$A$20:$A$219"),    _xlfn.XLOOKUP(F$18,INDIRECT("'" &amp; $C$3 &amp; "'!$B$18:$X$18"), INDIRECT("'" &amp; $C$3 &amp; "'!$B$20:$X$219"),"XXXXX",0,1),    "XX",    0,    1)</f>
        <v>10</v>
      </c>
      <c r="G201" s="11">
        <f>_xlfn.XLOOKUP($A201,'Conical section geometry'!$B$11:$B$17,'Conical section geometry'!$E$11:$E$17,"XXXX",0,1)</f>
        <v>-174.99340000000001</v>
      </c>
      <c r="H201" s="11" cm="1">
        <f t="array" aca="1" ref="H201" ca="1">_xlfn.XLOOKUP($B201,    INDIRECT("'" &amp; $C$3 &amp; "'!$A$20:$A$219"),    _xlfn.XLOOKUP(H$18,INDIRECT("'" &amp; $C$3 &amp; "'!$B$18:$X$18"), INDIRECT("'" &amp; $C$3 &amp; "'!$B$20:$X$219"),"XXXXX",0,1),    "XX",    0,    1)</f>
        <v>-37.299999999999997</v>
      </c>
      <c r="I201" s="11" cm="1">
        <f t="array" aca="1" ref="I201" ca="1">_xlfn.XLOOKUP($B201,    INDIRECT("'" &amp; $C$3 &amp; "'!$A$20:$A$219"),    _xlfn.XLOOKUP(I$18,INDIRECT("'" &amp; $C$3 &amp; "'!$B$18:$X$18"), INDIRECT("'" &amp; $C$3 &amp; "'!$B$20:$X$219"),"XXXXX",0,1),    "XX",    0,    1)</f>
        <v>88.7</v>
      </c>
      <c r="J201" s="11">
        <f t="shared" si="40"/>
        <v>31.9</v>
      </c>
      <c r="K201" s="11">
        <f t="shared" si="41"/>
        <v>11.428999999999998</v>
      </c>
      <c r="L201" s="11">
        <f t="shared" si="42"/>
        <v>43.328999999999994</v>
      </c>
      <c r="M201" s="11" cm="1">
        <f t="array" aca="1" ref="M201" ca="1">_xlfn.XLOOKUP($B201,    INDIRECT("'" &amp; $C$3 &amp; "'!$A$20:$A$219"),    _xlfn.XLOOKUP(M$18,INDIRECT("'" &amp; $C$3 &amp; "'!$B$18:$X$18"), INDIRECT("'" &amp; $C$3 &amp; "'!$B$20:$X$219"),"XXXXX",0,1),    "XX",    0,    1)</f>
        <v>26</v>
      </c>
      <c r="N201" s="11">
        <f t="shared" ca="1" si="43"/>
        <v>19.500000000000007</v>
      </c>
      <c r="O201" s="4">
        <f t="shared" ca="1" si="44"/>
        <v>8.0710000000000122</v>
      </c>
      <c r="P201" s="11">
        <v>14.356948890643867</v>
      </c>
      <c r="Q201" s="11">
        <f t="shared" ca="1" si="45"/>
        <v>37.043051109356142</v>
      </c>
      <c r="R201" s="11" t="str">
        <f t="shared" ca="1" si="46"/>
        <v>conical</v>
      </c>
      <c r="S201" s="13">
        <f t="shared" ca="1" si="47"/>
        <v>8.9000000000000039</v>
      </c>
      <c r="T201" s="13"/>
    </row>
    <row r="202" spans="1:20" x14ac:dyDescent="0.2">
      <c r="A202" s="11" t="s">
        <v>3</v>
      </c>
      <c r="B202" s="11" t="s">
        <v>97</v>
      </c>
      <c r="C202" s="11">
        <f>_xlfn.XLOOKUP($A202,'Conical section geometry'!$B$11:$B$17,'Conical section geometry'!$C$11:$C$17,"XXXX",0,1)</f>
        <v>-6.5</v>
      </c>
      <c r="D202" s="11">
        <f>_xlfn.XLOOKUP($A202,'Conical section geometry'!$B$11:$B$17,'Conical section geometry'!$D$11:$D$17,"XXXX",0,1)</f>
        <v>-17.928999999999998</v>
      </c>
      <c r="E202" s="11" cm="1">
        <f t="array" aca="1" ref="E202" ca="1">_xlfn.XLOOKUP($B202,    INDIRECT("'" &amp; $C$3 &amp; "'!$A$20:$A$219"),    _xlfn.XLOOKUP(E$18,INDIRECT("'" &amp; $C$3 &amp; "'!$B$18:$X$18"), INDIRECT("'" &amp; $C$3 &amp; "'!$B$20:$X$219"),"XXXXX",0,1),    "XX",    0,    1)</f>
        <v>8</v>
      </c>
      <c r="F202" s="11" cm="1">
        <f t="array" aca="1" ref="F202" ca="1">_xlfn.XLOOKUP($B202,    INDIRECT("'" &amp; $C$3 &amp; "'!$A$20:$A$219"),    _xlfn.XLOOKUP(F$18,INDIRECT("'" &amp; $C$3 &amp; "'!$B$18:$X$18"), INDIRECT("'" &amp; $C$3 &amp; "'!$B$20:$X$219"),"XXXXX",0,1),    "XX",    0,    1)</f>
        <v>10</v>
      </c>
      <c r="G202" s="11">
        <f>_xlfn.XLOOKUP($A202,'Conical section geometry'!$B$11:$B$17,'Conical section geometry'!$E$11:$E$17,"XXXX",0,1)</f>
        <v>-174.99340000000001</v>
      </c>
      <c r="H202" s="11" cm="1">
        <f t="array" aca="1" ref="H202" ca="1">_xlfn.XLOOKUP($B202,    INDIRECT("'" &amp; $C$3 &amp; "'!$A$20:$A$219"),    _xlfn.XLOOKUP(H$18,INDIRECT("'" &amp; $C$3 &amp; "'!$B$18:$X$18"), INDIRECT("'" &amp; $C$3 &amp; "'!$B$20:$X$219"),"XXXXX",0,1),    "XX",    0,    1)</f>
        <v>-36.5</v>
      </c>
      <c r="I202" s="11" cm="1">
        <f t="array" aca="1" ref="I202" ca="1">_xlfn.XLOOKUP($B202,    INDIRECT("'" &amp; $C$3 &amp; "'!$A$20:$A$219"),    _xlfn.XLOOKUP(I$18,INDIRECT("'" &amp; $C$3 &amp; "'!$B$18:$X$18"), INDIRECT("'" &amp; $C$3 &amp; "'!$B$20:$X$219"),"XXXXX",0,1),    "XX",    0,    1)</f>
        <v>87.8</v>
      </c>
      <c r="J202" s="11">
        <f t="shared" si="40"/>
        <v>31.9</v>
      </c>
      <c r="K202" s="11">
        <f t="shared" si="41"/>
        <v>11.428999999999998</v>
      </c>
      <c r="L202" s="11">
        <f t="shared" si="42"/>
        <v>43.328999999999994</v>
      </c>
      <c r="M202" s="11" cm="1">
        <f t="array" aca="1" ref="M202" ca="1">_xlfn.XLOOKUP($B202,    INDIRECT("'" &amp; $C$3 &amp; "'!$A$20:$A$219"),    _xlfn.XLOOKUP(M$18,INDIRECT("'" &amp; $C$3 &amp; "'!$B$18:$X$18"), INDIRECT("'" &amp; $C$3 &amp; "'!$B$20:$X$219"),"XXXXX",0,1),    "XX",    0,    1)</f>
        <v>25.9</v>
      </c>
      <c r="N202" s="11">
        <f t="shared" ca="1" si="43"/>
        <v>19.399999999999999</v>
      </c>
      <c r="O202" s="4">
        <f t="shared" ca="1" si="44"/>
        <v>7.9710000000000036</v>
      </c>
      <c r="P202" s="11">
        <v>14.256948890643883</v>
      </c>
      <c r="Q202" s="11">
        <f t="shared" ca="1" si="45"/>
        <v>37.043051109356114</v>
      </c>
      <c r="R202" s="11" t="str">
        <f t="shared" ca="1" si="46"/>
        <v>conical</v>
      </c>
      <c r="S202" s="13">
        <f t="shared" ca="1" si="47"/>
        <v>8.8999999999999986</v>
      </c>
      <c r="T202" s="13"/>
    </row>
    <row r="203" spans="1:20" x14ac:dyDescent="0.2">
      <c r="A203" s="11" t="s">
        <v>3</v>
      </c>
      <c r="B203" s="11" t="s">
        <v>116</v>
      </c>
      <c r="C203" s="11">
        <f>_xlfn.XLOOKUP($A203,'Conical section geometry'!$B$11:$B$17,'Conical section geometry'!$C$11:$C$17,"XXXX",0,1)</f>
        <v>-6.5</v>
      </c>
      <c r="D203" s="11">
        <f>_xlfn.XLOOKUP($A203,'Conical section geometry'!$B$11:$B$17,'Conical section geometry'!$D$11:$D$17,"XXXX",0,1)</f>
        <v>-17.928999999999998</v>
      </c>
      <c r="E203" s="11" cm="1">
        <f t="array" aca="1" ref="E203" ca="1">_xlfn.XLOOKUP($B203,    INDIRECT("'" &amp; $C$3 &amp; "'!$A$20:$A$219"),    _xlfn.XLOOKUP(E$18,INDIRECT("'" &amp; $C$3 &amp; "'!$B$18:$X$18"), INDIRECT("'" &amp; $C$3 &amp; "'!$B$20:$X$219"),"XXXXX",0,1),    "XX",    0,    1)</f>
        <v>8</v>
      </c>
      <c r="F203" s="11" cm="1">
        <f t="array" aca="1" ref="F203" ca="1">_xlfn.XLOOKUP($B203,    INDIRECT("'" &amp; $C$3 &amp; "'!$A$20:$A$219"),    _xlfn.XLOOKUP(F$18,INDIRECT("'" &amp; $C$3 &amp; "'!$B$18:$X$18"), INDIRECT("'" &amp; $C$3 &amp; "'!$B$20:$X$219"),"XXXXX",0,1),    "XX",    0,    1)</f>
        <v>10</v>
      </c>
      <c r="G203" s="11">
        <f>_xlfn.XLOOKUP($A203,'Conical section geometry'!$B$11:$B$17,'Conical section geometry'!$E$11:$E$17,"XXXX",0,1)</f>
        <v>-174.99340000000001</v>
      </c>
      <c r="H203" s="11" cm="1">
        <f t="array" aca="1" ref="H203" ca="1">_xlfn.XLOOKUP($B203,    INDIRECT("'" &amp; $C$3 &amp; "'!$A$20:$A$219"),    _xlfn.XLOOKUP(H$18,INDIRECT("'" &amp; $C$3 &amp; "'!$B$18:$X$18"), INDIRECT("'" &amp; $C$3 &amp; "'!$B$20:$X$219"),"XXXXX",0,1),    "XX",    0,    1)</f>
        <v>-35.6</v>
      </c>
      <c r="I203" s="11" cm="1">
        <f t="array" aca="1" ref="I203" ca="1">_xlfn.XLOOKUP($B203,    INDIRECT("'" &amp; $C$3 &amp; "'!$A$20:$A$219"),    _xlfn.XLOOKUP(I$18,INDIRECT("'" &amp; $C$3 &amp; "'!$B$18:$X$18"), INDIRECT("'" &amp; $C$3 &amp; "'!$B$20:$X$219"),"XXXXX",0,1),    "XX",    0,    1)</f>
        <v>86.9</v>
      </c>
      <c r="J203" s="11">
        <f t="shared" si="40"/>
        <v>31.9</v>
      </c>
      <c r="K203" s="11">
        <f t="shared" si="41"/>
        <v>11.428999999999998</v>
      </c>
      <c r="L203" s="11">
        <f t="shared" si="42"/>
        <v>43.328999999999994</v>
      </c>
      <c r="M203" s="11" cm="1">
        <f t="array" aca="1" ref="M203" ca="1">_xlfn.XLOOKUP($B203,    INDIRECT("'" &amp; $C$3 &amp; "'!$A$20:$A$219"),    _xlfn.XLOOKUP(M$18,INDIRECT("'" &amp; $C$3 &amp; "'!$B$18:$X$18"), INDIRECT("'" &amp; $C$3 &amp; "'!$B$20:$X$219"),"XXXXX",0,1),    "XX",    0,    1)</f>
        <v>25.9</v>
      </c>
      <c r="N203" s="11">
        <f t="shared" ca="1" si="43"/>
        <v>19.400000000000006</v>
      </c>
      <c r="O203" s="4">
        <f t="shared" ca="1" si="44"/>
        <v>7.9710000000000107</v>
      </c>
      <c r="P203" s="11">
        <v>14.256948890643876</v>
      </c>
      <c r="Q203" s="11">
        <f t="shared" ca="1" si="45"/>
        <v>37.043051109356128</v>
      </c>
      <c r="R203" s="11" t="str">
        <f t="shared" ca="1" si="46"/>
        <v>conical</v>
      </c>
      <c r="S203" s="13">
        <f t="shared" ca="1" si="47"/>
        <v>8.9</v>
      </c>
      <c r="T203" s="13"/>
    </row>
    <row r="204" spans="1:20" x14ac:dyDescent="0.2">
      <c r="A204" s="11" t="s">
        <v>3</v>
      </c>
      <c r="B204" s="11" t="s">
        <v>66</v>
      </c>
      <c r="C204" s="11">
        <f>_xlfn.XLOOKUP($A204,'Conical section geometry'!$B$11:$B$17,'Conical section geometry'!$C$11:$C$17,"XXXX",0,1)</f>
        <v>-6.5</v>
      </c>
      <c r="D204" s="11">
        <f>_xlfn.XLOOKUP($A204,'Conical section geometry'!$B$11:$B$17,'Conical section geometry'!$D$11:$D$17,"XXXX",0,1)</f>
        <v>-17.928999999999998</v>
      </c>
      <c r="E204" s="11" cm="1">
        <f t="array" aca="1" ref="E204" ca="1">_xlfn.XLOOKUP($B204,    INDIRECT("'" &amp; $C$3 &amp; "'!$A$20:$A$219"),    _xlfn.XLOOKUP(E$18,INDIRECT("'" &amp; $C$3 &amp; "'!$B$18:$X$18"), INDIRECT("'" &amp; $C$3 &amp; "'!$B$20:$X$219"),"XXXXX",0,1),    "XX",    0,    1)</f>
        <v>8</v>
      </c>
      <c r="F204" s="11" cm="1">
        <f t="array" aca="1" ref="F204" ca="1">_xlfn.XLOOKUP($B204,    INDIRECT("'" &amp; $C$3 &amp; "'!$A$20:$A$219"),    _xlfn.XLOOKUP(F$18,INDIRECT("'" &amp; $C$3 &amp; "'!$B$18:$X$18"), INDIRECT("'" &amp; $C$3 &amp; "'!$B$20:$X$219"),"XXXXX",0,1),    "XX",    0,    1)</f>
        <v>10</v>
      </c>
      <c r="G204" s="11">
        <f>_xlfn.XLOOKUP($A204,'Conical section geometry'!$B$11:$B$17,'Conical section geometry'!$E$11:$E$17,"XXXX",0,1)</f>
        <v>-174.99340000000001</v>
      </c>
      <c r="H204" s="11" cm="1">
        <f t="array" aca="1" ref="H204" ca="1">_xlfn.XLOOKUP($B204,    INDIRECT("'" &amp; $C$3 &amp; "'!$A$20:$A$219"),    _xlfn.XLOOKUP(H$18,INDIRECT("'" &amp; $C$3 &amp; "'!$B$18:$X$18"), INDIRECT("'" &amp; $C$3 &amp; "'!$B$20:$X$219"),"XXXXX",0,1),    "XX",    0,    1)</f>
        <v>-37.9</v>
      </c>
      <c r="I204" s="11" cm="1">
        <f t="array" aca="1" ref="I204" ca="1">_xlfn.XLOOKUP($B204,    INDIRECT("'" &amp; $C$3 &amp; "'!$A$20:$A$219"),    _xlfn.XLOOKUP(I$18,INDIRECT("'" &amp; $C$3 &amp; "'!$B$18:$X$18"), INDIRECT("'" &amp; $C$3 &amp; "'!$B$20:$X$219"),"XXXXX",0,1),    "XX",    0,    1)</f>
        <v>89.2</v>
      </c>
      <c r="J204" s="11">
        <f t="shared" si="40"/>
        <v>31.9</v>
      </c>
      <c r="K204" s="11">
        <f t="shared" si="41"/>
        <v>11.428999999999998</v>
      </c>
      <c r="L204" s="11">
        <f t="shared" si="42"/>
        <v>43.328999999999994</v>
      </c>
      <c r="M204" s="11" cm="1">
        <f t="array" aca="1" ref="M204" ca="1">_xlfn.XLOOKUP($B204,    INDIRECT("'" &amp; $C$3 &amp; "'!$A$20:$A$219"),    _xlfn.XLOOKUP(M$18,INDIRECT("'" &amp; $C$3 &amp; "'!$B$18:$X$18"), INDIRECT("'" &amp; $C$3 &amp; "'!$B$20:$X$219"),"XXXXX",0,1),    "XX",    0,    1)</f>
        <v>25.9</v>
      </c>
      <c r="N204" s="11">
        <f t="shared" ca="1" si="43"/>
        <v>19.400000000000006</v>
      </c>
      <c r="O204" s="4">
        <f t="shared" ca="1" si="44"/>
        <v>7.9710000000000107</v>
      </c>
      <c r="P204" s="11">
        <v>14.256948890643876</v>
      </c>
      <c r="Q204" s="11">
        <f t="shared" ca="1" si="45"/>
        <v>37.043051109356128</v>
      </c>
      <c r="R204" s="11" t="str">
        <f t="shared" ca="1" si="46"/>
        <v>conical</v>
      </c>
      <c r="S204" s="13">
        <f t="shared" ca="1" si="47"/>
        <v>8.9</v>
      </c>
      <c r="T204" s="13"/>
    </row>
    <row r="205" spans="1:20" x14ac:dyDescent="0.2">
      <c r="A205" s="11" t="s">
        <v>3</v>
      </c>
      <c r="B205" s="11" t="s">
        <v>81</v>
      </c>
      <c r="C205" s="11">
        <f>_xlfn.XLOOKUP($A205,'Conical section geometry'!$B$11:$B$17,'Conical section geometry'!$C$11:$C$17,"XXXX",0,1)</f>
        <v>-6.5</v>
      </c>
      <c r="D205" s="11">
        <f>_xlfn.XLOOKUP($A205,'Conical section geometry'!$B$11:$B$17,'Conical section geometry'!$D$11:$D$17,"XXXX",0,1)</f>
        <v>-17.928999999999998</v>
      </c>
      <c r="E205" s="11" cm="1">
        <f t="array" aca="1" ref="E205" ca="1">_xlfn.XLOOKUP($B205,    INDIRECT("'" &amp; $C$3 &amp; "'!$A$20:$A$219"),    _xlfn.XLOOKUP(E$18,INDIRECT("'" &amp; $C$3 &amp; "'!$B$18:$X$18"), INDIRECT("'" &amp; $C$3 &amp; "'!$B$20:$X$219"),"XXXXX",0,1),    "XX",    0,    1)</f>
        <v>8</v>
      </c>
      <c r="F205" s="11" cm="1">
        <f t="array" aca="1" ref="F205" ca="1">_xlfn.XLOOKUP($B205,    INDIRECT("'" &amp; $C$3 &amp; "'!$A$20:$A$219"),    _xlfn.XLOOKUP(F$18,INDIRECT("'" &amp; $C$3 &amp; "'!$B$18:$X$18"), INDIRECT("'" &amp; $C$3 &amp; "'!$B$20:$X$219"),"XXXXX",0,1),    "XX",    0,    1)</f>
        <v>10</v>
      </c>
      <c r="G205" s="11">
        <f>_xlfn.XLOOKUP($A205,'Conical section geometry'!$B$11:$B$17,'Conical section geometry'!$E$11:$E$17,"XXXX",0,1)</f>
        <v>-174.99340000000001</v>
      </c>
      <c r="H205" s="11" cm="1">
        <f t="array" aca="1" ref="H205" ca="1">_xlfn.XLOOKUP($B205,    INDIRECT("'" &amp; $C$3 &amp; "'!$A$20:$A$219"),    _xlfn.XLOOKUP(H$18,INDIRECT("'" &amp; $C$3 &amp; "'!$B$18:$X$18"), INDIRECT("'" &amp; $C$3 &amp; "'!$B$20:$X$219"),"XXXXX",0,1),    "XX",    0,    1)</f>
        <v>-37.299999999999997</v>
      </c>
      <c r="I205" s="11" cm="1">
        <f t="array" aca="1" ref="I205" ca="1">_xlfn.XLOOKUP($B205,    INDIRECT("'" &amp; $C$3 &amp; "'!$A$20:$A$219"),    _xlfn.XLOOKUP(I$18,INDIRECT("'" &amp; $C$3 &amp; "'!$B$18:$X$18"), INDIRECT("'" &amp; $C$3 &amp; "'!$B$20:$X$219"),"XXXXX",0,1),    "XX",    0,    1)</f>
        <v>88.6</v>
      </c>
      <c r="J205" s="11">
        <f t="shared" si="40"/>
        <v>31.9</v>
      </c>
      <c r="K205" s="11">
        <f t="shared" si="41"/>
        <v>11.428999999999998</v>
      </c>
      <c r="L205" s="11">
        <f t="shared" si="42"/>
        <v>43.328999999999994</v>
      </c>
      <c r="M205" s="11" cm="1">
        <f t="array" aca="1" ref="M205" ca="1">_xlfn.XLOOKUP($B205,    INDIRECT("'" &amp; $C$3 &amp; "'!$A$20:$A$219"),    _xlfn.XLOOKUP(M$18,INDIRECT("'" &amp; $C$3 &amp; "'!$B$18:$X$18"), INDIRECT("'" &amp; $C$3 &amp; "'!$B$20:$X$219"),"XXXXX",0,1),    "XX",    0,    1)</f>
        <v>25.9</v>
      </c>
      <c r="N205" s="11">
        <f t="shared" ca="1" si="43"/>
        <v>19.399999999999999</v>
      </c>
      <c r="O205" s="4">
        <f t="shared" ca="1" si="44"/>
        <v>7.9710000000000036</v>
      </c>
      <c r="P205" s="11">
        <v>14.256948890643876</v>
      </c>
      <c r="Q205" s="11">
        <f t="shared" ca="1" si="45"/>
        <v>37.043051109356121</v>
      </c>
      <c r="R205" s="11" t="str">
        <f t="shared" ca="1" si="46"/>
        <v>conical</v>
      </c>
      <c r="S205" s="13">
        <f t="shared" ca="1" si="47"/>
        <v>8.9</v>
      </c>
      <c r="T205" s="13"/>
    </row>
    <row r="206" spans="1:20" x14ac:dyDescent="0.2">
      <c r="A206" s="11" t="s">
        <v>3</v>
      </c>
      <c r="B206" s="11" t="s">
        <v>94</v>
      </c>
      <c r="C206" s="11">
        <f>_xlfn.XLOOKUP($A206,'Conical section geometry'!$B$11:$B$17,'Conical section geometry'!$C$11:$C$17,"XXXX",0,1)</f>
        <v>-6.5</v>
      </c>
      <c r="D206" s="11">
        <f>_xlfn.XLOOKUP($A206,'Conical section geometry'!$B$11:$B$17,'Conical section geometry'!$D$11:$D$17,"XXXX",0,1)</f>
        <v>-17.928999999999998</v>
      </c>
      <c r="E206" s="11" cm="1">
        <f t="array" aca="1" ref="E206" ca="1">_xlfn.XLOOKUP($B206,    INDIRECT("'" &amp; $C$3 &amp; "'!$A$20:$A$219"),    _xlfn.XLOOKUP(E$18,INDIRECT("'" &amp; $C$3 &amp; "'!$B$18:$X$18"), INDIRECT("'" &amp; $C$3 &amp; "'!$B$20:$X$219"),"XXXXX",0,1),    "XX",    0,    1)</f>
        <v>8</v>
      </c>
      <c r="F206" s="11" cm="1">
        <f t="array" aca="1" ref="F206" ca="1">_xlfn.XLOOKUP($B206,    INDIRECT("'" &amp; $C$3 &amp; "'!$A$20:$A$219"),    _xlfn.XLOOKUP(F$18,INDIRECT("'" &amp; $C$3 &amp; "'!$B$18:$X$18"), INDIRECT("'" &amp; $C$3 &amp; "'!$B$20:$X$219"),"XXXXX",0,1),    "XX",    0,    1)</f>
        <v>10</v>
      </c>
      <c r="G206" s="11">
        <f>_xlfn.XLOOKUP($A206,'Conical section geometry'!$B$11:$B$17,'Conical section geometry'!$E$11:$E$17,"XXXX",0,1)</f>
        <v>-174.99340000000001</v>
      </c>
      <c r="H206" s="11" cm="1">
        <f t="array" aca="1" ref="H206" ca="1">_xlfn.XLOOKUP($B206,    INDIRECT("'" &amp; $C$3 &amp; "'!$A$20:$A$219"),    _xlfn.XLOOKUP(H$18,INDIRECT("'" &amp; $C$3 &amp; "'!$B$18:$X$18"), INDIRECT("'" &amp; $C$3 &amp; "'!$B$20:$X$219"),"XXXXX",0,1),    "XX",    0,    1)</f>
        <v>-36.799999999999997</v>
      </c>
      <c r="I206" s="11" cm="1">
        <f t="array" aca="1" ref="I206" ca="1">_xlfn.XLOOKUP($B206,    INDIRECT("'" &amp; $C$3 &amp; "'!$A$20:$A$219"),    _xlfn.XLOOKUP(I$18,INDIRECT("'" &amp; $C$3 &amp; "'!$B$18:$X$18"), INDIRECT("'" &amp; $C$3 &amp; "'!$B$20:$X$219"),"XXXXX",0,1),    "XX",    0,    1)</f>
        <v>88</v>
      </c>
      <c r="J206" s="11">
        <f t="shared" si="40"/>
        <v>31.9</v>
      </c>
      <c r="K206" s="11">
        <f t="shared" si="41"/>
        <v>11.428999999999998</v>
      </c>
      <c r="L206" s="11">
        <f t="shared" si="42"/>
        <v>43.328999999999994</v>
      </c>
      <c r="M206" s="11" cm="1">
        <f t="array" aca="1" ref="M206" ca="1">_xlfn.XLOOKUP($B206,    INDIRECT("'" &amp; $C$3 &amp; "'!$A$20:$A$219"),    _xlfn.XLOOKUP(M$18,INDIRECT("'" &amp; $C$3 &amp; "'!$B$18:$X$18"), INDIRECT("'" &amp; $C$3 &amp; "'!$B$20:$X$219"),"XXXXX",0,1),    "XX",    0,    1)</f>
        <v>25.8</v>
      </c>
      <c r="N206" s="11">
        <f t="shared" ca="1" si="43"/>
        <v>19.300000000000004</v>
      </c>
      <c r="O206" s="4">
        <f t="shared" ca="1" si="44"/>
        <v>7.8710000000000093</v>
      </c>
      <c r="P206" s="11">
        <v>14.156948890643884</v>
      </c>
      <c r="Q206" s="11">
        <f t="shared" ca="1" si="45"/>
        <v>37.043051109356121</v>
      </c>
      <c r="R206" s="11" t="str">
        <f t="shared" ca="1" si="46"/>
        <v>conical</v>
      </c>
      <c r="S206" s="13">
        <f t="shared" ca="1" si="47"/>
        <v>8.9</v>
      </c>
      <c r="T206" s="13"/>
    </row>
    <row r="207" spans="1:20" x14ac:dyDescent="0.2">
      <c r="A207" s="11" t="s">
        <v>3</v>
      </c>
      <c r="B207" s="11" t="s">
        <v>113</v>
      </c>
      <c r="C207" s="11">
        <f>_xlfn.XLOOKUP($A207,'Conical section geometry'!$B$11:$B$17,'Conical section geometry'!$C$11:$C$17,"XXXX",0,1)</f>
        <v>-6.5</v>
      </c>
      <c r="D207" s="11">
        <f>_xlfn.XLOOKUP($A207,'Conical section geometry'!$B$11:$B$17,'Conical section geometry'!$D$11:$D$17,"XXXX",0,1)</f>
        <v>-17.928999999999998</v>
      </c>
      <c r="E207" s="11" cm="1">
        <f t="array" aca="1" ref="E207" ca="1">_xlfn.XLOOKUP($B207,    INDIRECT("'" &amp; $C$3 &amp; "'!$A$20:$A$219"),    _xlfn.XLOOKUP(E$18,INDIRECT("'" &amp; $C$3 &amp; "'!$B$18:$X$18"), INDIRECT("'" &amp; $C$3 &amp; "'!$B$20:$X$219"),"XXXXX",0,1),    "XX",    0,    1)</f>
        <v>8</v>
      </c>
      <c r="F207" s="11" cm="1">
        <f t="array" aca="1" ref="F207" ca="1">_xlfn.XLOOKUP($B207,    INDIRECT("'" &amp; $C$3 &amp; "'!$A$20:$A$219"),    _xlfn.XLOOKUP(F$18,INDIRECT("'" &amp; $C$3 &amp; "'!$B$18:$X$18"), INDIRECT("'" &amp; $C$3 &amp; "'!$B$20:$X$219"),"XXXXX",0,1),    "XX",    0,    1)</f>
        <v>10</v>
      </c>
      <c r="G207" s="11">
        <f>_xlfn.XLOOKUP($A207,'Conical section geometry'!$B$11:$B$17,'Conical section geometry'!$E$11:$E$17,"XXXX",0,1)</f>
        <v>-174.99340000000001</v>
      </c>
      <c r="H207" s="11" cm="1">
        <f t="array" aca="1" ref="H207" ca="1">_xlfn.XLOOKUP($B207,    INDIRECT("'" &amp; $C$3 &amp; "'!$A$20:$A$219"),    _xlfn.XLOOKUP(H$18,INDIRECT("'" &amp; $C$3 &amp; "'!$B$18:$X$18"), INDIRECT("'" &amp; $C$3 &amp; "'!$B$20:$X$219"),"XXXXX",0,1),    "XX",    0,    1)</f>
        <v>-36.200000000000003</v>
      </c>
      <c r="I207" s="11" cm="1">
        <f t="array" aca="1" ref="I207" ca="1">_xlfn.XLOOKUP($B207,    INDIRECT("'" &amp; $C$3 &amp; "'!$A$20:$A$219"),    _xlfn.XLOOKUP(I$18,INDIRECT("'" &amp; $C$3 &amp; "'!$B$18:$X$18"), INDIRECT("'" &amp; $C$3 &amp; "'!$B$20:$X$219"),"XXXXX",0,1),    "XX",    0,    1)</f>
        <v>87.4</v>
      </c>
      <c r="J207" s="11">
        <f t="shared" si="40"/>
        <v>31.9</v>
      </c>
      <c r="K207" s="11">
        <f t="shared" si="41"/>
        <v>11.428999999999998</v>
      </c>
      <c r="L207" s="11">
        <f t="shared" si="42"/>
        <v>43.328999999999994</v>
      </c>
      <c r="M207" s="11" cm="1">
        <f t="array" aca="1" ref="M207" ca="1">_xlfn.XLOOKUP($B207,    INDIRECT("'" &amp; $C$3 &amp; "'!$A$20:$A$219"),    _xlfn.XLOOKUP(M$18,INDIRECT("'" &amp; $C$3 &amp; "'!$B$18:$X$18"), INDIRECT("'" &amp; $C$3 &amp; "'!$B$20:$X$219"),"XXXXX",0,1),    "XX",    0,    1)</f>
        <v>25.8</v>
      </c>
      <c r="N207" s="11">
        <f t="shared" ca="1" si="43"/>
        <v>19.300000000000004</v>
      </c>
      <c r="O207" s="4">
        <f t="shared" ca="1" si="44"/>
        <v>7.8710000000000093</v>
      </c>
      <c r="P207" s="11">
        <v>14.156948890643884</v>
      </c>
      <c r="Q207" s="11">
        <f t="shared" ca="1" si="45"/>
        <v>37.043051109356121</v>
      </c>
      <c r="R207" s="11" t="str">
        <f t="shared" ca="1" si="46"/>
        <v>conical</v>
      </c>
      <c r="S207" s="13">
        <f t="shared" ca="1" si="47"/>
        <v>8.9</v>
      </c>
      <c r="T207" s="13"/>
    </row>
    <row r="208" spans="1:20" x14ac:dyDescent="0.2">
      <c r="A208" s="11" t="s">
        <v>3</v>
      </c>
      <c r="B208" s="11" t="s">
        <v>107</v>
      </c>
      <c r="C208" s="11">
        <f>_xlfn.XLOOKUP($A208,'Conical section geometry'!$B$11:$B$17,'Conical section geometry'!$C$11:$C$17,"XXXX",0,1)</f>
        <v>-6.5</v>
      </c>
      <c r="D208" s="11">
        <f>_xlfn.XLOOKUP($A208,'Conical section geometry'!$B$11:$B$17,'Conical section geometry'!$D$11:$D$17,"XXXX",0,1)</f>
        <v>-17.928999999999998</v>
      </c>
      <c r="E208" s="11" cm="1">
        <f t="array" aca="1" ref="E208" ca="1">_xlfn.XLOOKUP($B208,    INDIRECT("'" &amp; $C$3 &amp; "'!$A$20:$A$219"),    _xlfn.XLOOKUP(E$18,INDIRECT("'" &amp; $C$3 &amp; "'!$B$18:$X$18"), INDIRECT("'" &amp; $C$3 &amp; "'!$B$20:$X$219"),"XXXXX",0,1),    "XX",    0,    1)</f>
        <v>8</v>
      </c>
      <c r="F208" s="11" cm="1">
        <f t="array" aca="1" ref="F208" ca="1">_xlfn.XLOOKUP($B208,    INDIRECT("'" &amp; $C$3 &amp; "'!$A$20:$A$219"),    _xlfn.XLOOKUP(F$18,INDIRECT("'" &amp; $C$3 &amp; "'!$B$18:$X$18"), INDIRECT("'" &amp; $C$3 &amp; "'!$B$20:$X$219"),"XXXXX",0,1),    "XX",    0,    1)</f>
        <v>10</v>
      </c>
      <c r="G208" s="11">
        <f>_xlfn.XLOOKUP($A208,'Conical section geometry'!$B$11:$B$17,'Conical section geometry'!$E$11:$E$17,"XXXX",0,1)</f>
        <v>-174.99340000000001</v>
      </c>
      <c r="H208" s="11" cm="1">
        <f t="array" aca="1" ref="H208" ca="1">_xlfn.XLOOKUP($B208,    INDIRECT("'" &amp; $C$3 &amp; "'!$A$20:$A$219"),    _xlfn.XLOOKUP(H$18,INDIRECT("'" &amp; $C$3 &amp; "'!$B$18:$X$18"), INDIRECT("'" &amp; $C$3 &amp; "'!$B$20:$X$219"),"XXXXX",0,1),    "XX",    0,    1)</f>
        <v>-36.4</v>
      </c>
      <c r="I208" s="11" cm="1">
        <f t="array" aca="1" ref="I208" ca="1">_xlfn.XLOOKUP($B208,    INDIRECT("'" &amp; $C$3 &amp; "'!$A$20:$A$219"),    _xlfn.XLOOKUP(I$18,INDIRECT("'" &amp; $C$3 &amp; "'!$B$18:$X$18"), INDIRECT("'" &amp; $C$3 &amp; "'!$B$20:$X$219"),"XXXXX",0,1),    "XX",    0,    1)</f>
        <v>87.4</v>
      </c>
      <c r="J208" s="11">
        <f t="shared" si="40"/>
        <v>31.9</v>
      </c>
      <c r="K208" s="11">
        <f t="shared" si="41"/>
        <v>11.428999999999998</v>
      </c>
      <c r="L208" s="11">
        <f t="shared" si="42"/>
        <v>43.328999999999994</v>
      </c>
      <c r="M208" s="11" cm="1">
        <f t="array" aca="1" ref="M208" ca="1">_xlfn.XLOOKUP($B208,    INDIRECT("'" &amp; $C$3 &amp; "'!$A$20:$A$219"),    _xlfn.XLOOKUP(M$18,INDIRECT("'" &amp; $C$3 &amp; "'!$B$18:$X$18"), INDIRECT("'" &amp; $C$3 &amp; "'!$B$20:$X$219"),"XXXXX",0,1),    "XX",    0,    1)</f>
        <v>25.6</v>
      </c>
      <c r="N208" s="11">
        <f t="shared" ca="1" si="43"/>
        <v>19.100000000000009</v>
      </c>
      <c r="O208" s="4">
        <f t="shared" ca="1" si="44"/>
        <v>7.6710000000000136</v>
      </c>
      <c r="P208" s="11">
        <v>13.956948890643883</v>
      </c>
      <c r="Q208" s="11">
        <f t="shared" ca="1" si="45"/>
        <v>37.043051109356128</v>
      </c>
      <c r="R208" s="11" t="str">
        <f t="shared" ca="1" si="46"/>
        <v>conical</v>
      </c>
      <c r="S208" s="13">
        <f t="shared" ca="1" si="47"/>
        <v>8.9</v>
      </c>
      <c r="T208" s="13"/>
    </row>
    <row r="209" spans="1:20" x14ac:dyDescent="0.2">
      <c r="A209" s="11" t="s">
        <v>3</v>
      </c>
      <c r="B209" s="11" t="s">
        <v>104</v>
      </c>
      <c r="C209" s="11">
        <f>_xlfn.XLOOKUP($A209,'Conical section geometry'!$B$11:$B$17,'Conical section geometry'!$C$11:$C$17,"XXXX",0,1)</f>
        <v>-6.5</v>
      </c>
      <c r="D209" s="11">
        <f>_xlfn.XLOOKUP($A209,'Conical section geometry'!$B$11:$B$17,'Conical section geometry'!$D$11:$D$17,"XXXX",0,1)</f>
        <v>-17.928999999999998</v>
      </c>
      <c r="E209" s="11" cm="1">
        <f t="array" aca="1" ref="E209" ca="1">_xlfn.XLOOKUP($B209,    INDIRECT("'" &amp; $C$3 &amp; "'!$A$20:$A$219"),    _xlfn.XLOOKUP(E$18,INDIRECT("'" &amp; $C$3 &amp; "'!$B$18:$X$18"), INDIRECT("'" &amp; $C$3 &amp; "'!$B$20:$X$219"),"XXXXX",0,1),    "XX",    0,    1)</f>
        <v>8</v>
      </c>
      <c r="F209" s="11" cm="1">
        <f t="array" aca="1" ref="F209" ca="1">_xlfn.XLOOKUP($B209,    INDIRECT("'" &amp; $C$3 &amp; "'!$A$20:$A$219"),    _xlfn.XLOOKUP(F$18,INDIRECT("'" &amp; $C$3 &amp; "'!$B$18:$X$18"), INDIRECT("'" &amp; $C$3 &amp; "'!$B$20:$X$219"),"XXXXX",0,1),    "XX",    0,    1)</f>
        <v>10</v>
      </c>
      <c r="G209" s="11">
        <f>_xlfn.XLOOKUP($A209,'Conical section geometry'!$B$11:$B$17,'Conical section geometry'!$E$11:$E$17,"XXXX",0,1)</f>
        <v>-174.99340000000001</v>
      </c>
      <c r="H209" s="11" cm="1">
        <f t="array" aca="1" ref="H209" ca="1">_xlfn.XLOOKUP($B209,    INDIRECT("'" &amp; $C$3 &amp; "'!$A$20:$A$219"),    _xlfn.XLOOKUP(H$18,INDIRECT("'" &amp; $C$3 &amp; "'!$B$18:$X$18"), INDIRECT("'" &amp; $C$3 &amp; "'!$B$20:$X$219"),"XXXXX",0,1),    "XX",    0,    1)</f>
        <v>-36.5</v>
      </c>
      <c r="I209" s="11" cm="1">
        <f t="array" aca="1" ref="I209" ca="1">_xlfn.XLOOKUP($B209,    INDIRECT("'" &amp; $C$3 &amp; "'!$A$20:$A$219"),    _xlfn.XLOOKUP(I$18,INDIRECT("'" &amp; $C$3 &amp; "'!$B$18:$X$18"), INDIRECT("'" &amp; $C$3 &amp; "'!$B$20:$X$219"),"XXXXX",0,1),    "XX",    0,    1)</f>
        <v>87.5</v>
      </c>
      <c r="J209" s="11">
        <f t="shared" si="40"/>
        <v>31.9</v>
      </c>
      <c r="K209" s="11">
        <f t="shared" si="41"/>
        <v>11.428999999999998</v>
      </c>
      <c r="L209" s="11">
        <f t="shared" si="42"/>
        <v>43.328999999999994</v>
      </c>
      <c r="M209" s="11" cm="1">
        <f t="array" aca="1" ref="M209" ca="1">_xlfn.XLOOKUP($B209,    INDIRECT("'" &amp; $C$3 &amp; "'!$A$20:$A$219"),    _xlfn.XLOOKUP(M$18,INDIRECT("'" &amp; $C$3 &amp; "'!$B$18:$X$18"), INDIRECT("'" &amp; $C$3 &amp; "'!$B$20:$X$219"),"XXXXX",0,1),    "XX",    0,    1)</f>
        <v>25.6</v>
      </c>
      <c r="N209" s="11">
        <f t="shared" ca="1" si="43"/>
        <v>19.100000000000001</v>
      </c>
      <c r="O209" s="4">
        <f t="shared" ca="1" si="44"/>
        <v>7.6710000000000065</v>
      </c>
      <c r="P209" s="11">
        <v>13.956948890643877</v>
      </c>
      <c r="Q209" s="11">
        <f t="shared" ca="1" si="45"/>
        <v>37.043051109356121</v>
      </c>
      <c r="R209" s="11" t="str">
        <f t="shared" ca="1" si="46"/>
        <v>conical</v>
      </c>
      <c r="S209" s="13">
        <f t="shared" ca="1" si="47"/>
        <v>8.9</v>
      </c>
      <c r="T209" s="13"/>
    </row>
    <row r="210" spans="1:20" x14ac:dyDescent="0.2">
      <c r="A210" s="11" t="s">
        <v>3</v>
      </c>
      <c r="B210" s="11" t="s">
        <v>87</v>
      </c>
      <c r="C210" s="11">
        <f>_xlfn.XLOOKUP($A210,'Conical section geometry'!$B$11:$B$17,'Conical section geometry'!$C$11:$C$17,"XXXX",0,1)</f>
        <v>-6.5</v>
      </c>
      <c r="D210" s="11">
        <f>_xlfn.XLOOKUP($A210,'Conical section geometry'!$B$11:$B$17,'Conical section geometry'!$D$11:$D$17,"XXXX",0,1)</f>
        <v>-17.928999999999998</v>
      </c>
      <c r="E210" s="11" cm="1">
        <f t="array" aca="1" ref="E210" ca="1">_xlfn.XLOOKUP($B210,    INDIRECT("'" &amp; $C$3 &amp; "'!$A$20:$A$219"),    _xlfn.XLOOKUP(E$18,INDIRECT("'" &amp; $C$3 &amp; "'!$B$18:$X$18"), INDIRECT("'" &amp; $C$3 &amp; "'!$B$20:$X$219"),"XXXXX",0,1),    "XX",    0,    1)</f>
        <v>8</v>
      </c>
      <c r="F210" s="11" cm="1">
        <f t="array" aca="1" ref="F210" ca="1">_xlfn.XLOOKUP($B210,    INDIRECT("'" &amp; $C$3 &amp; "'!$A$20:$A$219"),    _xlfn.XLOOKUP(F$18,INDIRECT("'" &amp; $C$3 &amp; "'!$B$18:$X$18"), INDIRECT("'" &amp; $C$3 &amp; "'!$B$20:$X$219"),"XXXXX",0,1),    "XX",    0,    1)</f>
        <v>10</v>
      </c>
      <c r="G210" s="11">
        <f>_xlfn.XLOOKUP($A210,'Conical section geometry'!$B$11:$B$17,'Conical section geometry'!$E$11:$E$17,"XXXX",0,1)</f>
        <v>-174.99340000000001</v>
      </c>
      <c r="H210" s="11" cm="1">
        <f t="array" aca="1" ref="H210" ca="1">_xlfn.XLOOKUP($B210,    INDIRECT("'" &amp; $C$3 &amp; "'!$A$20:$A$219"),    _xlfn.XLOOKUP(H$18,INDIRECT("'" &amp; $C$3 &amp; "'!$B$18:$X$18"), INDIRECT("'" &amp; $C$3 &amp; "'!$B$20:$X$219"),"XXXXX",0,1),    "XX",    0,    1)</f>
        <v>-37.299999999999997</v>
      </c>
      <c r="I210" s="11" cm="1">
        <f t="array" aca="1" ref="I210" ca="1">_xlfn.XLOOKUP($B210,    INDIRECT("'" &amp; $C$3 &amp; "'!$A$20:$A$219"),    _xlfn.XLOOKUP(I$18,INDIRECT("'" &amp; $C$3 &amp; "'!$B$18:$X$18"), INDIRECT("'" &amp; $C$3 &amp; "'!$B$20:$X$219"),"XXXXX",0,1),    "XX",    0,    1)</f>
        <v>88.2</v>
      </c>
      <c r="J210" s="11">
        <f t="shared" si="40"/>
        <v>31.9</v>
      </c>
      <c r="K210" s="11">
        <f t="shared" si="41"/>
        <v>11.428999999999998</v>
      </c>
      <c r="L210" s="11">
        <f t="shared" si="42"/>
        <v>43.328999999999994</v>
      </c>
      <c r="M210" s="11" cm="1">
        <f t="array" aca="1" ref="M210" ca="1">_xlfn.XLOOKUP($B210,    INDIRECT("'" &amp; $C$3 &amp; "'!$A$20:$A$219"),    _xlfn.XLOOKUP(M$18,INDIRECT("'" &amp; $C$3 &amp; "'!$B$18:$X$18"), INDIRECT("'" &amp; $C$3 &amp; "'!$B$20:$X$219"),"XXXXX",0,1),    "XX",    0,    1)</f>
        <v>25.5</v>
      </c>
      <c r="N210" s="11">
        <f t="shared" ca="1" si="43"/>
        <v>19.000000000000007</v>
      </c>
      <c r="O210" s="4">
        <f t="shared" ca="1" si="44"/>
        <v>7.5710000000000122</v>
      </c>
      <c r="P210" s="11">
        <v>13.856948890643887</v>
      </c>
      <c r="Q210" s="11">
        <f t="shared" ca="1" si="45"/>
        <v>37.043051109356121</v>
      </c>
      <c r="R210" s="11" t="str">
        <f t="shared" ca="1" si="46"/>
        <v>conical</v>
      </c>
      <c r="S210" s="13">
        <f t="shared" ca="1" si="47"/>
        <v>8.9</v>
      </c>
      <c r="T210" s="13"/>
    </row>
    <row r="211" spans="1:20" x14ac:dyDescent="0.2">
      <c r="A211" s="11" t="s">
        <v>3</v>
      </c>
      <c r="B211" s="11" t="s">
        <v>102</v>
      </c>
      <c r="C211" s="11">
        <f>_xlfn.XLOOKUP($A211,'Conical section geometry'!$B$11:$B$17,'Conical section geometry'!$C$11:$C$17,"XXXX",0,1)</f>
        <v>-6.5</v>
      </c>
      <c r="D211" s="11">
        <f>_xlfn.XLOOKUP($A211,'Conical section geometry'!$B$11:$B$17,'Conical section geometry'!$D$11:$D$17,"XXXX",0,1)</f>
        <v>-17.928999999999998</v>
      </c>
      <c r="E211" s="11" cm="1">
        <f t="array" aca="1" ref="E211" ca="1">_xlfn.XLOOKUP($B211,    INDIRECT("'" &amp; $C$3 &amp; "'!$A$20:$A$219"),    _xlfn.XLOOKUP(E$18,INDIRECT("'" &amp; $C$3 &amp; "'!$B$18:$X$18"), INDIRECT("'" &amp; $C$3 &amp; "'!$B$20:$X$219"),"XXXXX",0,1),    "XX",    0,    1)</f>
        <v>8</v>
      </c>
      <c r="F211" s="11" cm="1">
        <f t="array" aca="1" ref="F211" ca="1">_xlfn.XLOOKUP($B211,    INDIRECT("'" &amp; $C$3 &amp; "'!$A$20:$A$219"),    _xlfn.XLOOKUP(F$18,INDIRECT("'" &amp; $C$3 &amp; "'!$B$18:$X$18"), INDIRECT("'" &amp; $C$3 &amp; "'!$B$20:$X$219"),"XXXXX",0,1),    "XX",    0,    1)</f>
        <v>10</v>
      </c>
      <c r="G211" s="11">
        <f>_xlfn.XLOOKUP($A211,'Conical section geometry'!$B$11:$B$17,'Conical section geometry'!$E$11:$E$17,"XXXX",0,1)</f>
        <v>-174.99340000000001</v>
      </c>
      <c r="H211" s="11" cm="1">
        <f t="array" aca="1" ref="H211" ca="1">_xlfn.XLOOKUP($B211,    INDIRECT("'" &amp; $C$3 &amp; "'!$A$20:$A$219"),    _xlfn.XLOOKUP(H$18,INDIRECT("'" &amp; $C$3 &amp; "'!$B$18:$X$18"), INDIRECT("'" &amp; $C$3 &amp; "'!$B$20:$X$219"),"XXXXX",0,1),    "XX",    0,    1)</f>
        <v>-36.700000000000003</v>
      </c>
      <c r="I211" s="11" cm="1">
        <f t="array" aca="1" ref="I211" ca="1">_xlfn.XLOOKUP($B211,    INDIRECT("'" &amp; $C$3 &amp; "'!$A$20:$A$219"),    _xlfn.XLOOKUP(I$18,INDIRECT("'" &amp; $C$3 &amp; "'!$B$18:$X$18"), INDIRECT("'" &amp; $C$3 &amp; "'!$B$20:$X$219"),"XXXXX",0,1),    "XX",    0,    1)</f>
        <v>87.4</v>
      </c>
      <c r="J211" s="11">
        <f t="shared" si="40"/>
        <v>31.9</v>
      </c>
      <c r="K211" s="11">
        <f t="shared" si="41"/>
        <v>11.428999999999998</v>
      </c>
      <c r="L211" s="11">
        <f t="shared" si="42"/>
        <v>43.328999999999994</v>
      </c>
      <c r="M211" s="11" cm="1">
        <f t="array" aca="1" ref="M211" ca="1">_xlfn.XLOOKUP($B211,    INDIRECT("'" &amp; $C$3 &amp; "'!$A$20:$A$219"),    _xlfn.XLOOKUP(M$18,INDIRECT("'" &amp; $C$3 &amp; "'!$B$18:$X$18"), INDIRECT("'" &amp; $C$3 &amp; "'!$B$20:$X$219"),"XXXXX",0,1),    "XX",    0,    1)</f>
        <v>25.3</v>
      </c>
      <c r="N211" s="11">
        <f t="shared" ca="1" si="43"/>
        <v>18.800000000000004</v>
      </c>
      <c r="O211" s="4">
        <f t="shared" ca="1" si="44"/>
        <v>7.3710000000000093</v>
      </c>
      <c r="P211" s="11">
        <v>13.656948890643886</v>
      </c>
      <c r="Q211" s="11">
        <f t="shared" ca="1" si="45"/>
        <v>37.043051109356114</v>
      </c>
      <c r="R211" s="11" t="str">
        <f t="shared" ca="1" si="46"/>
        <v>conical</v>
      </c>
      <c r="S211" s="13">
        <f t="shared" ca="1" si="47"/>
        <v>8.8999999999999986</v>
      </c>
      <c r="T211" s="13"/>
    </row>
    <row r="212" spans="1:20" x14ac:dyDescent="0.2">
      <c r="A212" s="11" t="s">
        <v>3</v>
      </c>
      <c r="B212" s="11" t="s">
        <v>69</v>
      </c>
      <c r="C212" s="11">
        <f>_xlfn.XLOOKUP($A212,'Conical section geometry'!$B$11:$B$17,'Conical section geometry'!$C$11:$C$17,"XXXX",0,1)</f>
        <v>-6.5</v>
      </c>
      <c r="D212" s="11">
        <f>_xlfn.XLOOKUP($A212,'Conical section geometry'!$B$11:$B$17,'Conical section geometry'!$D$11:$D$17,"XXXX",0,1)</f>
        <v>-17.928999999999998</v>
      </c>
      <c r="E212" s="11" cm="1">
        <f t="array" aca="1" ref="E212" ca="1">_xlfn.XLOOKUP($B212,    INDIRECT("'" &amp; $C$3 &amp; "'!$A$20:$A$219"),    _xlfn.XLOOKUP(E$18,INDIRECT("'" &amp; $C$3 &amp; "'!$B$18:$X$18"), INDIRECT("'" &amp; $C$3 &amp; "'!$B$20:$X$219"),"XXXXX",0,1),    "XX",    0,    1)</f>
        <v>8</v>
      </c>
      <c r="F212" s="11" cm="1">
        <f t="array" aca="1" ref="F212" ca="1">_xlfn.XLOOKUP($B212,    INDIRECT("'" &amp; $C$3 &amp; "'!$A$20:$A$219"),    _xlfn.XLOOKUP(F$18,INDIRECT("'" &amp; $C$3 &amp; "'!$B$18:$X$18"), INDIRECT("'" &amp; $C$3 &amp; "'!$B$20:$X$219"),"XXXXX",0,1),    "XX",    0,    1)</f>
        <v>10</v>
      </c>
      <c r="G212" s="11">
        <f>_xlfn.XLOOKUP($A212,'Conical section geometry'!$B$11:$B$17,'Conical section geometry'!$E$11:$E$17,"XXXX",0,1)</f>
        <v>-174.99340000000001</v>
      </c>
      <c r="H212" s="11" cm="1">
        <f t="array" aca="1" ref="H212" ca="1">_xlfn.XLOOKUP($B212,    INDIRECT("'" &amp; $C$3 &amp; "'!$A$20:$A$219"),    _xlfn.XLOOKUP(H$18,INDIRECT("'" &amp; $C$3 &amp; "'!$B$18:$X$18"), INDIRECT("'" &amp; $C$3 &amp; "'!$B$20:$X$219"),"XXXXX",0,1),    "XX",    0,    1)</f>
        <v>-38.4</v>
      </c>
      <c r="I212" s="11" cm="1">
        <f t="array" aca="1" ref="I212" ca="1">_xlfn.XLOOKUP($B212,    INDIRECT("'" &amp; $C$3 &amp; "'!$A$20:$A$219"),    _xlfn.XLOOKUP(I$18,INDIRECT("'" &amp; $C$3 &amp; "'!$B$18:$X$18"), INDIRECT("'" &amp; $C$3 &amp; "'!$B$20:$X$219"),"XXXXX",0,1),    "XX",    0,    1)</f>
        <v>89</v>
      </c>
      <c r="J212" s="11">
        <f t="shared" ref="J212:J219" si="48">$C$1-$C212</f>
        <v>31.9</v>
      </c>
      <c r="K212" s="11">
        <f t="shared" ref="K212:K219" si="49">C$20-$D212</f>
        <v>11.428999999999998</v>
      </c>
      <c r="L212" s="11">
        <f t="shared" ref="L212:L219" si="50">$C$1-$D212</f>
        <v>43.328999999999994</v>
      </c>
      <c r="M212" s="11" cm="1">
        <f t="array" aca="1" ref="M212" ca="1">_xlfn.XLOOKUP($B212,    INDIRECT("'" &amp; $C$3 &amp; "'!$A$20:$A$219"),    _xlfn.XLOOKUP(M$18,INDIRECT("'" &amp; $C$3 &amp; "'!$B$18:$X$18"), INDIRECT("'" &amp; $C$3 &amp; "'!$B$20:$X$219"),"XXXXX",0,1),    "XX",    0,    1)</f>
        <v>25.2</v>
      </c>
      <c r="N212" s="11">
        <f t="shared" ref="N212:N219" ca="1" si="51">$I212-$J212-(-$H212)</f>
        <v>18.700000000000003</v>
      </c>
      <c r="O212" s="4">
        <f t="shared" ref="O212:O219" ca="1" si="52">$I212-$L212-(-$H212)</f>
        <v>7.2710000000000079</v>
      </c>
      <c r="P212" s="11">
        <v>13.556948890643872</v>
      </c>
      <c r="Q212" s="11">
        <f t="shared" ref="Q212:Q219" ca="1" si="53">$I212-($P212+(ABS($H212)))</f>
        <v>37.043051109356128</v>
      </c>
      <c r="R212" s="11" t="str">
        <f t="shared" ref="R212:R219" ca="1" si="54">IF($Q212&lt;=$J212,"top",IF($Q212&lt;=$L212,"conical","bottom"))</f>
        <v>conical</v>
      </c>
      <c r="S212" s="13">
        <f t="shared" ref="S212:S219" ca="1" si="55">IF($R212="top",$E212,IF($R212="bottom",$F212,$E212-(($Q212-$J212)*$G212)/1000))</f>
        <v>8.9</v>
      </c>
      <c r="T212" s="13"/>
    </row>
    <row r="213" spans="1:20" x14ac:dyDescent="0.2">
      <c r="A213" s="11" t="s">
        <v>3</v>
      </c>
      <c r="B213" s="11" t="s">
        <v>103</v>
      </c>
      <c r="C213" s="11">
        <f>_xlfn.XLOOKUP($A213,'Conical section geometry'!$B$11:$B$17,'Conical section geometry'!$C$11:$C$17,"XXXX",0,1)</f>
        <v>-6.5</v>
      </c>
      <c r="D213" s="11">
        <f>_xlfn.XLOOKUP($A213,'Conical section geometry'!$B$11:$B$17,'Conical section geometry'!$D$11:$D$17,"XXXX",0,1)</f>
        <v>-17.928999999999998</v>
      </c>
      <c r="E213" s="11" cm="1">
        <f t="array" aca="1" ref="E213" ca="1">_xlfn.XLOOKUP($B213,    INDIRECT("'" &amp; $C$3 &amp; "'!$A$20:$A$219"),    _xlfn.XLOOKUP(E$18,INDIRECT("'" &amp; $C$3 &amp; "'!$B$18:$X$18"), INDIRECT("'" &amp; $C$3 &amp; "'!$B$20:$X$219"),"XXXXX",0,1),    "XX",    0,    1)</f>
        <v>8</v>
      </c>
      <c r="F213" s="11" cm="1">
        <f t="array" aca="1" ref="F213" ca="1">_xlfn.XLOOKUP($B213,    INDIRECT("'" &amp; $C$3 &amp; "'!$A$20:$A$219"),    _xlfn.XLOOKUP(F$18,INDIRECT("'" &amp; $C$3 &amp; "'!$B$18:$X$18"), INDIRECT("'" &amp; $C$3 &amp; "'!$B$20:$X$219"),"XXXXX",0,1),    "XX",    0,    1)</f>
        <v>10</v>
      </c>
      <c r="G213" s="11">
        <f>_xlfn.XLOOKUP($A213,'Conical section geometry'!$B$11:$B$17,'Conical section geometry'!$E$11:$E$17,"XXXX",0,1)</f>
        <v>-174.99340000000001</v>
      </c>
      <c r="H213" s="11" cm="1">
        <f t="array" aca="1" ref="H213" ca="1">_xlfn.XLOOKUP($B213,    INDIRECT("'" &amp; $C$3 &amp; "'!$A$20:$A$219"),    _xlfn.XLOOKUP(H$18,INDIRECT("'" &amp; $C$3 &amp; "'!$B$18:$X$18"), INDIRECT("'" &amp; $C$3 &amp; "'!$B$20:$X$219"),"XXXXX",0,1),    "XX",    0,    1)</f>
        <v>-36.6</v>
      </c>
      <c r="I213" s="11" cm="1">
        <f t="array" aca="1" ref="I213" ca="1">_xlfn.XLOOKUP($B213,    INDIRECT("'" &amp; $C$3 &amp; "'!$A$20:$A$219"),    _xlfn.XLOOKUP(I$18,INDIRECT("'" &amp; $C$3 &amp; "'!$B$18:$X$18"), INDIRECT("'" &amp; $C$3 &amp; "'!$B$20:$X$219"),"XXXXX",0,1),    "XX",    0,    1)</f>
        <v>87.1</v>
      </c>
      <c r="J213" s="11">
        <f t="shared" si="48"/>
        <v>31.9</v>
      </c>
      <c r="K213" s="11">
        <f t="shared" si="49"/>
        <v>11.428999999999998</v>
      </c>
      <c r="L213" s="11">
        <f t="shared" si="50"/>
        <v>43.328999999999994</v>
      </c>
      <c r="M213" s="11" cm="1">
        <f t="array" aca="1" ref="M213" ca="1">_xlfn.XLOOKUP($B213,    INDIRECT("'" &amp; $C$3 &amp; "'!$A$20:$A$219"),    _xlfn.XLOOKUP(M$18,INDIRECT("'" &amp; $C$3 &amp; "'!$B$18:$X$18"), INDIRECT("'" &amp; $C$3 &amp; "'!$B$20:$X$219"),"XXXXX",0,1),    "XX",    0,    1)</f>
        <v>25.1</v>
      </c>
      <c r="N213" s="11">
        <f t="shared" ca="1" si="51"/>
        <v>18.599999999999994</v>
      </c>
      <c r="O213" s="4">
        <f t="shared" ca="1" si="52"/>
        <v>7.1709999999999994</v>
      </c>
      <c r="P213" s="11">
        <v>13.45694889064387</v>
      </c>
      <c r="Q213" s="11">
        <f t="shared" ca="1" si="53"/>
        <v>37.043051109356121</v>
      </c>
      <c r="R213" s="11" t="str">
        <f t="shared" ca="1" si="54"/>
        <v>conical</v>
      </c>
      <c r="S213" s="13">
        <f t="shared" ca="1" si="55"/>
        <v>8.9</v>
      </c>
      <c r="T213" s="13"/>
    </row>
    <row r="214" spans="1:20" x14ac:dyDescent="0.2">
      <c r="A214" s="11" t="s">
        <v>3</v>
      </c>
      <c r="B214" s="11" t="s">
        <v>99</v>
      </c>
      <c r="C214" s="11">
        <f>_xlfn.XLOOKUP($A214,'Conical section geometry'!$B$11:$B$17,'Conical section geometry'!$C$11:$C$17,"XXXX",0,1)</f>
        <v>-6.5</v>
      </c>
      <c r="D214" s="11">
        <f>_xlfn.XLOOKUP($A214,'Conical section geometry'!$B$11:$B$17,'Conical section geometry'!$D$11:$D$17,"XXXX",0,1)</f>
        <v>-17.928999999999998</v>
      </c>
      <c r="E214" s="11" cm="1">
        <f t="array" aca="1" ref="E214" ca="1">_xlfn.XLOOKUP($B214,    INDIRECT("'" &amp; $C$3 &amp; "'!$A$20:$A$219"),    _xlfn.XLOOKUP(E$18,INDIRECT("'" &amp; $C$3 &amp; "'!$B$18:$X$18"), INDIRECT("'" &amp; $C$3 &amp; "'!$B$20:$X$219"),"XXXXX",0,1),    "XX",    0,    1)</f>
        <v>8</v>
      </c>
      <c r="F214" s="11" cm="1">
        <f t="array" aca="1" ref="F214" ca="1">_xlfn.XLOOKUP($B214,    INDIRECT("'" &amp; $C$3 &amp; "'!$A$20:$A$219"),    _xlfn.XLOOKUP(F$18,INDIRECT("'" &amp; $C$3 &amp; "'!$B$18:$X$18"), INDIRECT("'" &amp; $C$3 &amp; "'!$B$20:$X$219"),"XXXXX",0,1),    "XX",    0,    1)</f>
        <v>10</v>
      </c>
      <c r="G214" s="11">
        <f>_xlfn.XLOOKUP($A214,'Conical section geometry'!$B$11:$B$17,'Conical section geometry'!$E$11:$E$17,"XXXX",0,1)</f>
        <v>-174.99340000000001</v>
      </c>
      <c r="H214" s="11" cm="1">
        <f t="array" aca="1" ref="H214" ca="1">_xlfn.XLOOKUP($B214,    INDIRECT("'" &amp; $C$3 &amp; "'!$A$20:$A$219"),    _xlfn.XLOOKUP(H$18,INDIRECT("'" &amp; $C$3 &amp; "'!$B$18:$X$18"), INDIRECT("'" &amp; $C$3 &amp; "'!$B$20:$X$219"),"XXXXX",0,1),    "XX",    0,    1)</f>
        <v>-37.1</v>
      </c>
      <c r="I214" s="11" cm="1">
        <f t="array" aca="1" ref="I214" ca="1">_xlfn.XLOOKUP($B214,    INDIRECT("'" &amp; $C$3 &amp; "'!$A$20:$A$219"),    _xlfn.XLOOKUP(I$18,INDIRECT("'" &amp; $C$3 &amp; "'!$B$18:$X$18"), INDIRECT("'" &amp; $C$3 &amp; "'!$B$20:$X$219"),"XXXXX",0,1),    "XX",    0,    1)</f>
        <v>87.4</v>
      </c>
      <c r="J214" s="11">
        <f t="shared" si="48"/>
        <v>31.9</v>
      </c>
      <c r="K214" s="11">
        <f t="shared" si="49"/>
        <v>11.428999999999998</v>
      </c>
      <c r="L214" s="11">
        <f t="shared" si="50"/>
        <v>43.328999999999994</v>
      </c>
      <c r="M214" s="11" cm="1">
        <f t="array" aca="1" ref="M214" ca="1">_xlfn.XLOOKUP($B214,    INDIRECT("'" &amp; $C$3 &amp; "'!$A$20:$A$219"),    _xlfn.XLOOKUP(M$18,INDIRECT("'" &amp; $C$3 &amp; "'!$B$18:$X$18"), INDIRECT("'" &amp; $C$3 &amp; "'!$B$20:$X$219"),"XXXXX",0,1),    "XX",    0,    1)</f>
        <v>24.9</v>
      </c>
      <c r="N214" s="11">
        <f t="shared" ca="1" si="51"/>
        <v>18.400000000000006</v>
      </c>
      <c r="O214" s="4">
        <f t="shared" ca="1" si="52"/>
        <v>6.9710000000000107</v>
      </c>
      <c r="P214" s="11">
        <v>13.256948890643875</v>
      </c>
      <c r="Q214" s="11">
        <f t="shared" ca="1" si="53"/>
        <v>37.043051109356128</v>
      </c>
      <c r="R214" s="11" t="str">
        <f t="shared" ca="1" si="54"/>
        <v>conical</v>
      </c>
      <c r="S214" s="13">
        <f t="shared" ca="1" si="55"/>
        <v>8.9</v>
      </c>
      <c r="T214" s="13"/>
    </row>
    <row r="215" spans="1:20" x14ac:dyDescent="0.2">
      <c r="A215" s="11" t="s">
        <v>3</v>
      </c>
      <c r="B215" s="11" t="s">
        <v>95</v>
      </c>
      <c r="C215" s="11">
        <f>_xlfn.XLOOKUP($A215,'Conical section geometry'!$B$11:$B$17,'Conical section geometry'!$C$11:$C$17,"XXXX",0,1)</f>
        <v>-6.5</v>
      </c>
      <c r="D215" s="11">
        <f>_xlfn.XLOOKUP($A215,'Conical section geometry'!$B$11:$B$17,'Conical section geometry'!$D$11:$D$17,"XXXX",0,1)</f>
        <v>-17.928999999999998</v>
      </c>
      <c r="E215" s="11" cm="1">
        <f t="array" aca="1" ref="E215" ca="1">_xlfn.XLOOKUP($B215,    INDIRECT("'" &amp; $C$3 &amp; "'!$A$20:$A$219"),    _xlfn.XLOOKUP(E$18,INDIRECT("'" &amp; $C$3 &amp; "'!$B$18:$X$18"), INDIRECT("'" &amp; $C$3 &amp; "'!$B$20:$X$219"),"XXXXX",0,1),    "XX",    0,    1)</f>
        <v>8</v>
      </c>
      <c r="F215" s="11" cm="1">
        <f t="array" aca="1" ref="F215" ca="1">_xlfn.XLOOKUP($B215,    INDIRECT("'" &amp; $C$3 &amp; "'!$A$20:$A$219"),    _xlfn.XLOOKUP(F$18,INDIRECT("'" &amp; $C$3 &amp; "'!$B$18:$X$18"), INDIRECT("'" &amp; $C$3 &amp; "'!$B$20:$X$219"),"XXXXX",0,1),    "XX",    0,    1)</f>
        <v>10</v>
      </c>
      <c r="G215" s="11">
        <f>_xlfn.XLOOKUP($A215,'Conical section geometry'!$B$11:$B$17,'Conical section geometry'!$E$11:$E$17,"XXXX",0,1)</f>
        <v>-174.99340000000001</v>
      </c>
      <c r="H215" s="11" cm="1">
        <f t="array" aca="1" ref="H215" ca="1">_xlfn.XLOOKUP($B215,    INDIRECT("'" &amp; $C$3 &amp; "'!$A$20:$A$219"),    _xlfn.XLOOKUP(H$18,INDIRECT("'" &amp; $C$3 &amp; "'!$B$18:$X$18"), INDIRECT("'" &amp; $C$3 &amp; "'!$B$20:$X$219"),"XXXXX",0,1),    "XX",    0,    1)</f>
        <v>-37.299999999999997</v>
      </c>
      <c r="I215" s="11" cm="1">
        <f t="array" aca="1" ref="I215" ca="1">_xlfn.XLOOKUP($B215,    INDIRECT("'" &amp; $C$3 &amp; "'!$A$20:$A$219"),    _xlfn.XLOOKUP(I$18,INDIRECT("'" &amp; $C$3 &amp; "'!$B$18:$X$18"), INDIRECT("'" &amp; $C$3 &amp; "'!$B$20:$X$219"),"XXXXX",0,1),    "XX",    0,    1)</f>
        <v>87.5</v>
      </c>
      <c r="J215" s="11">
        <f t="shared" si="48"/>
        <v>31.9</v>
      </c>
      <c r="K215" s="11">
        <f t="shared" si="49"/>
        <v>11.428999999999998</v>
      </c>
      <c r="L215" s="11">
        <f t="shared" si="50"/>
        <v>43.328999999999994</v>
      </c>
      <c r="M215" s="11" cm="1">
        <f t="array" aca="1" ref="M215" ca="1">_xlfn.XLOOKUP($B215,    INDIRECT("'" &amp; $C$3 &amp; "'!$A$20:$A$219"),    _xlfn.XLOOKUP(M$18,INDIRECT("'" &amp; $C$3 &amp; "'!$B$18:$X$18"), INDIRECT("'" &amp; $C$3 &amp; "'!$B$20:$X$219"),"XXXXX",0,1),    "XX",    0,    1)</f>
        <v>24.8</v>
      </c>
      <c r="N215" s="11">
        <f t="shared" ca="1" si="51"/>
        <v>18.300000000000004</v>
      </c>
      <c r="O215" s="4">
        <f t="shared" ca="1" si="52"/>
        <v>6.8710000000000093</v>
      </c>
      <c r="P215" s="11">
        <v>13.156948890643877</v>
      </c>
      <c r="Q215" s="11">
        <f t="shared" ca="1" si="53"/>
        <v>37.043051109356128</v>
      </c>
      <c r="R215" s="11" t="str">
        <f t="shared" ca="1" si="54"/>
        <v>conical</v>
      </c>
      <c r="S215" s="13">
        <f t="shared" ca="1" si="55"/>
        <v>8.9</v>
      </c>
      <c r="T215" s="13"/>
    </row>
    <row r="216" spans="1:20" x14ac:dyDescent="0.2">
      <c r="A216" s="11" t="s">
        <v>3</v>
      </c>
      <c r="B216" s="11" t="s">
        <v>108</v>
      </c>
      <c r="C216" s="11">
        <f>_xlfn.XLOOKUP($A216,'Conical section geometry'!$B$11:$B$17,'Conical section geometry'!$C$11:$C$17,"XXXX",0,1)</f>
        <v>-6.5</v>
      </c>
      <c r="D216" s="11">
        <f>_xlfn.XLOOKUP($A216,'Conical section geometry'!$B$11:$B$17,'Conical section geometry'!$D$11:$D$17,"XXXX",0,1)</f>
        <v>-17.928999999999998</v>
      </c>
      <c r="E216" s="11" cm="1">
        <f t="array" aca="1" ref="E216" ca="1">_xlfn.XLOOKUP($B216,    INDIRECT("'" &amp; $C$3 &amp; "'!$A$20:$A$219"),    _xlfn.XLOOKUP(E$18,INDIRECT("'" &amp; $C$3 &amp; "'!$B$18:$X$18"), INDIRECT("'" &amp; $C$3 &amp; "'!$B$20:$X$219"),"XXXXX",0,1),    "XX",    0,    1)</f>
        <v>8</v>
      </c>
      <c r="F216" s="11" cm="1">
        <f t="array" aca="1" ref="F216" ca="1">_xlfn.XLOOKUP($B216,    INDIRECT("'" &amp; $C$3 &amp; "'!$A$20:$A$219"),    _xlfn.XLOOKUP(F$18,INDIRECT("'" &amp; $C$3 &amp; "'!$B$18:$X$18"), INDIRECT("'" &amp; $C$3 &amp; "'!$B$20:$X$219"),"XXXXX",0,1),    "XX",    0,    1)</f>
        <v>10</v>
      </c>
      <c r="G216" s="11">
        <f>_xlfn.XLOOKUP($A216,'Conical section geometry'!$B$11:$B$17,'Conical section geometry'!$E$11:$E$17,"XXXX",0,1)</f>
        <v>-174.99340000000001</v>
      </c>
      <c r="H216" s="11" cm="1">
        <f t="array" aca="1" ref="H216" ca="1">_xlfn.XLOOKUP($B216,    INDIRECT("'" &amp; $C$3 &amp; "'!$A$20:$A$219"),    _xlfn.XLOOKUP(H$18,INDIRECT("'" &amp; $C$3 &amp; "'!$B$18:$X$18"), INDIRECT("'" &amp; $C$3 &amp; "'!$B$20:$X$219"),"XXXXX",0,1),    "XX",    0,    1)</f>
        <v>-36.9</v>
      </c>
      <c r="I216" s="11" cm="1">
        <f t="array" aca="1" ref="I216" ca="1">_xlfn.XLOOKUP($B216,    INDIRECT("'" &amp; $C$3 &amp; "'!$A$20:$A$219"),    _xlfn.XLOOKUP(I$18,INDIRECT("'" &amp; $C$3 &amp; "'!$B$18:$X$18"), INDIRECT("'" &amp; $C$3 &amp; "'!$B$20:$X$219"),"XXXXX",0,1),    "XX",    0,    1)</f>
        <v>87.1</v>
      </c>
      <c r="J216" s="11">
        <f t="shared" si="48"/>
        <v>31.9</v>
      </c>
      <c r="K216" s="11">
        <f t="shared" si="49"/>
        <v>11.428999999999998</v>
      </c>
      <c r="L216" s="11">
        <f t="shared" si="50"/>
        <v>43.328999999999994</v>
      </c>
      <c r="M216" s="11" cm="1">
        <f t="array" aca="1" ref="M216" ca="1">_xlfn.XLOOKUP($B216,    INDIRECT("'" &amp; $C$3 &amp; "'!$A$20:$A$219"),    _xlfn.XLOOKUP(M$18,INDIRECT("'" &amp; $C$3 &amp; "'!$B$18:$X$18"), INDIRECT("'" &amp; $C$3 &amp; "'!$B$20:$X$219"),"XXXXX",0,1),    "XX",    0,    1)</f>
        <v>24.8</v>
      </c>
      <c r="N216" s="11">
        <f t="shared" ca="1" si="51"/>
        <v>18.299999999999997</v>
      </c>
      <c r="O216" s="4">
        <f t="shared" ca="1" si="52"/>
        <v>6.8710000000000022</v>
      </c>
      <c r="P216" s="11">
        <v>13.156948890643868</v>
      </c>
      <c r="Q216" s="11">
        <f t="shared" ca="1" si="53"/>
        <v>37.043051109356128</v>
      </c>
      <c r="R216" s="11" t="str">
        <f t="shared" ca="1" si="54"/>
        <v>conical</v>
      </c>
      <c r="S216" s="13">
        <f t="shared" ca="1" si="55"/>
        <v>8.9</v>
      </c>
      <c r="T216" s="13"/>
    </row>
    <row r="217" spans="1:20" x14ac:dyDescent="0.2">
      <c r="A217" s="11" t="s">
        <v>3</v>
      </c>
      <c r="B217" s="11" t="s">
        <v>122</v>
      </c>
      <c r="C217" s="11">
        <f>_xlfn.XLOOKUP($A217,'Conical section geometry'!$B$11:$B$17,'Conical section geometry'!$C$11:$C$17,"XXXX",0,1)</f>
        <v>-6.5</v>
      </c>
      <c r="D217" s="11">
        <f>_xlfn.XLOOKUP($A217,'Conical section geometry'!$B$11:$B$17,'Conical section geometry'!$D$11:$D$17,"XXXX",0,1)</f>
        <v>-17.928999999999998</v>
      </c>
      <c r="E217" s="11" cm="1">
        <f t="array" aca="1" ref="E217" ca="1">_xlfn.XLOOKUP($B217,    INDIRECT("'" &amp; $C$3 &amp; "'!$A$20:$A$219"),    _xlfn.XLOOKUP(E$18,INDIRECT("'" &amp; $C$3 &amp; "'!$B$18:$X$18"), INDIRECT("'" &amp; $C$3 &amp; "'!$B$20:$X$219"),"XXXXX",0,1),    "XX",    0,    1)</f>
        <v>8</v>
      </c>
      <c r="F217" s="11" cm="1">
        <f t="array" aca="1" ref="F217" ca="1">_xlfn.XLOOKUP($B217,    INDIRECT("'" &amp; $C$3 &amp; "'!$A$20:$A$219"),    _xlfn.XLOOKUP(F$18,INDIRECT("'" &amp; $C$3 &amp; "'!$B$18:$X$18"), INDIRECT("'" &amp; $C$3 &amp; "'!$B$20:$X$219"),"XXXXX",0,1),    "XX",    0,    1)</f>
        <v>10</v>
      </c>
      <c r="G217" s="11">
        <f>_xlfn.XLOOKUP($A217,'Conical section geometry'!$B$11:$B$17,'Conical section geometry'!$E$11:$E$17,"XXXX",0,1)</f>
        <v>-174.99340000000001</v>
      </c>
      <c r="H217" s="11" cm="1">
        <f t="array" aca="1" ref="H217" ca="1">_xlfn.XLOOKUP($B217,    INDIRECT("'" &amp; $C$3 &amp; "'!$A$20:$A$219"),    _xlfn.XLOOKUP(H$18,INDIRECT("'" &amp; $C$3 &amp; "'!$B$18:$X$18"), INDIRECT("'" &amp; $C$3 &amp; "'!$B$20:$X$219"),"XXXXX",0,1),    "XX",    0,    1)</f>
        <v>-36.299999999999997</v>
      </c>
      <c r="I217" s="11" cm="1">
        <f t="array" aca="1" ref="I217" ca="1">_xlfn.XLOOKUP($B217,    INDIRECT("'" &amp; $C$3 &amp; "'!$A$20:$A$219"),    _xlfn.XLOOKUP(I$18,INDIRECT("'" &amp; $C$3 &amp; "'!$B$18:$X$18"), INDIRECT("'" &amp; $C$3 &amp; "'!$B$20:$X$219"),"XXXXX",0,1),    "XX",    0,    1)</f>
        <v>86.3</v>
      </c>
      <c r="J217" s="11">
        <f t="shared" si="48"/>
        <v>31.9</v>
      </c>
      <c r="K217" s="11">
        <f t="shared" si="49"/>
        <v>11.428999999999998</v>
      </c>
      <c r="L217" s="11">
        <f t="shared" si="50"/>
        <v>43.328999999999994</v>
      </c>
      <c r="M217" s="11" cm="1">
        <f t="array" aca="1" ref="M217" ca="1">_xlfn.XLOOKUP($B217,    INDIRECT("'" &amp; $C$3 &amp; "'!$A$20:$A$219"),    _xlfn.XLOOKUP(M$18,INDIRECT("'" &amp; $C$3 &amp; "'!$B$18:$X$18"), INDIRECT("'" &amp; $C$3 &amp; "'!$B$20:$X$219"),"XXXXX",0,1),    "XX",    0,    1)</f>
        <v>24.6</v>
      </c>
      <c r="N217" s="11">
        <f t="shared" ca="1" si="51"/>
        <v>18.100000000000001</v>
      </c>
      <c r="O217" s="4">
        <f t="shared" ca="1" si="52"/>
        <v>6.6710000000000065</v>
      </c>
      <c r="P217" s="11">
        <v>12.956948890643865</v>
      </c>
      <c r="Q217" s="11">
        <f t="shared" ca="1" si="53"/>
        <v>37.043051109356135</v>
      </c>
      <c r="R217" s="11" t="str">
        <f t="shared" ca="1" si="54"/>
        <v>conical</v>
      </c>
      <c r="S217" s="13">
        <f t="shared" ca="1" si="55"/>
        <v>8.9000000000000021</v>
      </c>
      <c r="T217" s="13"/>
    </row>
    <row r="218" spans="1:20" x14ac:dyDescent="0.2">
      <c r="A218" s="11" t="s">
        <v>3</v>
      </c>
      <c r="B218" s="11" t="s">
        <v>114</v>
      </c>
      <c r="C218" s="11">
        <f>_xlfn.XLOOKUP($A218,'Conical section geometry'!$B$11:$B$17,'Conical section geometry'!$C$11:$C$17,"XXXX",0,1)</f>
        <v>-6.5</v>
      </c>
      <c r="D218" s="11">
        <f>_xlfn.XLOOKUP($A218,'Conical section geometry'!$B$11:$B$17,'Conical section geometry'!$D$11:$D$17,"XXXX",0,1)</f>
        <v>-17.928999999999998</v>
      </c>
      <c r="E218" s="11" cm="1">
        <f t="array" aca="1" ref="E218" ca="1">_xlfn.XLOOKUP($B218,    INDIRECT("'" &amp; $C$3 &amp; "'!$A$20:$A$219"),    _xlfn.XLOOKUP(E$18,INDIRECT("'" &amp; $C$3 &amp; "'!$B$18:$X$18"), INDIRECT("'" &amp; $C$3 &amp; "'!$B$20:$X$219"),"XXXXX",0,1),    "XX",    0,    1)</f>
        <v>8</v>
      </c>
      <c r="F218" s="11" cm="1">
        <f t="array" aca="1" ref="F218" ca="1">_xlfn.XLOOKUP($B218,    INDIRECT("'" &amp; $C$3 &amp; "'!$A$20:$A$219"),    _xlfn.XLOOKUP(F$18,INDIRECT("'" &amp; $C$3 &amp; "'!$B$18:$X$18"), INDIRECT("'" &amp; $C$3 &amp; "'!$B$20:$X$219"),"XXXXX",0,1),    "XX",    0,    1)</f>
        <v>10</v>
      </c>
      <c r="G218" s="11">
        <f>_xlfn.XLOOKUP($A218,'Conical section geometry'!$B$11:$B$17,'Conical section geometry'!$E$11:$E$17,"XXXX",0,1)</f>
        <v>-174.99340000000001</v>
      </c>
      <c r="H218" s="11" cm="1">
        <f t="array" aca="1" ref="H218" ca="1">_xlfn.XLOOKUP($B218,    INDIRECT("'" &amp; $C$3 &amp; "'!$A$20:$A$219"),    _xlfn.XLOOKUP(H$18,INDIRECT("'" &amp; $C$3 &amp; "'!$B$18:$X$18"), INDIRECT("'" &amp; $C$3 &amp; "'!$B$20:$X$219"),"XXXXX",0,1),    "XX",    0,    1)</f>
        <v>-36.799999999999997</v>
      </c>
      <c r="I218" s="11" cm="1">
        <f t="array" aca="1" ref="I218" ca="1">_xlfn.XLOOKUP($B218,    INDIRECT("'" &amp; $C$3 &amp; "'!$A$20:$A$219"),    _xlfn.XLOOKUP(I$18,INDIRECT("'" &amp; $C$3 &amp; "'!$B$18:$X$18"), INDIRECT("'" &amp; $C$3 &amp; "'!$B$20:$X$219"),"XXXXX",0,1),    "XX",    0,    1)</f>
        <v>86.5</v>
      </c>
      <c r="J218" s="11">
        <f t="shared" si="48"/>
        <v>31.9</v>
      </c>
      <c r="K218" s="11">
        <f t="shared" si="49"/>
        <v>11.428999999999998</v>
      </c>
      <c r="L218" s="11">
        <f t="shared" si="50"/>
        <v>43.328999999999994</v>
      </c>
      <c r="M218" s="11" cm="1">
        <f t="array" aca="1" ref="M218" ca="1">_xlfn.XLOOKUP($B218,    INDIRECT("'" &amp; $C$3 &amp; "'!$A$20:$A$219"),    _xlfn.XLOOKUP(M$18,INDIRECT("'" &amp; $C$3 &amp; "'!$B$18:$X$18"), INDIRECT("'" &amp; $C$3 &amp; "'!$B$20:$X$219"),"XXXXX",0,1),    "XX",    0,    1)</f>
        <v>24.3</v>
      </c>
      <c r="N218" s="11">
        <f t="shared" ca="1" si="51"/>
        <v>17.800000000000004</v>
      </c>
      <c r="O218" s="4">
        <f t="shared" ca="1" si="52"/>
        <v>6.3710000000000093</v>
      </c>
      <c r="P218" s="11">
        <v>12.656948890643875</v>
      </c>
      <c r="Q218" s="11">
        <f t="shared" ca="1" si="53"/>
        <v>37.043051109356128</v>
      </c>
      <c r="R218" s="11" t="str">
        <f t="shared" ca="1" si="54"/>
        <v>conical</v>
      </c>
      <c r="S218" s="13">
        <f t="shared" ca="1" si="55"/>
        <v>8.9</v>
      </c>
      <c r="T218" s="13"/>
    </row>
    <row r="219" spans="1:20" x14ac:dyDescent="0.2">
      <c r="A219" s="11" t="s">
        <v>3</v>
      </c>
      <c r="B219" s="11" t="s">
        <v>137</v>
      </c>
      <c r="C219" s="11">
        <f>_xlfn.XLOOKUP($A219,'Conical section geometry'!$B$11:$B$17,'Conical section geometry'!$C$11:$C$17,"XXXX",0,1)</f>
        <v>-6.5</v>
      </c>
      <c r="D219" s="11">
        <f>_xlfn.XLOOKUP($A219,'Conical section geometry'!$B$11:$B$17,'Conical section geometry'!$D$11:$D$17,"XXXX",0,1)</f>
        <v>-17.928999999999998</v>
      </c>
      <c r="E219" s="11" cm="1">
        <f t="array" aca="1" ref="E219" ca="1">_xlfn.XLOOKUP($B219,    INDIRECT("'" &amp; $C$3 &amp; "'!$A$20:$A$219"),    _xlfn.XLOOKUP(E$18,INDIRECT("'" &amp; $C$3 &amp; "'!$B$18:$X$18"), INDIRECT("'" &amp; $C$3 &amp; "'!$B$20:$X$219"),"XXXXX",0,1),    "XX",    0,    1)</f>
        <v>8</v>
      </c>
      <c r="F219" s="11" cm="1">
        <f t="array" aca="1" ref="F219" ca="1">_xlfn.XLOOKUP($B219,    INDIRECT("'" &amp; $C$3 &amp; "'!$A$20:$A$219"),    _xlfn.XLOOKUP(F$18,INDIRECT("'" &amp; $C$3 &amp; "'!$B$18:$X$18"), INDIRECT("'" &amp; $C$3 &amp; "'!$B$20:$X$219"),"XXXXX",0,1),    "XX",    0,    1)</f>
        <v>10</v>
      </c>
      <c r="G219" s="11">
        <f>_xlfn.XLOOKUP($A219,'Conical section geometry'!$B$11:$B$17,'Conical section geometry'!$E$11:$E$17,"XXXX",0,1)</f>
        <v>-174.99340000000001</v>
      </c>
      <c r="H219" s="11" cm="1">
        <f t="array" aca="1" ref="H219" ca="1">_xlfn.XLOOKUP($B219,    INDIRECT("'" &amp; $C$3 &amp; "'!$A$20:$A$219"),    _xlfn.XLOOKUP(H$18,INDIRECT("'" &amp; $C$3 &amp; "'!$B$18:$X$18"), INDIRECT("'" &amp; $C$3 &amp; "'!$B$20:$X$219"),"XXXXX",0,1),    "XX",    0,    1)</f>
        <v>-36.200000000000003</v>
      </c>
      <c r="I219" s="11" cm="1">
        <f t="array" aca="1" ref="I219" ca="1">_xlfn.XLOOKUP($B219,    INDIRECT("'" &amp; $C$3 &amp; "'!$A$20:$A$219"),    _xlfn.XLOOKUP(I$18,INDIRECT("'" &amp; $C$3 &amp; "'!$B$18:$X$18"), INDIRECT("'" &amp; $C$3 &amp; "'!$B$20:$X$219"),"XXXXX",0,1),    "XX",    0,    1)</f>
        <v>85.129000000000005</v>
      </c>
      <c r="J219" s="11">
        <f t="shared" si="48"/>
        <v>31.9</v>
      </c>
      <c r="K219" s="11">
        <f t="shared" si="49"/>
        <v>11.428999999999998</v>
      </c>
      <c r="L219" s="11">
        <f t="shared" si="50"/>
        <v>43.328999999999994</v>
      </c>
      <c r="M219" s="11" cm="1">
        <f t="array" aca="1" ref="M219" ca="1">_xlfn.XLOOKUP($B219,    INDIRECT("'" &amp; $C$3 &amp; "'!$A$20:$A$219"),    _xlfn.XLOOKUP(M$18,INDIRECT("'" &amp; $C$3 &amp; "'!$B$18:$X$18"), INDIRECT("'" &amp; $C$3 &amp; "'!$B$20:$X$219"),"XXXXX",0,1),    "XX",    0,    1)</f>
        <v>23.529</v>
      </c>
      <c r="N219" s="11">
        <f t="shared" ca="1" si="51"/>
        <v>17.029000000000003</v>
      </c>
      <c r="O219" s="4">
        <f t="shared" ca="1" si="52"/>
        <v>5.6000000000000085</v>
      </c>
      <c r="P219" s="11">
        <v>11.885948890643892</v>
      </c>
      <c r="Q219" s="11">
        <f t="shared" ca="1" si="53"/>
        <v>37.043051109356114</v>
      </c>
      <c r="R219" s="11" t="str">
        <f t="shared" ca="1" si="54"/>
        <v>conical</v>
      </c>
      <c r="S219" s="13">
        <f t="shared" ca="1" si="55"/>
        <v>8.8999999999999986</v>
      </c>
      <c r="T219" s="13"/>
    </row>
  </sheetData>
  <autoFilter ref="A19:FA219" xr:uid="{8ACF5364-E463-4FC0-A94C-AD25786F5170}">
    <sortState xmlns:xlrd2="http://schemas.microsoft.com/office/spreadsheetml/2017/richdata2" ref="A20:FA219">
      <sortCondition descending="1" ref="P19"/>
    </sortState>
  </autoFilter>
  <conditionalFormatting sqref="P20:P219">
    <cfRule type="colorScale" priority="2">
      <colorScale>
        <cfvo type="min"/>
        <cfvo type="percentile" val="50"/>
        <cfvo type="max"/>
        <color rgb="FF63BE7B"/>
        <color rgb="FFFFEB84"/>
        <color rgb="FFF8696B"/>
      </colorScale>
    </cfRule>
  </conditionalFormatting>
  <pageMargins left="0.7" right="0.7" top="0.75" bottom="0.75" header="0.3" footer="0.3"/>
  <headerFooter>
    <oddHeader>&amp;R&amp;"Arial Black"&amp;10&amp;K4099DA INTERNAL&amp;1#_x000D_</oddHeader>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38B073-EDE3-4C94-A5AC-0DF75FA3B132}">
  <sheetPr codeName="Sheet12"/>
  <dimension ref="A1:U207"/>
  <sheetViews>
    <sheetView topLeftCell="A5" workbookViewId="0">
      <selection activeCell="Q205" sqref="Q6:Q205"/>
    </sheetView>
  </sheetViews>
  <sheetFormatPr defaultRowHeight="12.75" x14ac:dyDescent="0.2"/>
  <cols>
    <col min="1" max="1" width="17.42578125" customWidth="1"/>
    <col min="3" max="3" width="18.140625" customWidth="1"/>
    <col min="7" max="7" width="49.140625" customWidth="1"/>
    <col min="8" max="8" width="9.140625" style="23"/>
    <col min="10" max="10" width="21.140625" customWidth="1"/>
    <col min="15" max="15" width="9.140625" style="23"/>
    <col min="17" max="17" width="19.7109375" customWidth="1"/>
    <col min="18" max="18" width="8.85546875" customWidth="1"/>
    <col min="19" max="20" width="7.7109375" customWidth="1"/>
  </cols>
  <sheetData>
    <row r="1" spans="1:21" x14ac:dyDescent="0.2">
      <c r="A1" t="s">
        <v>477</v>
      </c>
    </row>
    <row r="2" spans="1:21" x14ac:dyDescent="0.2">
      <c r="A2" t="s">
        <v>478</v>
      </c>
    </row>
    <row r="3" spans="1:21" x14ac:dyDescent="0.2">
      <c r="A3" t="s">
        <v>479</v>
      </c>
    </row>
    <row r="5" spans="1:21" ht="51" x14ac:dyDescent="0.2">
      <c r="B5" t="s">
        <v>480</v>
      </c>
      <c r="C5" s="2" t="s">
        <v>481</v>
      </c>
      <c r="D5" s="2"/>
      <c r="E5" s="2"/>
      <c r="F5" s="2"/>
      <c r="G5" s="2"/>
      <c r="H5" s="24"/>
      <c r="I5" t="s">
        <v>480</v>
      </c>
      <c r="J5" s="2" t="s">
        <v>482</v>
      </c>
      <c r="P5" t="s">
        <v>480</v>
      </c>
      <c r="Q5" s="2" t="s">
        <v>482</v>
      </c>
      <c r="R5" s="2"/>
    </row>
    <row r="6" spans="1:21" x14ac:dyDescent="0.2">
      <c r="B6" t="s">
        <v>123</v>
      </c>
      <c r="C6" s="6">
        <v>12.801164992508285</v>
      </c>
      <c r="D6">
        <f>IF(J6&lt;15,15,J6)</f>
        <v>16.899901939158855</v>
      </c>
      <c r="F6">
        <v>15</v>
      </c>
      <c r="G6" t="str" cm="1">
        <f t="array" ref="G6">_xlfn.TEXTJOIN(" ", TRUE, IF(($C$6:$C$205&lt;=$F6), $B$6:$B$205, ""))</f>
        <v>A01 A02 A03 A04 A06 A07 A08 A10 A11 A12 A13 A14 A15 A21 A22 A24 B03 B05 B07 B21 B23 B24 C01 C07 C09 C11 C13 C15 C19 C21 C22 C23 C24 D01 D09 D11 D13 D15 D17 D19 D21 D22 D23 E01 E03 E07 E09 E11 E15 E17 E19 E21 E22 E23 F01 F03 F05 F09 F11 F15 F17 F19 F21 F23 G01 G03 G05 G09 G11 G13 G15 G17 G21 H01 H03 H05 H07 H09 H11 H13 H15 H17 H19 H21 H22 J01 J03 J07 J11 J13 J15 J17 J19 J22 K01 K03 K05 K07 K13 K15 K17 K19 K21 L01 L03 L05 L07 L09 L11 L15 L17 L21 M05 M07 M09 M11 M13 M17 M19 N03 N05 N07 N11 N13 N15 N17 N19 P01 P07 P09 P11 P13 P15 P17 P19 Q01 Q09 Q11 Q13 Q15 Q17 Q18 R01 R02 R09 R11 R13 R15 S11 S13 S15 T11 T12 T16</v>
      </c>
      <c r="I6" t="s">
        <v>123</v>
      </c>
      <c r="J6" s="6">
        <v>16.899901939158855</v>
      </c>
      <c r="M6">
        <v>15</v>
      </c>
      <c r="N6" t="str" cm="1">
        <f t="array" ref="N6">_xlfn.TEXTJOIN(" ", TRUE, IF(($J$6:$J$205&lt;=$M6), $I$6:$I$205, ""))</f>
        <v>C24 D15 E01 F01 F23 G01 G05 J01 J03 K01 L01 L03 L05 L09 M07 M11 N03 N07 N11 N17 P09 P13 P15 P19 Q11 Q15 S11 S15</v>
      </c>
      <c r="P6" t="s">
        <v>123</v>
      </c>
      <c r="Q6" s="6">
        <v>18.09852272142837</v>
      </c>
      <c r="R6" s="6"/>
      <c r="T6">
        <v>15</v>
      </c>
      <c r="U6" t="str" cm="1">
        <f t="array" ref="U6">_xlfn.TEXTJOIN(" ", TRUE, IF(($Q$6:$Q$205&lt;=$T6), $P$6:$P$205, ""))</f>
        <v>G05 J01 J03 K01 L05 N07 N11 P19 Q15</v>
      </c>
    </row>
    <row r="7" spans="1:21" x14ac:dyDescent="0.2">
      <c r="B7" t="s">
        <v>117</v>
      </c>
      <c r="C7" s="6">
        <v>12.201164992508295</v>
      </c>
      <c r="D7">
        <f t="shared" ref="D7:D70" si="0">IF(J7&lt;15,15,J7)</f>
        <v>16.29990193915885</v>
      </c>
      <c r="E7">
        <f>F6</f>
        <v>15</v>
      </c>
      <c r="F7">
        <f>E7+2</f>
        <v>17</v>
      </c>
      <c r="G7" t="str" cm="1">
        <f t="array" ref="G7">_xlfn.TEXTJOIN(" ", TRUE, IF(($C$6:$C$205&gt;$E7)*($C$6:$C$205&lt;=$F7), $B$6:$B$205, ""))</f>
        <v>A09 A16 A19 A23 B01 B17 B19 B22 C05 C17 D07 E05 E13 F07 F13 F22 G07 J09 J21 K11 L19 M15 N01 N09 P03 P04 Q05 Q06 T10 T13</v>
      </c>
      <c r="I7" t="s">
        <v>117</v>
      </c>
      <c r="J7" s="6">
        <v>16.29990193915885</v>
      </c>
      <c r="L7">
        <f>M6</f>
        <v>15</v>
      </c>
      <c r="M7">
        <f>L7+2</f>
        <v>17</v>
      </c>
      <c r="N7" t="str" cm="1">
        <f t="array" ref="N7">_xlfn.TEXTJOIN(" ", TRUE, IF(($J$6:$J$205&gt;$L7)*($J$6:$J$205&lt;=$M7), $I$6:$I$205, ""))</f>
        <v>A01 A02 A03 A04 A07 A11 A12 A24 B03 B21 C01 D09 D21 F03 F17 G03 G09 G17 H01 H03 H05 H11 H22 J07 J11 J13 J15 J19 L07 L11 L17 M05 M09 M13 M17 N05 N13 N15 N19 P01 P07 P11 P17 Q01 Q13 Q17 Q18 R09 R13 R15</v>
      </c>
      <c r="P7" t="s">
        <v>117</v>
      </c>
      <c r="Q7" s="6">
        <v>17.498522721428348</v>
      </c>
      <c r="R7" s="6"/>
      <c r="S7">
        <f>T6</f>
        <v>15</v>
      </c>
      <c r="T7">
        <f>S7+2</f>
        <v>17</v>
      </c>
      <c r="U7" t="str" cm="1">
        <f t="array" ref="U7">_xlfn.TEXTJOIN(" ", TRUE, IF(($Q$6:$Q$205&gt;$S7)*($Q$6:$Q$205&lt;=$T7), $P$6:$P$205, ""))</f>
        <v>A03 C24 D15 E01 F01 F23 G01 H01 H11 L01 L03 L07 L09 L17 M07 M11 N03 N13 N15 N17 P09 P11 P13 P15 Q01 Q11 Q18 R09 R13 S11 S15</v>
      </c>
    </row>
    <row r="8" spans="1:21" x14ac:dyDescent="0.2">
      <c r="B8" t="s">
        <v>139</v>
      </c>
      <c r="C8" s="6">
        <v>11.601164992508302</v>
      </c>
      <c r="D8">
        <f t="shared" si="0"/>
        <v>15.69990193915886</v>
      </c>
      <c r="E8">
        <f t="shared" ref="E8:E11" si="1">F7</f>
        <v>17</v>
      </c>
      <c r="F8">
        <f t="shared" ref="F8:F11" si="2">E8+2</f>
        <v>19</v>
      </c>
      <c r="G8" t="str" cm="1">
        <f t="array" ref="G8">_xlfn.TEXTJOIN(" ", TRUE, IF(($C$6:$C$205&gt;$E8)*($C$6:$C$205&lt;=$F8), $B$6:$B$205, ""))</f>
        <v>A17 C03 D05 G19 G22 J05 K09 L13 M01 M03 P05 P20 Q07 Q08 T15</v>
      </c>
      <c r="I8" t="s">
        <v>139</v>
      </c>
      <c r="J8" s="6">
        <v>15.69990193915886</v>
      </c>
      <c r="L8">
        <f t="shared" ref="L8:L11" si="3">M7</f>
        <v>17</v>
      </c>
      <c r="M8">
        <f t="shared" ref="M8:M11" si="4">L8+2</f>
        <v>19</v>
      </c>
      <c r="N8" t="str" cm="1">
        <f t="array" ref="N8">_xlfn.TEXTJOIN(" ", TRUE, IF(($J$6:$J$205&gt;$L8)*($J$6:$J$205&lt;=$M8), $I$6:$I$205, ""))</f>
        <v>A06 A08 A10 A13 A14 A15 A21 A22 B05 B07 B23 B24 C07 C09 C11 C13 C15 C19 C21 C22 C23 D01 D11 D13 D17 D19 D22 D23 E03 E07 E09 E11 E15 E17 E19 E21 E22 E23 F05 F09 F11 F15 F19 F21 G11 G13 G15 G21 H07 H09 H13 H15 H17 H19 H21 J17 J22 K03 K05 K07 K13 K15 K17 K19 K21 L15 L21 M19 Q09 R01 R02 R11 S13 T11 T12 T16</v>
      </c>
      <c r="P8" t="s">
        <v>139</v>
      </c>
      <c r="Q8" s="6">
        <v>16.898522721428339</v>
      </c>
      <c r="R8" s="6"/>
      <c r="S8">
        <f t="shared" ref="S8:S12" si="5">T7</f>
        <v>17</v>
      </c>
      <c r="T8">
        <f t="shared" ref="T8:T12" si="6">S8+2</f>
        <v>19</v>
      </c>
      <c r="U8" t="str" cm="1">
        <f t="array" ref="U8">_xlfn.TEXTJOIN(" ", TRUE, IF(($Q$6:$Q$205&gt;$S8)*($Q$6:$Q$205&lt;=$T8), $P$6:$P$205, ""))</f>
        <v>A01 A02 A04 A07 A08 A11 A12 A13 A14 A21 A24 B03 B07 B21 B23 B24 C01 C09 C13 C15 C22 D09 D13 D21 D22 D23 E03 E09 E11 E15 E19 F03 F09 F11 F17 F19 G03 G09 G11 G17 H03 H05 H07 H09 H13 H15 H22 J07 J11 J13 J15 J17 J19 J22 K15 L11 L21 M05 M09 M13 M17 N05 N19 P01 P07 P17 Q13 Q17 R01 R11 R15 T12</v>
      </c>
    </row>
    <row r="9" spans="1:21" x14ac:dyDescent="0.2">
      <c r="B9" t="s">
        <v>154</v>
      </c>
      <c r="C9" s="6">
        <v>11.801164992508298</v>
      </c>
      <c r="D9">
        <f t="shared" si="0"/>
        <v>15.899901939158838</v>
      </c>
      <c r="E9">
        <f t="shared" si="1"/>
        <v>19</v>
      </c>
      <c r="F9">
        <f t="shared" si="2"/>
        <v>21</v>
      </c>
      <c r="G9" t="str" cm="1">
        <f t="array" ref="G9">_xlfn.TEXTJOIN(" ", TRUE, IF(($C$6:$C$205&gt;$E9)*($C$6:$C$205&lt;=$F9), $B$6:$B$205, ""))</f>
        <v>T14</v>
      </c>
      <c r="I9" t="s">
        <v>154</v>
      </c>
      <c r="J9" s="6">
        <v>15.899901939158838</v>
      </c>
      <c r="L9">
        <f t="shared" si="3"/>
        <v>19</v>
      </c>
      <c r="M9">
        <f t="shared" si="4"/>
        <v>21</v>
      </c>
      <c r="N9" t="str" cm="1">
        <f t="array" ref="N9">_xlfn.TEXTJOIN(" ", TRUE, IF(($J$6:$J$205&gt;$L9)*($J$6:$J$205&lt;=$M9), $I$6:$I$205, ""))</f>
        <v>A09 A16 A19 A23 B01 B17 B19 B22 C05 C17 D07 E05 E13 F07 F13 F22 G07 J09 J21 K11 L19 M15 N01 N09 P03 P04 Q05 Q06 T10 T13</v>
      </c>
      <c r="P9" t="s">
        <v>154</v>
      </c>
      <c r="Q9" s="6">
        <v>17.098522721428392</v>
      </c>
      <c r="R9" s="6"/>
      <c r="S9">
        <f t="shared" si="5"/>
        <v>19</v>
      </c>
      <c r="T9">
        <f t="shared" si="6"/>
        <v>21</v>
      </c>
      <c r="U9" t="str" cm="1">
        <f t="array" ref="U9">_xlfn.TEXTJOIN(" ", TRUE, IF(($Q$6:$Q$205&gt;$S9)*($Q$6:$Q$205&lt;=$T9), $P$6:$P$205, ""))</f>
        <v>A06 A09 A10 A15 A22 B01 B05 B17 B19 C05 C07 C11 C17 C19 C21 C23 D01 D07 D11 D17 D19 E07 E13 E17 E21 E22 E23 F05 F07 F15 F21 G13 G15 G21 H17 H19 H21 J09 K03 K05 K07 K11 K13 K17 K19 K21 L15 L19 M19 N01 N09 P03 P04 Q09 R02 S13 T11 T16</v>
      </c>
    </row>
    <row r="10" spans="1:21" x14ac:dyDescent="0.2">
      <c r="B10" t="s">
        <v>156</v>
      </c>
      <c r="C10" s="6">
        <v>14.001164992508276</v>
      </c>
      <c r="D10">
        <f t="shared" si="0"/>
        <v>18.099901939158851</v>
      </c>
      <c r="E10">
        <f t="shared" si="1"/>
        <v>21</v>
      </c>
      <c r="F10">
        <f t="shared" si="2"/>
        <v>23</v>
      </c>
      <c r="G10" t="str" cm="1">
        <f t="array" ref="G10">_xlfn.TEXTJOIN(" ", TRUE, IF(($C$6:$C$205&gt;$E10)*($C$6:$C$205&lt;=$F10), $B$6:$B$205, ""))</f>
        <v/>
      </c>
      <c r="I10" t="s">
        <v>156</v>
      </c>
      <c r="J10" s="6">
        <v>18.099901939158851</v>
      </c>
      <c r="L10">
        <f t="shared" si="3"/>
        <v>21</v>
      </c>
      <c r="M10">
        <f t="shared" si="4"/>
        <v>23</v>
      </c>
      <c r="N10" t="str" cm="1">
        <f t="array" ref="N10">_xlfn.TEXTJOIN(" ", TRUE, IF(($J$6:$J$205&gt;$L10)*($J$6:$J$205&lt;=$M10), $I$6:$I$205, ""))</f>
        <v>A17 C03 D05 G19 G22 J05 K09 L13 M01 M03 P05 P20 Q07 Q08 T15</v>
      </c>
      <c r="P10" t="s">
        <v>156</v>
      </c>
      <c r="Q10" s="6">
        <v>19.298522721428387</v>
      </c>
      <c r="R10" s="6"/>
      <c r="S10">
        <f t="shared" si="5"/>
        <v>21</v>
      </c>
      <c r="T10">
        <f t="shared" si="6"/>
        <v>23</v>
      </c>
      <c r="U10" t="str" cm="1">
        <f t="array" ref="U10">_xlfn.TEXTJOIN(" ", TRUE, IF(($Q$6:$Q$205&gt;$S10)*($Q$6:$Q$205&lt;=$T10), $P$6:$P$205, ""))</f>
        <v>A16 A19 A23 B22 C03 E05 F13 F22 G07 G22 J05 J21 K09 M03 M15 P05 Q05 Q06 T10 T13 T15</v>
      </c>
    </row>
    <row r="11" spans="1:21" x14ac:dyDescent="0.2">
      <c r="B11" t="s">
        <v>160</v>
      </c>
      <c r="C11" s="6">
        <v>12.801164992508301</v>
      </c>
      <c r="D11">
        <f t="shared" si="0"/>
        <v>16.899901939158848</v>
      </c>
      <c r="E11">
        <f t="shared" si="1"/>
        <v>23</v>
      </c>
      <c r="F11">
        <f t="shared" si="2"/>
        <v>25</v>
      </c>
      <c r="G11" t="str" cm="1">
        <f t="array" ref="G11">_xlfn.TEXTJOIN(" ", TRUE, IF(($C$6:$C$205&gt;$E11)*($C$6:$C$205&lt;=$F11), $B$6:$B$205, ""))</f>
        <v/>
      </c>
      <c r="I11" t="s">
        <v>160</v>
      </c>
      <c r="J11" s="6">
        <v>16.899901939158848</v>
      </c>
      <c r="L11">
        <f t="shared" si="3"/>
        <v>23</v>
      </c>
      <c r="M11">
        <f t="shared" si="4"/>
        <v>25</v>
      </c>
      <c r="N11" t="str" cm="1">
        <f t="array" ref="N11">_xlfn.TEXTJOIN(" ", TRUE, IF(($J$6:$J$205&gt;$L11)*($J$6:$J$205&lt;=$M11), $I$6:$I$205, ""))</f>
        <v>T14</v>
      </c>
      <c r="P11" t="s">
        <v>160</v>
      </c>
      <c r="Q11" s="6">
        <v>18.098522721428363</v>
      </c>
      <c r="R11" s="6"/>
      <c r="S11">
        <f t="shared" si="5"/>
        <v>23</v>
      </c>
      <c r="T11">
        <f t="shared" si="6"/>
        <v>25</v>
      </c>
      <c r="U11" t="str" cm="1">
        <f t="array" ref="U11">_xlfn.TEXTJOIN(" ", TRUE, IF(($Q$6:$Q$205&gt;$S11)*($Q$6:$Q$205&lt;=$T11), $P$6:$P$205, ""))</f>
        <v>A17 D05 G19 L13 M01 P20 Q07 Q08 T14</v>
      </c>
    </row>
    <row r="12" spans="1:21" x14ac:dyDescent="0.2">
      <c r="B12" t="s">
        <v>157</v>
      </c>
      <c r="C12" s="6">
        <v>13.301164992508275</v>
      </c>
      <c r="D12">
        <f t="shared" si="0"/>
        <v>17.399901939158841</v>
      </c>
      <c r="I12" t="s">
        <v>157</v>
      </c>
      <c r="J12" s="6">
        <v>17.399901939158841</v>
      </c>
      <c r="P12" t="s">
        <v>157</v>
      </c>
      <c r="Q12" s="6">
        <v>18.59852272142837</v>
      </c>
      <c r="R12" s="6"/>
      <c r="S12">
        <f t="shared" si="5"/>
        <v>25</v>
      </c>
      <c r="T12">
        <f t="shared" si="6"/>
        <v>27</v>
      </c>
      <c r="U12" t="str" cm="1">
        <f t="array" ref="U12">_xlfn.TEXTJOIN(" ", TRUE, IF(($Q$6:$Q$205&gt;$S12)*($Q$6:$Q$205&lt;=$T12), $P$6:$P$205, ""))</f>
        <v/>
      </c>
    </row>
    <row r="13" spans="1:21" x14ac:dyDescent="0.2">
      <c r="B13" t="s">
        <v>13</v>
      </c>
      <c r="C13" s="6">
        <v>15.101164992508275</v>
      </c>
      <c r="D13">
        <f t="shared" si="0"/>
        <v>19.199901939158849</v>
      </c>
      <c r="I13" t="s">
        <v>13</v>
      </c>
      <c r="J13" s="6">
        <v>19.199901939158849</v>
      </c>
      <c r="P13" t="s">
        <v>13</v>
      </c>
      <c r="Q13" s="6">
        <v>20.39852272142835</v>
      </c>
      <c r="R13" s="6"/>
    </row>
    <row r="14" spans="1:21" x14ac:dyDescent="0.2">
      <c r="B14" t="s">
        <v>140</v>
      </c>
      <c r="C14" s="6">
        <v>14.60116499250829</v>
      </c>
      <c r="D14">
        <f t="shared" si="0"/>
        <v>18.699901939158838</v>
      </c>
      <c r="I14" t="s">
        <v>140</v>
      </c>
      <c r="J14" s="6">
        <v>18.699901939158838</v>
      </c>
      <c r="P14" t="s">
        <v>140</v>
      </c>
      <c r="Q14" s="6">
        <v>19.8985227214284</v>
      </c>
      <c r="R14" s="6"/>
    </row>
    <row r="15" spans="1:21" x14ac:dyDescent="0.2">
      <c r="B15" t="s">
        <v>150</v>
      </c>
      <c r="C15" s="6">
        <v>12.601164992508266</v>
      </c>
      <c r="D15">
        <f t="shared" si="0"/>
        <v>16.699901939158853</v>
      </c>
      <c r="I15" t="s">
        <v>150</v>
      </c>
      <c r="J15" s="6">
        <v>16.699901939158853</v>
      </c>
      <c r="P15" t="s">
        <v>150</v>
      </c>
      <c r="Q15" s="6">
        <v>17.898522721428296</v>
      </c>
      <c r="R15" s="6"/>
    </row>
    <row r="16" spans="1:21" x14ac:dyDescent="0.2">
      <c r="B16" t="s">
        <v>119</v>
      </c>
      <c r="C16" s="6">
        <v>12.101164992508288</v>
      </c>
      <c r="D16">
        <f t="shared" si="0"/>
        <v>16.199901939158863</v>
      </c>
      <c r="I16" t="s">
        <v>119</v>
      </c>
      <c r="J16" s="6">
        <v>16.199901939158863</v>
      </c>
      <c r="P16" t="s">
        <v>119</v>
      </c>
      <c r="Q16" s="6">
        <v>17.3985227214283</v>
      </c>
      <c r="R16" s="6"/>
    </row>
    <row r="17" spans="2:18" x14ac:dyDescent="0.2">
      <c r="B17" t="s">
        <v>53</v>
      </c>
      <c r="C17" s="6">
        <v>13.001164992508288</v>
      </c>
      <c r="D17">
        <f t="shared" si="0"/>
        <v>17.099901939158855</v>
      </c>
      <c r="I17" t="s">
        <v>53</v>
      </c>
      <c r="J17" s="6">
        <v>17.099901939158855</v>
      </c>
      <c r="P17" t="s">
        <v>53</v>
      </c>
      <c r="Q17" s="6">
        <v>18.298522721428295</v>
      </c>
      <c r="R17" s="6"/>
    </row>
    <row r="18" spans="2:18" x14ac:dyDescent="0.2">
      <c r="B18" t="s">
        <v>40</v>
      </c>
      <c r="C18" s="6">
        <v>13.601164992508284</v>
      </c>
      <c r="D18">
        <f t="shared" si="0"/>
        <v>17.699901939158849</v>
      </c>
      <c r="I18" t="s">
        <v>40</v>
      </c>
      <c r="J18" s="6">
        <v>17.699901939158849</v>
      </c>
      <c r="P18" t="s">
        <v>40</v>
      </c>
      <c r="Q18" s="6">
        <v>18.898522721428378</v>
      </c>
      <c r="R18" s="6"/>
    </row>
    <row r="19" spans="2:18" x14ac:dyDescent="0.2">
      <c r="B19" t="s">
        <v>183</v>
      </c>
      <c r="C19" s="6">
        <v>14.901288799999996</v>
      </c>
      <c r="D19">
        <f t="shared" si="0"/>
        <v>18.999947999999993</v>
      </c>
      <c r="I19" t="s">
        <v>183</v>
      </c>
      <c r="J19" s="6">
        <v>18.999947999999993</v>
      </c>
      <c r="P19" t="s">
        <v>183</v>
      </c>
      <c r="Q19" s="6">
        <v>20.198545599999967</v>
      </c>
      <c r="R19" s="6"/>
    </row>
    <row r="20" spans="2:18" x14ac:dyDescent="0.2">
      <c r="B20" t="s">
        <v>176</v>
      </c>
      <c r="C20" s="6">
        <v>16.201288800000018</v>
      </c>
      <c r="D20">
        <f t="shared" si="0"/>
        <v>20.299948000000011</v>
      </c>
      <c r="I20" t="s">
        <v>176</v>
      </c>
      <c r="J20" s="6">
        <v>20.299948000000011</v>
      </c>
      <c r="P20" t="s">
        <v>176</v>
      </c>
      <c r="Q20" s="6">
        <v>21.498545600000021</v>
      </c>
      <c r="R20" s="6"/>
    </row>
    <row r="21" spans="2:18" x14ac:dyDescent="0.2">
      <c r="B21" t="s">
        <v>211</v>
      </c>
      <c r="C21" s="6">
        <v>17.901370333333311</v>
      </c>
      <c r="D21">
        <f t="shared" si="0"/>
        <v>21.999978333333338</v>
      </c>
      <c r="I21" t="s">
        <v>211</v>
      </c>
      <c r="J21" s="6">
        <v>21.999978333333338</v>
      </c>
      <c r="P21" t="s">
        <v>211</v>
      </c>
      <c r="Q21" s="6">
        <v>23.198560666666687</v>
      </c>
      <c r="R21" s="6"/>
    </row>
    <row r="22" spans="2:18" x14ac:dyDescent="0.2">
      <c r="B22" t="s">
        <v>174</v>
      </c>
      <c r="C22" s="6">
        <v>16.201288800000007</v>
      </c>
      <c r="D22">
        <f t="shared" si="0"/>
        <v>20.299948000000015</v>
      </c>
      <c r="I22" t="s">
        <v>174</v>
      </c>
      <c r="J22" s="6">
        <v>20.299948000000015</v>
      </c>
      <c r="P22" t="s">
        <v>174</v>
      </c>
      <c r="Q22" s="6">
        <v>21.498545599999954</v>
      </c>
      <c r="R22" s="6"/>
    </row>
    <row r="23" spans="2:18" x14ac:dyDescent="0.2">
      <c r="B23" t="s">
        <v>90</v>
      </c>
      <c r="C23" s="6">
        <v>13.501164992508293</v>
      </c>
      <c r="D23">
        <f t="shared" si="0"/>
        <v>17.599901939158837</v>
      </c>
      <c r="I23" t="s">
        <v>90</v>
      </c>
      <c r="J23" s="6">
        <v>17.599901939158837</v>
      </c>
      <c r="P23" t="s">
        <v>90</v>
      </c>
      <c r="Q23" s="6">
        <v>18.79852272142832</v>
      </c>
      <c r="R23" s="6"/>
    </row>
    <row r="24" spans="2:18" x14ac:dyDescent="0.2">
      <c r="B24" t="s">
        <v>25</v>
      </c>
      <c r="C24" s="6">
        <v>14.201164992508296</v>
      </c>
      <c r="D24">
        <f t="shared" si="0"/>
        <v>18.29990193915885</v>
      </c>
      <c r="I24" t="s">
        <v>25</v>
      </c>
      <c r="J24" s="6">
        <v>18.29990193915885</v>
      </c>
      <c r="P24" t="s">
        <v>25</v>
      </c>
      <c r="Q24" s="6">
        <v>19.498522721428326</v>
      </c>
      <c r="R24" s="6"/>
    </row>
    <row r="25" spans="2:18" x14ac:dyDescent="0.2">
      <c r="B25" t="s">
        <v>29</v>
      </c>
      <c r="C25" s="6">
        <v>16.601164992508295</v>
      </c>
      <c r="D25">
        <f t="shared" si="0"/>
        <v>20.699901939158856</v>
      </c>
      <c r="I25" t="s">
        <v>29</v>
      </c>
      <c r="J25" s="6">
        <v>20.699901939158856</v>
      </c>
      <c r="P25" t="s">
        <v>29</v>
      </c>
      <c r="Q25" s="6">
        <v>21.898522721428336</v>
      </c>
      <c r="R25" s="6"/>
    </row>
    <row r="26" spans="2:18" x14ac:dyDescent="0.2">
      <c r="B26" t="s">
        <v>11</v>
      </c>
      <c r="C26" s="6">
        <v>12.801164992508308</v>
      </c>
      <c r="D26">
        <f t="shared" si="0"/>
        <v>16.899901939158848</v>
      </c>
      <c r="I26" t="s">
        <v>11</v>
      </c>
      <c r="J26" s="6">
        <v>16.899901939158848</v>
      </c>
      <c r="P26" t="s">
        <v>11</v>
      </c>
      <c r="Q26" s="6">
        <v>18.098522721428363</v>
      </c>
      <c r="R26" s="6"/>
    </row>
    <row r="27" spans="2:18" x14ac:dyDescent="0.2">
      <c r="B27" t="s">
        <v>79</v>
      </c>
      <c r="C27" s="6">
        <v>15.1011649925083</v>
      </c>
      <c r="D27">
        <f t="shared" si="0"/>
        <v>19.199901939158845</v>
      </c>
      <c r="I27" t="s">
        <v>79</v>
      </c>
      <c r="J27" s="6">
        <v>19.199901939158845</v>
      </c>
      <c r="P27" t="s">
        <v>79</v>
      </c>
      <c r="Q27" s="6">
        <v>20.398522721428357</v>
      </c>
      <c r="R27" s="6"/>
    </row>
    <row r="28" spans="2:18" x14ac:dyDescent="0.2">
      <c r="B28" t="s">
        <v>110</v>
      </c>
      <c r="C28" s="6">
        <v>12.001164992508276</v>
      </c>
      <c r="D28">
        <f t="shared" si="0"/>
        <v>16.099901939158855</v>
      </c>
      <c r="I28" t="s">
        <v>110</v>
      </c>
      <c r="J28" s="6">
        <v>16.099901939158855</v>
      </c>
      <c r="P28" t="s">
        <v>110</v>
      </c>
      <c r="Q28" s="6">
        <v>17.298522721428355</v>
      </c>
      <c r="R28" s="6"/>
    </row>
    <row r="29" spans="2:18" x14ac:dyDescent="0.2">
      <c r="B29" t="s">
        <v>112</v>
      </c>
      <c r="C29" s="6">
        <v>13.801164992508287</v>
      </c>
      <c r="D29">
        <f t="shared" si="0"/>
        <v>17.899901939158852</v>
      </c>
      <c r="I29" t="s">
        <v>112</v>
      </c>
      <c r="J29" s="6">
        <v>17.899901939158852</v>
      </c>
      <c r="P29" t="s">
        <v>112</v>
      </c>
      <c r="Q29" s="6">
        <v>19.098522721428335</v>
      </c>
      <c r="R29" s="6"/>
    </row>
    <row r="30" spans="2:18" x14ac:dyDescent="0.2">
      <c r="B30" t="s">
        <v>155</v>
      </c>
      <c r="C30" s="6">
        <v>13.60116499250827</v>
      </c>
      <c r="D30">
        <f t="shared" si="0"/>
        <v>17.69990193915887</v>
      </c>
      <c r="I30" t="s">
        <v>155</v>
      </c>
      <c r="J30" s="6">
        <v>17.69990193915887</v>
      </c>
      <c r="P30" t="s">
        <v>155</v>
      </c>
      <c r="Q30" s="6">
        <v>18.898522721428378</v>
      </c>
      <c r="R30" s="6"/>
    </row>
    <row r="31" spans="2:18" x14ac:dyDescent="0.2">
      <c r="B31" t="s">
        <v>22</v>
      </c>
      <c r="C31" s="6">
        <v>15.201164992508277</v>
      </c>
      <c r="D31">
        <f t="shared" si="0"/>
        <v>19.299901939158858</v>
      </c>
      <c r="I31" t="s">
        <v>22</v>
      </c>
      <c r="J31" s="6">
        <v>19.299901939158858</v>
      </c>
      <c r="P31" t="s">
        <v>22</v>
      </c>
      <c r="Q31" s="6">
        <v>20.498522721428294</v>
      </c>
      <c r="R31" s="6"/>
    </row>
    <row r="32" spans="2:18" x14ac:dyDescent="0.2">
      <c r="B32" t="s">
        <v>32</v>
      </c>
      <c r="C32" s="6">
        <v>15.601164992508293</v>
      </c>
      <c r="D32">
        <f t="shared" si="0"/>
        <v>19.699901939158828</v>
      </c>
      <c r="I32" t="s">
        <v>32</v>
      </c>
      <c r="J32" s="6">
        <v>19.699901939158828</v>
      </c>
      <c r="P32" t="s">
        <v>32</v>
      </c>
      <c r="Q32" s="6">
        <v>20.898522721428293</v>
      </c>
      <c r="R32" s="6"/>
    </row>
    <row r="33" spans="2:18" x14ac:dyDescent="0.2">
      <c r="B33" t="s">
        <v>101</v>
      </c>
      <c r="C33" s="6">
        <v>12.701164992508279</v>
      </c>
      <c r="D33">
        <f t="shared" si="0"/>
        <v>16.799901939158858</v>
      </c>
      <c r="I33" t="s">
        <v>101</v>
      </c>
      <c r="J33" s="6">
        <v>16.799901939158858</v>
      </c>
      <c r="P33" t="s">
        <v>101</v>
      </c>
      <c r="Q33" s="6">
        <v>17.998522721428362</v>
      </c>
      <c r="R33" s="6"/>
    </row>
    <row r="34" spans="2:18" x14ac:dyDescent="0.2">
      <c r="B34" t="s">
        <v>192</v>
      </c>
      <c r="C34" s="6">
        <v>16.201370333333308</v>
      </c>
      <c r="D34">
        <f t="shared" si="0"/>
        <v>20.299978333333321</v>
      </c>
      <c r="I34" t="s">
        <v>192</v>
      </c>
      <c r="J34" s="6">
        <v>20.299978333333321</v>
      </c>
      <c r="P34" t="s">
        <v>192</v>
      </c>
      <c r="Q34" s="6">
        <v>21.498560666666748</v>
      </c>
      <c r="R34" s="6"/>
    </row>
    <row r="35" spans="2:18" x14ac:dyDescent="0.2">
      <c r="B35" t="s">
        <v>130</v>
      </c>
      <c r="C35" s="6">
        <v>13.201164992508295</v>
      </c>
      <c r="D35">
        <f t="shared" si="0"/>
        <v>17.299901939158847</v>
      </c>
      <c r="I35" t="s">
        <v>130</v>
      </c>
      <c r="J35" s="6">
        <v>17.299901939158847</v>
      </c>
      <c r="P35" t="s">
        <v>130</v>
      </c>
      <c r="Q35" s="6">
        <v>18.498522721428312</v>
      </c>
      <c r="R35" s="6"/>
    </row>
    <row r="36" spans="2:18" x14ac:dyDescent="0.2">
      <c r="B36" t="s">
        <v>92</v>
      </c>
      <c r="C36" s="6">
        <v>13.301164992508275</v>
      </c>
      <c r="D36">
        <f t="shared" si="0"/>
        <v>17.399901939158841</v>
      </c>
      <c r="I36" t="s">
        <v>92</v>
      </c>
      <c r="J36" s="6">
        <v>17.399901939158841</v>
      </c>
      <c r="P36" t="s">
        <v>92</v>
      </c>
      <c r="Q36" s="6">
        <v>18.59852272142837</v>
      </c>
      <c r="R36" s="6"/>
    </row>
    <row r="37" spans="2:18" x14ac:dyDescent="0.2">
      <c r="B37" t="s">
        <v>83</v>
      </c>
      <c r="C37" s="6">
        <v>11.901164992508283</v>
      </c>
      <c r="D37">
        <f t="shared" si="0"/>
        <v>15.999901939158841</v>
      </c>
      <c r="I37" t="s">
        <v>83</v>
      </c>
      <c r="J37" s="6">
        <v>15.999901939158841</v>
      </c>
      <c r="P37" t="s">
        <v>83</v>
      </c>
      <c r="Q37" s="6">
        <v>17.198522721428343</v>
      </c>
      <c r="R37" s="6"/>
    </row>
    <row r="38" spans="2:18" x14ac:dyDescent="0.2">
      <c r="B38" t="s">
        <v>178</v>
      </c>
      <c r="C38" s="6">
        <v>17.101288800000006</v>
      </c>
      <c r="D38">
        <f t="shared" si="0"/>
        <v>21.199947999999996</v>
      </c>
      <c r="I38" t="s">
        <v>178</v>
      </c>
      <c r="J38" s="6">
        <v>21.199947999999996</v>
      </c>
      <c r="P38" t="s">
        <v>178</v>
      </c>
      <c r="Q38" s="6">
        <v>22.398545599999999</v>
      </c>
      <c r="R38" s="6"/>
    </row>
    <row r="39" spans="2:18" x14ac:dyDescent="0.2">
      <c r="B39" t="s">
        <v>47</v>
      </c>
      <c r="C39" s="6">
        <v>15.501164992508281</v>
      </c>
      <c r="D39">
        <f t="shared" si="0"/>
        <v>19.599901939158844</v>
      </c>
      <c r="I39" t="s">
        <v>47</v>
      </c>
      <c r="J39" s="6">
        <v>19.599901939158844</v>
      </c>
      <c r="P39" t="s">
        <v>47</v>
      </c>
      <c r="Q39" s="6">
        <v>20.798522721428363</v>
      </c>
      <c r="R39" s="6"/>
    </row>
    <row r="40" spans="2:18" x14ac:dyDescent="0.2">
      <c r="B40" t="s">
        <v>138</v>
      </c>
      <c r="C40" s="6">
        <v>14.001164992508278</v>
      </c>
      <c r="D40">
        <f t="shared" si="0"/>
        <v>18.099901939158844</v>
      </c>
      <c r="I40" t="s">
        <v>138</v>
      </c>
      <c r="J40" s="6">
        <v>18.099901939158844</v>
      </c>
      <c r="P40" t="s">
        <v>138</v>
      </c>
      <c r="Q40" s="6">
        <v>19.298522721428323</v>
      </c>
      <c r="R40" s="6"/>
    </row>
    <row r="41" spans="2:18" x14ac:dyDescent="0.2">
      <c r="B41" t="s">
        <v>161</v>
      </c>
      <c r="C41" s="6">
        <v>13.301164992508275</v>
      </c>
      <c r="D41">
        <f t="shared" si="0"/>
        <v>17.399901939158841</v>
      </c>
      <c r="I41" t="s">
        <v>161</v>
      </c>
      <c r="J41" s="6">
        <v>17.399901939158841</v>
      </c>
      <c r="P41" t="s">
        <v>161</v>
      </c>
      <c r="Q41" s="6">
        <v>18.59852272142837</v>
      </c>
      <c r="R41" s="6"/>
    </row>
    <row r="42" spans="2:18" x14ac:dyDescent="0.2">
      <c r="B42" t="s">
        <v>124</v>
      </c>
      <c r="C42" s="6">
        <v>14.801164992508294</v>
      </c>
      <c r="D42">
        <f t="shared" si="0"/>
        <v>18.899901939158852</v>
      </c>
      <c r="I42" t="s">
        <v>124</v>
      </c>
      <c r="J42" s="6">
        <v>18.899901939158852</v>
      </c>
      <c r="P42" t="s">
        <v>124</v>
      </c>
      <c r="Q42" s="6">
        <v>20.098522721428346</v>
      </c>
      <c r="R42" s="6"/>
    </row>
    <row r="43" spans="2:18" x14ac:dyDescent="0.2">
      <c r="B43" t="s">
        <v>30</v>
      </c>
      <c r="C43" s="6">
        <v>13.401164992508278</v>
      </c>
      <c r="D43">
        <f t="shared" si="0"/>
        <v>17.499901939158846</v>
      </c>
      <c r="I43" t="s">
        <v>30</v>
      </c>
      <c r="J43" s="6">
        <v>17.499901939158846</v>
      </c>
      <c r="P43" t="s">
        <v>30</v>
      </c>
      <c r="Q43" s="6">
        <v>18.698522721428379</v>
      </c>
      <c r="R43" s="6"/>
    </row>
    <row r="44" spans="2:18" x14ac:dyDescent="0.2">
      <c r="B44" t="s">
        <v>58</v>
      </c>
      <c r="C44" s="6">
        <v>13.701164992508264</v>
      </c>
      <c r="D44">
        <f t="shared" si="0"/>
        <v>17.799901939158854</v>
      </c>
      <c r="I44" t="s">
        <v>58</v>
      </c>
      <c r="J44" s="6">
        <v>17.799901939158854</v>
      </c>
      <c r="P44" t="s">
        <v>58</v>
      </c>
      <c r="Q44" s="6">
        <v>18.998522721428326</v>
      </c>
      <c r="R44" s="6"/>
    </row>
    <row r="45" spans="2:18" x14ac:dyDescent="0.2">
      <c r="B45" t="s">
        <v>38</v>
      </c>
      <c r="C45" s="6">
        <v>15.101164992508293</v>
      </c>
      <c r="D45">
        <f t="shared" si="0"/>
        <v>19.199901939158845</v>
      </c>
      <c r="I45" t="s">
        <v>38</v>
      </c>
      <c r="J45" s="6">
        <v>19.199901939158845</v>
      </c>
      <c r="P45" t="s">
        <v>38</v>
      </c>
      <c r="Q45" s="6">
        <v>20.398522721428346</v>
      </c>
      <c r="R45" s="6"/>
    </row>
    <row r="46" spans="2:18" x14ac:dyDescent="0.2">
      <c r="B46" t="s">
        <v>82</v>
      </c>
      <c r="C46" s="6">
        <v>14.601164992508282</v>
      </c>
      <c r="D46">
        <f t="shared" si="0"/>
        <v>18.699901939158842</v>
      </c>
      <c r="I46" t="s">
        <v>82</v>
      </c>
      <c r="J46" s="6">
        <v>18.699901939158842</v>
      </c>
      <c r="P46" t="s">
        <v>82</v>
      </c>
      <c r="Q46" s="6">
        <v>19.898522721428293</v>
      </c>
      <c r="R46" s="6"/>
    </row>
    <row r="47" spans="2:18" x14ac:dyDescent="0.2">
      <c r="B47" t="s">
        <v>118</v>
      </c>
      <c r="C47" s="6">
        <v>14.301164992508294</v>
      </c>
      <c r="D47">
        <f t="shared" si="0"/>
        <v>18.399901939158841</v>
      </c>
      <c r="I47" t="s">
        <v>118</v>
      </c>
      <c r="J47" s="6">
        <v>18.399901939158841</v>
      </c>
      <c r="P47" t="s">
        <v>118</v>
      </c>
      <c r="Q47" s="6">
        <v>19.598522721428463</v>
      </c>
      <c r="R47" s="6"/>
    </row>
    <row r="48" spans="2:18" x14ac:dyDescent="0.2">
      <c r="B48" t="s">
        <v>74</v>
      </c>
      <c r="C48" s="6">
        <v>13.001164992508295</v>
      </c>
      <c r="D48">
        <f t="shared" si="0"/>
        <v>17.099901939158855</v>
      </c>
      <c r="I48" t="s">
        <v>74</v>
      </c>
      <c r="J48" s="6">
        <v>17.099901939158855</v>
      </c>
      <c r="P48" t="s">
        <v>74</v>
      </c>
      <c r="Q48" s="6">
        <v>18.298522721428366</v>
      </c>
      <c r="R48" s="6"/>
    </row>
    <row r="49" spans="2:18" x14ac:dyDescent="0.2">
      <c r="B49" t="s">
        <v>141</v>
      </c>
      <c r="C49" s="6">
        <v>14.30116499250828</v>
      </c>
      <c r="D49">
        <f t="shared" si="0"/>
        <v>18.399901939158863</v>
      </c>
      <c r="I49" t="s">
        <v>141</v>
      </c>
      <c r="J49" s="6">
        <v>18.399901939158863</v>
      </c>
      <c r="P49" t="s">
        <v>141</v>
      </c>
      <c r="Q49" s="6">
        <v>19.598522721428342</v>
      </c>
      <c r="R49" s="6"/>
    </row>
    <row r="50" spans="2:18" x14ac:dyDescent="0.2">
      <c r="B50" t="s">
        <v>87</v>
      </c>
      <c r="C50" s="6">
        <v>9.9011649925083027</v>
      </c>
      <c r="D50">
        <f t="shared" si="0"/>
        <v>15</v>
      </c>
      <c r="I50" t="s">
        <v>87</v>
      </c>
      <c r="J50" s="6">
        <v>13.999901939158859</v>
      </c>
      <c r="P50" t="s">
        <v>87</v>
      </c>
      <c r="Q50" s="6">
        <v>15.198522721428285</v>
      </c>
      <c r="R50" s="6"/>
    </row>
    <row r="51" spans="2:18" x14ac:dyDescent="0.2">
      <c r="B51" t="s">
        <v>186</v>
      </c>
      <c r="C51" s="6">
        <v>14.901288800000014</v>
      </c>
      <c r="D51">
        <f t="shared" si="0"/>
        <v>18.999948000000021</v>
      </c>
      <c r="I51" t="s">
        <v>186</v>
      </c>
      <c r="J51" s="6">
        <v>18.999948000000021</v>
      </c>
      <c r="P51" t="s">
        <v>186</v>
      </c>
      <c r="Q51" s="6">
        <v>20.198545600000042</v>
      </c>
      <c r="R51" s="6"/>
    </row>
    <row r="52" spans="2:18" x14ac:dyDescent="0.2">
      <c r="B52" t="s">
        <v>17</v>
      </c>
      <c r="C52" s="6">
        <v>18.50116499250829</v>
      </c>
      <c r="D52">
        <f t="shared" si="0"/>
        <v>22.59990193915884</v>
      </c>
      <c r="I52" t="s">
        <v>17</v>
      </c>
      <c r="J52" s="6">
        <v>22.59990193915884</v>
      </c>
      <c r="P52" t="s">
        <v>17</v>
      </c>
      <c r="Q52" s="6">
        <v>23.798522721428348</v>
      </c>
      <c r="R52" s="6"/>
    </row>
    <row r="53" spans="2:18" x14ac:dyDescent="0.2">
      <c r="B53" t="s">
        <v>75</v>
      </c>
      <c r="C53" s="6">
        <v>15.401164992508276</v>
      </c>
      <c r="D53">
        <f t="shared" si="0"/>
        <v>19.499901939158839</v>
      </c>
      <c r="I53" t="s">
        <v>75</v>
      </c>
      <c r="J53" s="6">
        <v>19.499901939158839</v>
      </c>
      <c r="P53" t="s">
        <v>75</v>
      </c>
      <c r="Q53" s="6">
        <v>20.698522721428358</v>
      </c>
      <c r="R53" s="6"/>
    </row>
    <row r="54" spans="2:18" x14ac:dyDescent="0.2">
      <c r="B54" t="s">
        <v>162</v>
      </c>
      <c r="C54" s="6">
        <v>12.601164992508275</v>
      </c>
      <c r="D54">
        <f t="shared" si="0"/>
        <v>16.699901939158853</v>
      </c>
      <c r="I54" t="s">
        <v>162</v>
      </c>
      <c r="J54" s="6">
        <v>16.699901939158853</v>
      </c>
      <c r="P54" t="s">
        <v>162</v>
      </c>
      <c r="Q54" s="6">
        <v>17.89852272142836</v>
      </c>
      <c r="R54" s="6"/>
    </row>
    <row r="55" spans="2:18" x14ac:dyDescent="0.2">
      <c r="B55" t="s">
        <v>134</v>
      </c>
      <c r="C55" s="6">
        <v>14.301164992508271</v>
      </c>
      <c r="D55">
        <f t="shared" si="0"/>
        <v>18.399901939158852</v>
      </c>
      <c r="I55" t="s">
        <v>134</v>
      </c>
      <c r="J55" s="6">
        <v>18.399901939158852</v>
      </c>
      <c r="P55" t="s">
        <v>134</v>
      </c>
      <c r="Q55" s="6">
        <v>19.598522721428338</v>
      </c>
      <c r="R55" s="6"/>
    </row>
    <row r="56" spans="2:18" x14ac:dyDescent="0.2">
      <c r="B56" t="s">
        <v>109</v>
      </c>
      <c r="C56" s="6">
        <v>13.501164992508293</v>
      </c>
      <c r="D56">
        <f t="shared" si="0"/>
        <v>17.599901939158837</v>
      </c>
      <c r="I56" t="s">
        <v>109</v>
      </c>
      <c r="J56" s="6">
        <v>17.599901939158837</v>
      </c>
      <c r="P56" t="s">
        <v>109</v>
      </c>
      <c r="Q56" s="6">
        <v>18.79852272142832</v>
      </c>
      <c r="R56" s="6"/>
    </row>
    <row r="57" spans="2:18" x14ac:dyDescent="0.2">
      <c r="B57" t="s">
        <v>136</v>
      </c>
      <c r="C57" s="6">
        <v>10.70116499250828</v>
      </c>
      <c r="D57">
        <f t="shared" si="0"/>
        <v>15</v>
      </c>
      <c r="I57" t="s">
        <v>136</v>
      </c>
      <c r="J57" s="6">
        <v>14.799901939158852</v>
      </c>
      <c r="P57" t="s">
        <v>136</v>
      </c>
      <c r="Q57" s="6">
        <v>15.998522721428385</v>
      </c>
      <c r="R57" s="6"/>
    </row>
    <row r="58" spans="2:18" x14ac:dyDescent="0.2">
      <c r="B58" t="s">
        <v>48</v>
      </c>
      <c r="C58" s="6">
        <v>13.901164992508287</v>
      </c>
      <c r="D58">
        <f t="shared" si="0"/>
        <v>17.999901939158843</v>
      </c>
      <c r="I58" t="s">
        <v>48</v>
      </c>
      <c r="J58" s="6">
        <v>17.999901939158843</v>
      </c>
      <c r="P58" t="s">
        <v>48</v>
      </c>
      <c r="Q58" s="6">
        <v>19.198522721428379</v>
      </c>
      <c r="R58" s="6"/>
    </row>
    <row r="59" spans="2:18" x14ac:dyDescent="0.2">
      <c r="B59" t="s">
        <v>88</v>
      </c>
      <c r="C59" s="6">
        <v>14.001164992508276</v>
      </c>
      <c r="D59">
        <f t="shared" si="0"/>
        <v>18.099901939158851</v>
      </c>
      <c r="I59" t="s">
        <v>88</v>
      </c>
      <c r="J59" s="6">
        <v>18.099901939158851</v>
      </c>
      <c r="P59" t="s">
        <v>88</v>
      </c>
      <c r="Q59" s="6">
        <v>19.298522721428331</v>
      </c>
      <c r="R59" s="6"/>
    </row>
    <row r="60" spans="2:18" x14ac:dyDescent="0.2">
      <c r="B60" t="s">
        <v>61</v>
      </c>
      <c r="C60" s="6">
        <v>12.301164992508287</v>
      </c>
      <c r="D60">
        <f t="shared" si="0"/>
        <v>16.399901939158852</v>
      </c>
      <c r="I60" t="s">
        <v>61</v>
      </c>
      <c r="J60" s="6">
        <v>16.399901939158852</v>
      </c>
      <c r="P60" t="s">
        <v>61</v>
      </c>
      <c r="Q60" s="6">
        <v>17.59852272142836</v>
      </c>
      <c r="R60" s="6"/>
    </row>
    <row r="61" spans="2:18" x14ac:dyDescent="0.2">
      <c r="B61" t="s">
        <v>111</v>
      </c>
      <c r="C61" s="6">
        <v>13.50116499250829</v>
      </c>
      <c r="D61">
        <f t="shared" si="0"/>
        <v>17.599901939158844</v>
      </c>
      <c r="I61" t="s">
        <v>111</v>
      </c>
      <c r="J61" s="6">
        <v>17.599901939158844</v>
      </c>
      <c r="P61" t="s">
        <v>111</v>
      </c>
      <c r="Q61" s="6">
        <v>18.798522721428327</v>
      </c>
      <c r="R61" s="6"/>
    </row>
    <row r="62" spans="2:18" x14ac:dyDescent="0.2">
      <c r="B62" t="s">
        <v>145</v>
      </c>
      <c r="C62" s="6">
        <v>13.701164992508284</v>
      </c>
      <c r="D62">
        <f t="shared" si="0"/>
        <v>17.799901939158858</v>
      </c>
      <c r="I62" t="s">
        <v>145</v>
      </c>
      <c r="J62" s="6">
        <v>17.799901939158858</v>
      </c>
      <c r="P62" t="s">
        <v>145</v>
      </c>
      <c r="Q62" s="6">
        <v>18.99852272142833</v>
      </c>
      <c r="R62" s="6"/>
    </row>
    <row r="63" spans="2:18" x14ac:dyDescent="0.2">
      <c r="B63" t="s">
        <v>77</v>
      </c>
      <c r="C63" s="6">
        <v>10.601164992508288</v>
      </c>
      <c r="D63">
        <f t="shared" si="0"/>
        <v>15</v>
      </c>
      <c r="I63" t="s">
        <v>77</v>
      </c>
      <c r="J63" s="6">
        <v>14.69990193915886</v>
      </c>
      <c r="P63" t="s">
        <v>77</v>
      </c>
      <c r="Q63" s="6">
        <v>15.89852272142838</v>
      </c>
      <c r="R63" s="6"/>
    </row>
    <row r="64" spans="2:18" x14ac:dyDescent="0.2">
      <c r="B64" t="s">
        <v>23</v>
      </c>
      <c r="C64" s="6">
        <v>13.601164992508304</v>
      </c>
      <c r="D64">
        <f t="shared" si="0"/>
        <v>17.699901939158853</v>
      </c>
      <c r="I64" t="s">
        <v>23</v>
      </c>
      <c r="J64" s="6">
        <v>17.699901939158853</v>
      </c>
      <c r="P64" t="s">
        <v>23</v>
      </c>
      <c r="Q64" s="6">
        <v>18.898522721428314</v>
      </c>
      <c r="R64" s="6"/>
    </row>
    <row r="65" spans="2:18" x14ac:dyDescent="0.2">
      <c r="B65" t="s">
        <v>173</v>
      </c>
      <c r="C65" s="6">
        <v>16.501288800000012</v>
      </c>
      <c r="D65">
        <f t="shared" si="0"/>
        <v>20.599948000000005</v>
      </c>
      <c r="I65" t="s">
        <v>173</v>
      </c>
      <c r="J65" s="6">
        <v>20.599948000000005</v>
      </c>
      <c r="P65" t="s">
        <v>173</v>
      </c>
      <c r="Q65" s="6">
        <v>21.798545599999958</v>
      </c>
      <c r="R65" s="6"/>
    </row>
    <row r="66" spans="2:18" x14ac:dyDescent="0.2">
      <c r="B66" t="s">
        <v>45</v>
      </c>
      <c r="C66" s="6">
        <v>14.301164992508268</v>
      </c>
      <c r="D66">
        <f t="shared" si="0"/>
        <v>18.399901939158845</v>
      </c>
      <c r="I66" t="s">
        <v>45</v>
      </c>
      <c r="J66" s="6">
        <v>18.399901939158845</v>
      </c>
      <c r="P66" t="s">
        <v>45</v>
      </c>
      <c r="Q66" s="6">
        <v>19.598522721428331</v>
      </c>
      <c r="R66" s="6"/>
    </row>
    <row r="67" spans="2:18" x14ac:dyDescent="0.2">
      <c r="B67" t="s">
        <v>144</v>
      </c>
      <c r="C67" s="6">
        <v>13.301164992508287</v>
      </c>
      <c r="D67">
        <f t="shared" si="0"/>
        <v>17.399901939158838</v>
      </c>
      <c r="I67" t="s">
        <v>144</v>
      </c>
      <c r="J67" s="6">
        <v>17.399901939158838</v>
      </c>
      <c r="P67" t="s">
        <v>144</v>
      </c>
      <c r="Q67" s="6">
        <v>18.598522721428367</v>
      </c>
      <c r="R67" s="6"/>
    </row>
    <row r="68" spans="2:18" x14ac:dyDescent="0.2">
      <c r="B68" t="s">
        <v>159</v>
      </c>
      <c r="C68" s="6">
        <v>13.201164992508275</v>
      </c>
      <c r="D68">
        <f t="shared" si="0"/>
        <v>17.29990193915885</v>
      </c>
      <c r="I68" t="s">
        <v>159</v>
      </c>
      <c r="J68" s="6">
        <v>17.29990193915885</v>
      </c>
      <c r="P68" t="s">
        <v>159</v>
      </c>
      <c r="Q68" s="6">
        <v>18.498522721428316</v>
      </c>
      <c r="R68" s="6"/>
    </row>
    <row r="69" spans="2:18" x14ac:dyDescent="0.2">
      <c r="B69" t="s">
        <v>106</v>
      </c>
      <c r="C69" s="6">
        <v>15.401164992508292</v>
      </c>
      <c r="D69">
        <f t="shared" si="0"/>
        <v>19.499901939158839</v>
      </c>
      <c r="I69" t="s">
        <v>106</v>
      </c>
      <c r="J69" s="6">
        <v>19.499901939158839</v>
      </c>
      <c r="P69" t="s">
        <v>106</v>
      </c>
      <c r="Q69" s="6">
        <v>20.698522721428358</v>
      </c>
      <c r="R69" s="6"/>
    </row>
    <row r="70" spans="2:18" x14ac:dyDescent="0.2">
      <c r="B70" t="s">
        <v>120</v>
      </c>
      <c r="C70" s="6">
        <v>13.50116499250827</v>
      </c>
      <c r="D70">
        <f t="shared" si="0"/>
        <v>17.599901939158819</v>
      </c>
      <c r="I70" t="s">
        <v>120</v>
      </c>
      <c r="J70" s="6">
        <v>17.599901939158819</v>
      </c>
      <c r="P70" t="s">
        <v>120</v>
      </c>
      <c r="Q70" s="6">
        <v>18.79852272142838</v>
      </c>
      <c r="R70" s="6"/>
    </row>
    <row r="71" spans="2:18" x14ac:dyDescent="0.2">
      <c r="B71" t="s">
        <v>84</v>
      </c>
      <c r="C71" s="6">
        <v>14.101164992508295</v>
      </c>
      <c r="D71">
        <f t="shared" ref="D71:D134" si="7">IF(J71&lt;15,15,J71)</f>
        <v>18.199901939158821</v>
      </c>
      <c r="I71" t="s">
        <v>84</v>
      </c>
      <c r="J71" s="6">
        <v>18.199901939158821</v>
      </c>
      <c r="P71" t="s">
        <v>84</v>
      </c>
      <c r="Q71" s="6">
        <v>19.398522721428343</v>
      </c>
      <c r="R71" s="6"/>
    </row>
    <row r="72" spans="2:18" x14ac:dyDescent="0.2">
      <c r="B72" t="s">
        <v>91</v>
      </c>
      <c r="C72" s="6">
        <v>13.201164992508275</v>
      </c>
      <c r="D72">
        <f t="shared" si="7"/>
        <v>17.29990193915885</v>
      </c>
      <c r="I72" t="s">
        <v>91</v>
      </c>
      <c r="J72" s="6">
        <v>17.29990193915885</v>
      </c>
      <c r="P72" t="s">
        <v>91</v>
      </c>
      <c r="Q72" s="6">
        <v>18.498522721428316</v>
      </c>
      <c r="R72" s="6"/>
    </row>
    <row r="73" spans="2:18" x14ac:dyDescent="0.2">
      <c r="B73" t="s">
        <v>177</v>
      </c>
      <c r="C73" s="6">
        <v>14.201288800000006</v>
      </c>
      <c r="D73">
        <f t="shared" si="7"/>
        <v>18.299947999999993</v>
      </c>
      <c r="I73" t="s">
        <v>177</v>
      </c>
      <c r="J73" s="6">
        <v>18.299947999999993</v>
      </c>
      <c r="P73" t="s">
        <v>177</v>
      </c>
      <c r="Q73" s="6">
        <v>19.498545600000028</v>
      </c>
      <c r="R73" s="6"/>
    </row>
    <row r="74" spans="2:18" x14ac:dyDescent="0.2">
      <c r="B74" t="s">
        <v>148</v>
      </c>
      <c r="C74" s="6">
        <v>14.401164992508301</v>
      </c>
      <c r="D74">
        <f t="shared" si="7"/>
        <v>18.499901939158843</v>
      </c>
      <c r="I74" t="s">
        <v>148</v>
      </c>
      <c r="J74" s="6">
        <v>18.499901939158843</v>
      </c>
      <c r="P74" t="s">
        <v>148</v>
      </c>
      <c r="Q74" s="6">
        <v>19.69852272142834</v>
      </c>
      <c r="R74" s="6"/>
    </row>
    <row r="75" spans="2:18" x14ac:dyDescent="0.2">
      <c r="B75" t="s">
        <v>50</v>
      </c>
      <c r="C75" s="6">
        <v>14.501164992508311</v>
      </c>
      <c r="D75">
        <f t="shared" si="7"/>
        <v>18.599901939158862</v>
      </c>
      <c r="I75" t="s">
        <v>50</v>
      </c>
      <c r="J75" s="6">
        <v>18.599901939158862</v>
      </c>
      <c r="P75" t="s">
        <v>50</v>
      </c>
      <c r="Q75" s="6">
        <v>19.798522721428348</v>
      </c>
      <c r="R75" s="6"/>
    </row>
    <row r="76" spans="2:18" x14ac:dyDescent="0.2">
      <c r="B76" t="s">
        <v>116</v>
      </c>
      <c r="C76" s="6">
        <v>10.301164992508273</v>
      </c>
      <c r="D76">
        <f t="shared" si="7"/>
        <v>15</v>
      </c>
      <c r="I76" t="s">
        <v>116</v>
      </c>
      <c r="J76" s="6">
        <v>14.399901939158852</v>
      </c>
      <c r="P76" t="s">
        <v>116</v>
      </c>
      <c r="Q76" s="6">
        <v>15.598522721428374</v>
      </c>
      <c r="R76" s="6"/>
    </row>
    <row r="77" spans="2:18" x14ac:dyDescent="0.2">
      <c r="B77" t="s">
        <v>185</v>
      </c>
      <c r="C77" s="6">
        <v>12.001288800000019</v>
      </c>
      <c r="D77">
        <f t="shared" si="7"/>
        <v>16.099948000000012</v>
      </c>
      <c r="I77" t="s">
        <v>185</v>
      </c>
      <c r="J77" s="6">
        <v>16.099948000000012</v>
      </c>
      <c r="P77" t="s">
        <v>185</v>
      </c>
      <c r="Q77" s="6">
        <v>17.298545600000008</v>
      </c>
      <c r="R77" s="6"/>
    </row>
    <row r="78" spans="2:18" x14ac:dyDescent="0.2">
      <c r="B78" t="s">
        <v>175</v>
      </c>
      <c r="C78" s="6">
        <v>14.401288800000007</v>
      </c>
      <c r="D78">
        <f t="shared" si="7"/>
        <v>18.49994800000001</v>
      </c>
      <c r="I78" t="s">
        <v>175</v>
      </c>
      <c r="J78" s="6">
        <v>18.49994800000001</v>
      </c>
      <c r="P78" t="s">
        <v>175</v>
      </c>
      <c r="Q78" s="6">
        <v>19.698545600000013</v>
      </c>
      <c r="R78" s="6"/>
    </row>
    <row r="79" spans="2:18" x14ac:dyDescent="0.2">
      <c r="B79" t="s">
        <v>18</v>
      </c>
      <c r="C79" s="6">
        <v>15.701164992508296</v>
      </c>
      <c r="D79">
        <f t="shared" si="7"/>
        <v>19.799901939158858</v>
      </c>
      <c r="I79" t="s">
        <v>18</v>
      </c>
      <c r="J79" s="6">
        <v>19.799901939158858</v>
      </c>
      <c r="P79" t="s">
        <v>18</v>
      </c>
      <c r="Q79" s="6">
        <v>20.998522721428312</v>
      </c>
      <c r="R79" s="6"/>
    </row>
    <row r="80" spans="2:18" x14ac:dyDescent="0.2">
      <c r="B80" t="s">
        <v>127</v>
      </c>
      <c r="C80" s="6">
        <v>13.001164992508288</v>
      </c>
      <c r="D80">
        <f t="shared" si="7"/>
        <v>17.099901939158855</v>
      </c>
      <c r="I80" t="s">
        <v>127</v>
      </c>
      <c r="J80" s="6">
        <v>17.099901939158855</v>
      </c>
      <c r="P80" t="s">
        <v>127</v>
      </c>
      <c r="Q80" s="6">
        <v>18.298522721428295</v>
      </c>
      <c r="R80" s="6"/>
    </row>
    <row r="81" spans="2:18" x14ac:dyDescent="0.2">
      <c r="B81" t="s">
        <v>151</v>
      </c>
      <c r="C81" s="6">
        <v>13.401164992508281</v>
      </c>
      <c r="D81">
        <f t="shared" si="7"/>
        <v>17.499901939158839</v>
      </c>
      <c r="I81" t="s">
        <v>151</v>
      </c>
      <c r="J81" s="6">
        <v>17.499901939158839</v>
      </c>
      <c r="P81" t="s">
        <v>151</v>
      </c>
      <c r="Q81" s="6">
        <v>18.698522721428372</v>
      </c>
      <c r="R81" s="6"/>
    </row>
    <row r="82" spans="2:18" x14ac:dyDescent="0.2">
      <c r="B82" t="s">
        <v>98</v>
      </c>
      <c r="C82" s="6">
        <v>16.201164992508293</v>
      </c>
      <c r="D82">
        <f t="shared" si="7"/>
        <v>20.299901939158843</v>
      </c>
      <c r="I82" t="s">
        <v>98</v>
      </c>
      <c r="J82" s="6">
        <v>20.299901939158843</v>
      </c>
      <c r="P82" t="s">
        <v>98</v>
      </c>
      <c r="Q82" s="6">
        <v>21.498522721428365</v>
      </c>
      <c r="R82" s="6"/>
    </row>
    <row r="83" spans="2:18" x14ac:dyDescent="0.2">
      <c r="B83" t="s">
        <v>132</v>
      </c>
      <c r="C83" s="6">
        <v>14.301164992508269</v>
      </c>
      <c r="D83">
        <f t="shared" si="7"/>
        <v>18.399901939158848</v>
      </c>
      <c r="I83" t="s">
        <v>132</v>
      </c>
      <c r="J83" s="6">
        <v>18.399901939158848</v>
      </c>
      <c r="P83" t="s">
        <v>132</v>
      </c>
      <c r="Q83" s="6">
        <v>19.598522721428392</v>
      </c>
      <c r="R83" s="6"/>
    </row>
    <row r="84" spans="2:18" x14ac:dyDescent="0.2">
      <c r="B84" t="s">
        <v>126</v>
      </c>
      <c r="C84" s="6">
        <v>12.901164992508296</v>
      </c>
      <c r="D84">
        <f t="shared" si="7"/>
        <v>16.999901939158853</v>
      </c>
      <c r="I84" t="s">
        <v>126</v>
      </c>
      <c r="J84" s="6">
        <v>16.999901939158853</v>
      </c>
      <c r="P84" t="s">
        <v>126</v>
      </c>
      <c r="Q84" s="6">
        <v>18.198522721428379</v>
      </c>
      <c r="R84" s="6"/>
    </row>
    <row r="85" spans="2:18" x14ac:dyDescent="0.2">
      <c r="B85" t="s">
        <v>43</v>
      </c>
      <c r="C85" s="6">
        <v>13.001164992508269</v>
      </c>
      <c r="D85">
        <f t="shared" si="7"/>
        <v>17.099901939158848</v>
      </c>
      <c r="I85" t="s">
        <v>43</v>
      </c>
      <c r="J85" s="6">
        <v>17.099901939158848</v>
      </c>
      <c r="P85" t="s">
        <v>43</v>
      </c>
      <c r="Q85" s="6">
        <v>18.298522721428288</v>
      </c>
      <c r="R85" s="6"/>
    </row>
    <row r="86" spans="2:18" x14ac:dyDescent="0.2">
      <c r="B86" t="s">
        <v>39</v>
      </c>
      <c r="C86" s="6">
        <v>14.001164992508279</v>
      </c>
      <c r="D86">
        <f t="shared" si="7"/>
        <v>18.099901939158855</v>
      </c>
      <c r="I86" t="s">
        <v>39</v>
      </c>
      <c r="J86" s="6">
        <v>18.099901939158855</v>
      </c>
      <c r="P86" t="s">
        <v>39</v>
      </c>
      <c r="Q86" s="6">
        <v>19.298522721428334</v>
      </c>
      <c r="R86" s="6"/>
    </row>
    <row r="87" spans="2:18" x14ac:dyDescent="0.2">
      <c r="B87" t="s">
        <v>149</v>
      </c>
      <c r="C87" s="6">
        <v>16.301164992508284</v>
      </c>
      <c r="D87">
        <f t="shared" si="7"/>
        <v>20.399901939158838</v>
      </c>
      <c r="I87" t="s">
        <v>149</v>
      </c>
      <c r="J87" s="6">
        <v>20.399901939158838</v>
      </c>
      <c r="P87" t="s">
        <v>149</v>
      </c>
      <c r="Q87" s="6">
        <v>21.598522721428321</v>
      </c>
      <c r="R87" s="6"/>
    </row>
    <row r="88" spans="2:18" x14ac:dyDescent="0.2">
      <c r="B88" t="s">
        <v>55</v>
      </c>
      <c r="C88" s="6">
        <v>10.901164992508289</v>
      </c>
      <c r="D88">
        <f t="shared" si="7"/>
        <v>15</v>
      </c>
      <c r="I88" t="s">
        <v>55</v>
      </c>
      <c r="J88" s="6">
        <v>14.999901939158857</v>
      </c>
      <c r="P88" t="s">
        <v>55</v>
      </c>
      <c r="Q88" s="6">
        <v>16.198522721428315</v>
      </c>
      <c r="R88" s="6"/>
    </row>
    <row r="89" spans="2:18" x14ac:dyDescent="0.2">
      <c r="B89" t="s">
        <v>107</v>
      </c>
      <c r="C89" s="6">
        <v>10.001164992508299</v>
      </c>
      <c r="D89">
        <f t="shared" si="7"/>
        <v>15</v>
      </c>
      <c r="I89" t="s">
        <v>107</v>
      </c>
      <c r="J89" s="6">
        <v>14.099901939158849</v>
      </c>
      <c r="P89" t="s">
        <v>107</v>
      </c>
      <c r="Q89" s="6">
        <v>15.298522721428361</v>
      </c>
      <c r="R89" s="6"/>
    </row>
    <row r="90" spans="2:18" x14ac:dyDescent="0.2">
      <c r="B90" t="s">
        <v>44</v>
      </c>
      <c r="C90" s="6">
        <v>12.301164992508287</v>
      </c>
      <c r="D90">
        <f t="shared" si="7"/>
        <v>16.399901939158852</v>
      </c>
      <c r="I90" t="s">
        <v>44</v>
      </c>
      <c r="J90" s="6">
        <v>16.399901939158852</v>
      </c>
      <c r="P90" t="s">
        <v>44</v>
      </c>
      <c r="Q90" s="6">
        <v>17.59852272142836</v>
      </c>
      <c r="R90" s="6"/>
    </row>
    <row r="91" spans="2:18" x14ac:dyDescent="0.2">
      <c r="B91" t="s">
        <v>137</v>
      </c>
      <c r="C91" s="6">
        <v>7.9301649925082822</v>
      </c>
      <c r="D91">
        <f t="shared" si="7"/>
        <v>15</v>
      </c>
      <c r="I91" t="s">
        <v>137</v>
      </c>
      <c r="J91" s="6">
        <v>12.028901939158862</v>
      </c>
      <c r="P91" t="s">
        <v>137</v>
      </c>
      <c r="Q91" s="6">
        <v>13.227522721428285</v>
      </c>
      <c r="R91" s="6"/>
    </row>
    <row r="92" spans="2:18" x14ac:dyDescent="0.2">
      <c r="B92" t="s">
        <v>210</v>
      </c>
      <c r="C92" s="6">
        <v>16.201370333333323</v>
      </c>
      <c r="D92">
        <f t="shared" si="7"/>
        <v>20.299978333333332</v>
      </c>
      <c r="I92" t="s">
        <v>210</v>
      </c>
      <c r="J92" s="6">
        <v>20.299978333333332</v>
      </c>
      <c r="P92" t="s">
        <v>210</v>
      </c>
      <c r="Q92" s="6">
        <v>21.49856066666668</v>
      </c>
      <c r="R92" s="6"/>
    </row>
    <row r="93" spans="2:18" x14ac:dyDescent="0.2">
      <c r="B93" t="s">
        <v>96</v>
      </c>
      <c r="C93" s="6">
        <v>12.801164992508301</v>
      </c>
      <c r="D93">
        <f t="shared" si="7"/>
        <v>16.899901939158848</v>
      </c>
      <c r="I93" t="s">
        <v>96</v>
      </c>
      <c r="J93" s="6">
        <v>16.899901939158848</v>
      </c>
      <c r="P93" t="s">
        <v>96</v>
      </c>
      <c r="Q93" s="6">
        <v>18.098522721428363</v>
      </c>
      <c r="R93" s="6"/>
    </row>
    <row r="94" spans="2:18" x14ac:dyDescent="0.2">
      <c r="B94" t="s">
        <v>142</v>
      </c>
      <c r="C94" s="6">
        <v>13.401164992508274</v>
      </c>
      <c r="D94">
        <f t="shared" si="7"/>
        <v>17.499901939158839</v>
      </c>
      <c r="I94" t="s">
        <v>142</v>
      </c>
      <c r="J94" s="6">
        <v>17.499901939158839</v>
      </c>
      <c r="P94" t="s">
        <v>142</v>
      </c>
      <c r="Q94" s="6">
        <v>18.698522721428372</v>
      </c>
      <c r="R94" s="6"/>
    </row>
    <row r="95" spans="2:18" x14ac:dyDescent="0.2">
      <c r="B95" t="s">
        <v>147</v>
      </c>
      <c r="C95" s="6">
        <v>13.901164992508285</v>
      </c>
      <c r="D95">
        <f t="shared" si="7"/>
        <v>17.999901939158843</v>
      </c>
      <c r="I95" t="s">
        <v>147</v>
      </c>
      <c r="J95" s="6">
        <v>17.999901939158843</v>
      </c>
      <c r="P95" t="s">
        <v>147</v>
      </c>
      <c r="Q95" s="6">
        <v>19.198522721428379</v>
      </c>
      <c r="R95" s="6"/>
    </row>
    <row r="96" spans="2:18" x14ac:dyDescent="0.2">
      <c r="B96" t="s">
        <v>143</v>
      </c>
      <c r="C96" s="6">
        <v>14.201164992508279</v>
      </c>
      <c r="D96">
        <f t="shared" si="7"/>
        <v>18.299901939158847</v>
      </c>
      <c r="I96" t="s">
        <v>143</v>
      </c>
      <c r="J96" s="6">
        <v>18.299901939158847</v>
      </c>
      <c r="P96" t="s">
        <v>143</v>
      </c>
      <c r="Q96" s="6">
        <v>19.49852272142839</v>
      </c>
      <c r="R96" s="6"/>
    </row>
    <row r="97" spans="2:18" x14ac:dyDescent="0.2">
      <c r="B97" t="s">
        <v>146</v>
      </c>
      <c r="C97" s="6">
        <v>12.901164992508278</v>
      </c>
      <c r="D97">
        <f t="shared" si="7"/>
        <v>16.99990193915885</v>
      </c>
      <c r="I97" t="s">
        <v>146</v>
      </c>
      <c r="J97" s="6">
        <v>16.99990193915885</v>
      </c>
      <c r="P97" t="s">
        <v>146</v>
      </c>
      <c r="Q97" s="6">
        <v>18.198522721428304</v>
      </c>
      <c r="R97" s="6"/>
    </row>
    <row r="98" spans="2:18" x14ac:dyDescent="0.2">
      <c r="B98" t="s">
        <v>166</v>
      </c>
      <c r="C98" s="6">
        <v>18.2012888</v>
      </c>
      <c r="D98">
        <f t="shared" si="7"/>
        <v>22.299948000000008</v>
      </c>
      <c r="I98" t="s">
        <v>166</v>
      </c>
      <c r="J98" s="6">
        <v>22.299948000000008</v>
      </c>
      <c r="P98" t="s">
        <v>166</v>
      </c>
      <c r="Q98" s="6">
        <v>23.498545599999968</v>
      </c>
      <c r="R98" s="6"/>
    </row>
    <row r="99" spans="2:18" x14ac:dyDescent="0.2">
      <c r="B99" t="s">
        <v>115</v>
      </c>
      <c r="C99" s="6">
        <v>13.801164992508298</v>
      </c>
      <c r="D99">
        <f t="shared" si="7"/>
        <v>17.899901939158838</v>
      </c>
      <c r="I99" t="s">
        <v>115</v>
      </c>
      <c r="J99" s="6">
        <v>17.899901939158838</v>
      </c>
      <c r="P99" t="s">
        <v>115</v>
      </c>
      <c r="Q99" s="6">
        <v>19.098522721428331</v>
      </c>
      <c r="R99" s="6"/>
    </row>
    <row r="100" spans="2:18" x14ac:dyDescent="0.2">
      <c r="B100" t="s">
        <v>89</v>
      </c>
      <c r="C100" s="6">
        <v>17.101164992508281</v>
      </c>
      <c r="D100">
        <f t="shared" si="7"/>
        <v>21.19990193915886</v>
      </c>
      <c r="I100" t="s">
        <v>89</v>
      </c>
      <c r="J100" s="6">
        <v>21.19990193915886</v>
      </c>
      <c r="P100" t="s">
        <v>89</v>
      </c>
      <c r="Q100" s="6">
        <v>22.398522721428382</v>
      </c>
      <c r="R100" s="6"/>
    </row>
    <row r="101" spans="2:18" x14ac:dyDescent="0.2">
      <c r="B101" t="s">
        <v>76</v>
      </c>
      <c r="C101" s="6">
        <v>11.101164992508293</v>
      </c>
      <c r="D101">
        <f t="shared" si="7"/>
        <v>15.199901939158842</v>
      </c>
      <c r="I101" t="s">
        <v>76</v>
      </c>
      <c r="J101" s="6">
        <v>15.199901939158842</v>
      </c>
      <c r="P101" t="s">
        <v>76</v>
      </c>
      <c r="Q101" s="6">
        <v>16.398522721428392</v>
      </c>
      <c r="R101" s="6"/>
    </row>
    <row r="102" spans="2:18" x14ac:dyDescent="0.2">
      <c r="B102" t="s">
        <v>46</v>
      </c>
      <c r="C102" s="6">
        <v>12.901164992508283</v>
      </c>
      <c r="D102">
        <f t="shared" si="7"/>
        <v>16.999901939158853</v>
      </c>
      <c r="I102" t="s">
        <v>46</v>
      </c>
      <c r="J102" s="6">
        <v>16.999901939158853</v>
      </c>
      <c r="P102" t="s">
        <v>46</v>
      </c>
      <c r="Q102" s="6">
        <v>18.198522721428379</v>
      </c>
      <c r="R102" s="6"/>
    </row>
    <row r="103" spans="2:18" x14ac:dyDescent="0.2">
      <c r="B103" t="s">
        <v>63</v>
      </c>
      <c r="C103" s="6">
        <v>11.801164992508305</v>
      </c>
      <c r="D103">
        <f t="shared" si="7"/>
        <v>15.899901939158857</v>
      </c>
      <c r="I103" t="s">
        <v>63</v>
      </c>
      <c r="J103" s="6">
        <v>15.899901939158857</v>
      </c>
      <c r="P103" t="s">
        <v>63</v>
      </c>
      <c r="Q103" s="6">
        <v>17.098522721428346</v>
      </c>
      <c r="R103" s="6"/>
    </row>
    <row r="104" spans="2:18" x14ac:dyDescent="0.2">
      <c r="B104" t="s">
        <v>59</v>
      </c>
      <c r="C104" s="6">
        <v>13.301164992508275</v>
      </c>
      <c r="D104">
        <f t="shared" si="7"/>
        <v>17.399901939158841</v>
      </c>
      <c r="I104" t="s">
        <v>59</v>
      </c>
      <c r="J104" s="6">
        <v>17.399901939158841</v>
      </c>
      <c r="P104" t="s">
        <v>59</v>
      </c>
      <c r="Q104" s="6">
        <v>18.59852272142837</v>
      </c>
      <c r="R104" s="6"/>
    </row>
    <row r="105" spans="2:18" x14ac:dyDescent="0.2">
      <c r="B105" t="s">
        <v>164</v>
      </c>
      <c r="C105" s="6">
        <v>13.70116499250828</v>
      </c>
      <c r="D105">
        <f t="shared" si="7"/>
        <v>17.799901939158854</v>
      </c>
      <c r="I105" t="s">
        <v>164</v>
      </c>
      <c r="J105" s="6">
        <v>17.799901939158854</v>
      </c>
      <c r="P105" t="s">
        <v>164</v>
      </c>
      <c r="Q105" s="6">
        <v>18.998522721428326</v>
      </c>
      <c r="R105" s="6"/>
    </row>
    <row r="106" spans="2:18" x14ac:dyDescent="0.2">
      <c r="B106" t="s">
        <v>125</v>
      </c>
      <c r="C106" s="6">
        <v>11.501164992508288</v>
      </c>
      <c r="D106">
        <f t="shared" si="7"/>
        <v>15.599901939158865</v>
      </c>
      <c r="I106" t="s">
        <v>125</v>
      </c>
      <c r="J106" s="6">
        <v>15.599901939158865</v>
      </c>
      <c r="P106" t="s">
        <v>125</v>
      </c>
      <c r="Q106" s="6">
        <v>16.798522721428334</v>
      </c>
      <c r="R106" s="6"/>
    </row>
    <row r="107" spans="2:18" x14ac:dyDescent="0.2">
      <c r="B107" t="s">
        <v>128</v>
      </c>
      <c r="C107" s="6">
        <v>13.401164992508278</v>
      </c>
      <c r="D107">
        <f t="shared" si="7"/>
        <v>17.499901939158836</v>
      </c>
      <c r="I107" t="s">
        <v>128</v>
      </c>
      <c r="J107" s="6">
        <v>17.499901939158836</v>
      </c>
      <c r="P107" t="s">
        <v>128</v>
      </c>
      <c r="Q107" s="6">
        <v>18.698522721428436</v>
      </c>
      <c r="R107" s="6"/>
    </row>
    <row r="108" spans="2:18" x14ac:dyDescent="0.2">
      <c r="B108" t="s">
        <v>152</v>
      </c>
      <c r="C108" s="6">
        <v>13.501164992508293</v>
      </c>
      <c r="D108">
        <f t="shared" si="7"/>
        <v>17.599901939158837</v>
      </c>
      <c r="I108" t="s">
        <v>152</v>
      </c>
      <c r="J108" s="6">
        <v>17.599901939158837</v>
      </c>
      <c r="P108" t="s">
        <v>152</v>
      </c>
      <c r="Q108" s="6">
        <v>18.79852272142832</v>
      </c>
      <c r="R108" s="6"/>
    </row>
    <row r="109" spans="2:18" x14ac:dyDescent="0.2">
      <c r="B109" t="s">
        <v>131</v>
      </c>
      <c r="C109" s="6">
        <v>13.901164992508289</v>
      </c>
      <c r="D109">
        <f t="shared" si="7"/>
        <v>17.999901939158846</v>
      </c>
      <c r="I109" t="s">
        <v>131</v>
      </c>
      <c r="J109" s="6">
        <v>17.999901939158846</v>
      </c>
      <c r="P109" t="s">
        <v>131</v>
      </c>
      <c r="Q109" s="6">
        <v>19.198522721428382</v>
      </c>
      <c r="R109" s="6"/>
    </row>
    <row r="110" spans="2:18" x14ac:dyDescent="0.2">
      <c r="B110" t="s">
        <v>71</v>
      </c>
      <c r="C110" s="6">
        <v>13.901164992508285</v>
      </c>
      <c r="D110">
        <f t="shared" si="7"/>
        <v>17.999901939158843</v>
      </c>
      <c r="I110" t="s">
        <v>71</v>
      </c>
      <c r="J110" s="6">
        <v>17.999901939158843</v>
      </c>
      <c r="P110" t="s">
        <v>71</v>
      </c>
      <c r="Q110" s="6">
        <v>19.198522721428379</v>
      </c>
      <c r="R110" s="6"/>
    </row>
    <row r="111" spans="2:18" x14ac:dyDescent="0.2">
      <c r="B111" t="s">
        <v>121</v>
      </c>
      <c r="C111" s="6">
        <v>13.801164992508305</v>
      </c>
      <c r="D111">
        <f t="shared" si="7"/>
        <v>17.899901939158845</v>
      </c>
      <c r="I111" t="s">
        <v>121</v>
      </c>
      <c r="J111" s="6">
        <v>17.899901939158845</v>
      </c>
      <c r="P111" t="s">
        <v>121</v>
      </c>
      <c r="Q111" s="6">
        <v>19.098522721428338</v>
      </c>
      <c r="R111" s="6"/>
    </row>
    <row r="112" spans="2:18" x14ac:dyDescent="0.2">
      <c r="B112" t="s">
        <v>33</v>
      </c>
      <c r="C112" s="6">
        <v>12.401164992508269</v>
      </c>
      <c r="D112">
        <f t="shared" si="7"/>
        <v>16.499901939158836</v>
      </c>
      <c r="I112" t="s">
        <v>33</v>
      </c>
      <c r="J112" s="6">
        <v>16.499901939158836</v>
      </c>
      <c r="P112" t="s">
        <v>33</v>
      </c>
      <c r="Q112" s="6">
        <v>17.698522721428329</v>
      </c>
      <c r="R112" s="6"/>
    </row>
    <row r="113" spans="2:18" x14ac:dyDescent="0.2">
      <c r="B113" t="s">
        <v>102</v>
      </c>
      <c r="C113" s="6">
        <v>9.7011649925082803</v>
      </c>
      <c r="D113">
        <f t="shared" si="7"/>
        <v>15</v>
      </c>
      <c r="I113" t="s">
        <v>102</v>
      </c>
      <c r="J113" s="6">
        <v>13.799901939158852</v>
      </c>
      <c r="P113" t="s">
        <v>102</v>
      </c>
      <c r="Q113" s="6">
        <v>14.998522721428353</v>
      </c>
      <c r="R113" s="6"/>
    </row>
    <row r="114" spans="2:18" x14ac:dyDescent="0.2">
      <c r="B114" t="s">
        <v>114</v>
      </c>
      <c r="C114" s="6">
        <v>8.7011649925082963</v>
      </c>
      <c r="D114">
        <f t="shared" si="7"/>
        <v>15</v>
      </c>
      <c r="I114" t="s">
        <v>114</v>
      </c>
      <c r="J114" s="6">
        <v>12.799901939158854</v>
      </c>
      <c r="P114" t="s">
        <v>114</v>
      </c>
      <c r="Q114" s="6">
        <v>13.998522721428321</v>
      </c>
      <c r="R114" s="6"/>
    </row>
    <row r="115" spans="2:18" x14ac:dyDescent="0.2">
      <c r="B115" t="s">
        <v>200</v>
      </c>
      <c r="C115" s="6">
        <v>17.601370333333318</v>
      </c>
      <c r="D115">
        <f t="shared" si="7"/>
        <v>21.699978333333341</v>
      </c>
      <c r="I115" t="s">
        <v>200</v>
      </c>
      <c r="J115" s="6">
        <v>21.699978333333341</v>
      </c>
      <c r="P115" t="s">
        <v>200</v>
      </c>
      <c r="Q115" s="6">
        <v>22.898560666666651</v>
      </c>
      <c r="R115" s="6"/>
    </row>
    <row r="116" spans="2:18" x14ac:dyDescent="0.2">
      <c r="B116" t="s">
        <v>27</v>
      </c>
      <c r="C116" s="6">
        <v>12.50116499250829</v>
      </c>
      <c r="D116">
        <f t="shared" si="7"/>
        <v>16.599901939158848</v>
      </c>
      <c r="I116" t="s">
        <v>27</v>
      </c>
      <c r="J116" s="6">
        <v>16.599901939158848</v>
      </c>
      <c r="P116" t="s">
        <v>27</v>
      </c>
      <c r="Q116" s="6">
        <v>17.798522721428355</v>
      </c>
      <c r="R116" s="6"/>
    </row>
    <row r="117" spans="2:18" x14ac:dyDescent="0.2">
      <c r="B117" t="s">
        <v>208</v>
      </c>
      <c r="C117" s="6">
        <v>15.201370333333323</v>
      </c>
      <c r="D117">
        <f t="shared" si="7"/>
        <v>19.299978333333321</v>
      </c>
      <c r="I117" t="s">
        <v>208</v>
      </c>
      <c r="J117" s="6">
        <v>19.299978333333321</v>
      </c>
      <c r="P117" t="s">
        <v>208</v>
      </c>
      <c r="Q117" s="6">
        <v>20.498560666666709</v>
      </c>
      <c r="R117" s="6"/>
    </row>
    <row r="118" spans="2:18" x14ac:dyDescent="0.2">
      <c r="B118" t="s">
        <v>52</v>
      </c>
      <c r="C118" s="6">
        <v>12.50116499250829</v>
      </c>
      <c r="D118">
        <f t="shared" si="7"/>
        <v>16.599901939158848</v>
      </c>
      <c r="I118" t="s">
        <v>52</v>
      </c>
      <c r="J118" s="6">
        <v>16.599901939158848</v>
      </c>
      <c r="P118" t="s">
        <v>52</v>
      </c>
      <c r="Q118" s="6">
        <v>17.798522721428355</v>
      </c>
      <c r="R118" s="6"/>
    </row>
    <row r="119" spans="2:18" x14ac:dyDescent="0.2">
      <c r="B119" t="s">
        <v>62</v>
      </c>
      <c r="C119" s="6">
        <v>12.901164992508274</v>
      </c>
      <c r="D119">
        <f t="shared" si="7"/>
        <v>16.999901939158853</v>
      </c>
      <c r="I119" t="s">
        <v>62</v>
      </c>
      <c r="J119" s="6">
        <v>16.999901939158853</v>
      </c>
      <c r="P119" t="s">
        <v>62</v>
      </c>
      <c r="Q119" s="6">
        <v>18.198522721428308</v>
      </c>
      <c r="R119" s="6"/>
    </row>
    <row r="120" spans="2:18" x14ac:dyDescent="0.2">
      <c r="B120" t="s">
        <v>153</v>
      </c>
      <c r="C120" s="6">
        <v>12.901164992508281</v>
      </c>
      <c r="D120">
        <f t="shared" si="7"/>
        <v>16.999901939158853</v>
      </c>
      <c r="I120" t="s">
        <v>153</v>
      </c>
      <c r="J120" s="6">
        <v>16.999901939158853</v>
      </c>
      <c r="P120" t="s">
        <v>153</v>
      </c>
      <c r="Q120" s="6">
        <v>18.198522721428379</v>
      </c>
      <c r="R120" s="6"/>
    </row>
    <row r="121" spans="2:18" x14ac:dyDescent="0.2">
      <c r="B121" t="s">
        <v>68</v>
      </c>
      <c r="C121" s="6">
        <v>13.601164992508295</v>
      </c>
      <c r="D121">
        <f t="shared" si="7"/>
        <v>17.699901939158828</v>
      </c>
      <c r="I121" t="s">
        <v>68</v>
      </c>
      <c r="J121" s="6">
        <v>17.699901939158828</v>
      </c>
      <c r="P121" t="s">
        <v>68</v>
      </c>
      <c r="Q121" s="6">
        <v>18.898522721428385</v>
      </c>
      <c r="R121" s="6"/>
    </row>
    <row r="122" spans="2:18" x14ac:dyDescent="0.2">
      <c r="B122" t="s">
        <v>67</v>
      </c>
      <c r="C122" s="6">
        <v>12.801164992508301</v>
      </c>
      <c r="D122">
        <f t="shared" si="7"/>
        <v>16.899901939158848</v>
      </c>
      <c r="I122" t="s">
        <v>67</v>
      </c>
      <c r="J122" s="6">
        <v>16.899901939158848</v>
      </c>
      <c r="P122" t="s">
        <v>67</v>
      </c>
      <c r="Q122" s="6">
        <v>18.098522721428363</v>
      </c>
      <c r="R122" s="6"/>
    </row>
    <row r="123" spans="2:18" x14ac:dyDescent="0.2">
      <c r="B123" t="s">
        <v>135</v>
      </c>
      <c r="C123" s="6">
        <v>16.401164992508296</v>
      </c>
      <c r="D123">
        <f t="shared" si="7"/>
        <v>20.499901939158853</v>
      </c>
      <c r="I123" t="s">
        <v>135</v>
      </c>
      <c r="J123" s="6">
        <v>20.499901939158853</v>
      </c>
      <c r="P123" t="s">
        <v>135</v>
      </c>
      <c r="Q123" s="6">
        <v>21.698522721428333</v>
      </c>
      <c r="R123" s="6"/>
    </row>
    <row r="124" spans="2:18" x14ac:dyDescent="0.2">
      <c r="B124" t="s">
        <v>190</v>
      </c>
      <c r="C124" s="6">
        <v>13.5</v>
      </c>
      <c r="D124">
        <f t="shared" si="7"/>
        <v>17.600000000000001</v>
      </c>
      <c r="I124" t="s">
        <v>190</v>
      </c>
      <c r="J124" s="6">
        <v>17.600000000000001</v>
      </c>
      <c r="P124" t="s">
        <v>190</v>
      </c>
      <c r="Q124" s="6">
        <v>18.8</v>
      </c>
      <c r="R124" s="6"/>
    </row>
    <row r="125" spans="2:18" x14ac:dyDescent="0.2">
      <c r="B125" t="s">
        <v>99</v>
      </c>
      <c r="C125" s="6">
        <v>9.3011649925082871</v>
      </c>
      <c r="D125">
        <f t="shared" si="7"/>
        <v>15</v>
      </c>
      <c r="I125" t="s">
        <v>99</v>
      </c>
      <c r="J125" s="6">
        <v>13.399901939158847</v>
      </c>
      <c r="P125" t="s">
        <v>99</v>
      </c>
      <c r="Q125" s="6">
        <v>14.598522721428429</v>
      </c>
      <c r="R125" s="6"/>
    </row>
    <row r="126" spans="2:18" x14ac:dyDescent="0.2">
      <c r="B126" t="s">
        <v>34</v>
      </c>
      <c r="C126" s="6">
        <v>14.101164992508288</v>
      </c>
      <c r="D126">
        <f t="shared" si="7"/>
        <v>18.199901939158813</v>
      </c>
      <c r="I126" t="s">
        <v>34</v>
      </c>
      <c r="J126" s="6">
        <v>18.199901939158813</v>
      </c>
      <c r="P126" t="s">
        <v>34</v>
      </c>
      <c r="Q126" s="6">
        <v>19.398522721428336</v>
      </c>
      <c r="R126" s="6"/>
    </row>
    <row r="127" spans="2:18" x14ac:dyDescent="0.2">
      <c r="B127" t="s">
        <v>179</v>
      </c>
      <c r="C127" s="6">
        <v>14.801288800000012</v>
      </c>
      <c r="D127">
        <f t="shared" si="7"/>
        <v>18.89994800000002</v>
      </c>
      <c r="I127" t="s">
        <v>179</v>
      </c>
      <c r="J127" s="6">
        <v>18.89994800000002</v>
      </c>
      <c r="P127" t="s">
        <v>179</v>
      </c>
      <c r="Q127" s="6">
        <v>20.098545600000012</v>
      </c>
      <c r="R127" s="6"/>
    </row>
    <row r="128" spans="2:18" x14ac:dyDescent="0.2">
      <c r="B128" t="s">
        <v>41</v>
      </c>
      <c r="C128" s="6">
        <v>14.901164992508289</v>
      </c>
      <c r="D128">
        <f t="shared" si="7"/>
        <v>18.999901939158839</v>
      </c>
      <c r="I128" t="s">
        <v>41</v>
      </c>
      <c r="J128" s="6">
        <v>18.999901939158839</v>
      </c>
      <c r="P128" t="s">
        <v>41</v>
      </c>
      <c r="Q128" s="6">
        <v>20.198522721428354</v>
      </c>
      <c r="R128" s="6"/>
    </row>
    <row r="129" spans="2:18" x14ac:dyDescent="0.2">
      <c r="B129" t="s">
        <v>201</v>
      </c>
      <c r="C129" s="6">
        <v>17.401370333333318</v>
      </c>
      <c r="D129">
        <f t="shared" si="7"/>
        <v>21.49997833333336</v>
      </c>
      <c r="I129" t="s">
        <v>201</v>
      </c>
      <c r="J129" s="6">
        <v>21.49997833333336</v>
      </c>
      <c r="P129" t="s">
        <v>201</v>
      </c>
      <c r="Q129" s="6">
        <v>22.698560666666634</v>
      </c>
      <c r="R129" s="6"/>
    </row>
    <row r="130" spans="2:18" x14ac:dyDescent="0.2">
      <c r="B130" t="s">
        <v>204</v>
      </c>
      <c r="C130" s="6">
        <v>15.101370333333319</v>
      </c>
      <c r="D130">
        <f t="shared" si="7"/>
        <v>19.199978333333327</v>
      </c>
      <c r="I130" t="s">
        <v>204</v>
      </c>
      <c r="J130" s="6">
        <v>19.199978333333327</v>
      </c>
      <c r="P130" t="s">
        <v>204</v>
      </c>
      <c r="Q130" s="6">
        <v>20.398560666666715</v>
      </c>
      <c r="R130" s="6"/>
    </row>
    <row r="131" spans="2:18" x14ac:dyDescent="0.2">
      <c r="B131" t="s">
        <v>19</v>
      </c>
      <c r="C131" s="6">
        <v>14.301164992508298</v>
      </c>
      <c r="D131">
        <f t="shared" si="7"/>
        <v>18.399901939158845</v>
      </c>
      <c r="I131" t="s">
        <v>19</v>
      </c>
      <c r="J131" s="6">
        <v>18.399901939158845</v>
      </c>
      <c r="P131" t="s">
        <v>19</v>
      </c>
      <c r="Q131" s="6">
        <v>19.598522721428342</v>
      </c>
      <c r="R131" s="6"/>
    </row>
    <row r="132" spans="2:18" x14ac:dyDescent="0.2">
      <c r="B132" t="s">
        <v>15</v>
      </c>
      <c r="C132" s="6">
        <v>13.101164992508277</v>
      </c>
      <c r="D132">
        <f t="shared" si="7"/>
        <v>17.199901939158853</v>
      </c>
      <c r="I132" t="s">
        <v>15</v>
      </c>
      <c r="J132" s="6">
        <v>17.199901939158853</v>
      </c>
      <c r="P132" t="s">
        <v>15</v>
      </c>
      <c r="Q132" s="6">
        <v>18.398522721428368</v>
      </c>
      <c r="R132" s="6"/>
    </row>
    <row r="133" spans="2:18" x14ac:dyDescent="0.2">
      <c r="B133" t="s">
        <v>193</v>
      </c>
      <c r="C133" s="6">
        <v>14.601370333333326</v>
      </c>
      <c r="D133">
        <f t="shared" si="7"/>
        <v>18.699978333333366</v>
      </c>
      <c r="I133" t="s">
        <v>193</v>
      </c>
      <c r="J133" s="6">
        <v>18.699978333333366</v>
      </c>
      <c r="P133" t="s">
        <v>193</v>
      </c>
      <c r="Q133" s="6">
        <v>19.898560666666693</v>
      </c>
      <c r="R133" s="6"/>
    </row>
    <row r="134" spans="2:18" x14ac:dyDescent="0.2">
      <c r="B134" t="s">
        <v>26</v>
      </c>
      <c r="C134" s="6">
        <v>14.501164992508279</v>
      </c>
      <c r="D134">
        <f t="shared" si="7"/>
        <v>18.59990193915884</v>
      </c>
      <c r="I134" t="s">
        <v>26</v>
      </c>
      <c r="J134" s="6">
        <v>18.59990193915884</v>
      </c>
      <c r="P134" t="s">
        <v>26</v>
      </c>
      <c r="Q134" s="6">
        <v>19.798522721428327</v>
      </c>
      <c r="R134" s="6"/>
    </row>
    <row r="135" spans="2:18" x14ac:dyDescent="0.2">
      <c r="B135" t="s">
        <v>158</v>
      </c>
      <c r="C135" s="6">
        <v>14.701164992508282</v>
      </c>
      <c r="D135">
        <f t="shared" ref="D135:D198" si="8">IF(J135&lt;15,15,J135)</f>
        <v>18.799901939158868</v>
      </c>
      <c r="I135" t="s">
        <v>158</v>
      </c>
      <c r="J135" s="6">
        <v>18.799901939158868</v>
      </c>
      <c r="P135" t="s">
        <v>158</v>
      </c>
      <c r="Q135" s="6">
        <v>19.998522721428301</v>
      </c>
      <c r="R135" s="6"/>
    </row>
    <row r="136" spans="2:18" x14ac:dyDescent="0.2">
      <c r="B136" t="s">
        <v>37</v>
      </c>
      <c r="C136" s="6">
        <v>10.701164992508286</v>
      </c>
      <c r="D136">
        <f t="shared" si="8"/>
        <v>15</v>
      </c>
      <c r="I136" t="s">
        <v>37</v>
      </c>
      <c r="J136" s="6">
        <v>14.799901939158856</v>
      </c>
      <c r="P136" t="s">
        <v>37</v>
      </c>
      <c r="Q136" s="6">
        <v>15.998522721428317</v>
      </c>
      <c r="R136" s="6"/>
    </row>
    <row r="137" spans="2:18" x14ac:dyDescent="0.2">
      <c r="B137" t="s">
        <v>81</v>
      </c>
      <c r="C137" s="6">
        <v>10.301164992508291</v>
      </c>
      <c r="D137">
        <f t="shared" si="8"/>
        <v>15</v>
      </c>
      <c r="I137" t="s">
        <v>81</v>
      </c>
      <c r="J137" s="6">
        <v>14.399901939158848</v>
      </c>
      <c r="P137" t="s">
        <v>81</v>
      </c>
      <c r="Q137" s="6">
        <v>15.59852272142837</v>
      </c>
      <c r="R137" s="6"/>
    </row>
    <row r="138" spans="2:18" x14ac:dyDescent="0.2">
      <c r="B138" t="s">
        <v>103</v>
      </c>
      <c r="C138" s="6">
        <v>9.5011649925082633</v>
      </c>
      <c r="D138">
        <f t="shared" si="8"/>
        <v>15</v>
      </c>
      <c r="I138" t="s">
        <v>103</v>
      </c>
      <c r="J138" s="6">
        <v>13.599901939158853</v>
      </c>
      <c r="P138" t="s">
        <v>103</v>
      </c>
      <c r="Q138" s="6">
        <v>14.798522721428347</v>
      </c>
      <c r="R138" s="6"/>
    </row>
    <row r="139" spans="2:18" x14ac:dyDescent="0.2">
      <c r="B139" t="s">
        <v>72</v>
      </c>
      <c r="C139" s="6">
        <v>11.701164992508284</v>
      </c>
      <c r="D139">
        <f t="shared" si="8"/>
        <v>15.799901939158838</v>
      </c>
      <c r="I139" t="s">
        <v>72</v>
      </c>
      <c r="J139" s="6">
        <v>15.799901939158838</v>
      </c>
      <c r="P139" t="s">
        <v>72</v>
      </c>
      <c r="Q139" s="6">
        <v>16.998522721428404</v>
      </c>
      <c r="R139" s="6"/>
    </row>
    <row r="140" spans="2:18" x14ac:dyDescent="0.2">
      <c r="B140" t="s">
        <v>66</v>
      </c>
      <c r="C140" s="6">
        <v>10.301164992508273</v>
      </c>
      <c r="D140">
        <f t="shared" si="8"/>
        <v>15</v>
      </c>
      <c r="I140" t="s">
        <v>66</v>
      </c>
      <c r="J140" s="6">
        <v>14.399901939158852</v>
      </c>
      <c r="P140" t="s">
        <v>66</v>
      </c>
      <c r="Q140" s="6">
        <v>15.598522721428374</v>
      </c>
      <c r="R140" s="6"/>
    </row>
    <row r="141" spans="2:18" x14ac:dyDescent="0.2">
      <c r="B141" t="s">
        <v>172</v>
      </c>
      <c r="C141" s="6">
        <v>12.501288800000026</v>
      </c>
      <c r="D141">
        <f t="shared" si="8"/>
        <v>16.599948000000015</v>
      </c>
      <c r="I141" t="s">
        <v>172</v>
      </c>
      <c r="J141" s="6">
        <v>16.599948000000015</v>
      </c>
      <c r="P141" t="s">
        <v>172</v>
      </c>
      <c r="Q141" s="6">
        <v>17.798545600000033</v>
      </c>
      <c r="R141" s="6"/>
    </row>
    <row r="142" spans="2:18" x14ac:dyDescent="0.2">
      <c r="B142" t="s">
        <v>199</v>
      </c>
      <c r="C142" s="6">
        <v>18.001370333333305</v>
      </c>
      <c r="D142">
        <f t="shared" si="8"/>
        <v>22.099978333333333</v>
      </c>
      <c r="I142" t="s">
        <v>199</v>
      </c>
      <c r="J142" s="6">
        <v>22.099978333333333</v>
      </c>
      <c r="P142" t="s">
        <v>199</v>
      </c>
      <c r="Q142" s="6">
        <v>23.298560666666681</v>
      </c>
      <c r="R142" s="6"/>
    </row>
    <row r="143" spans="2:18" x14ac:dyDescent="0.2">
      <c r="B143" t="s">
        <v>31</v>
      </c>
      <c r="C143" s="6">
        <v>14.401164992508297</v>
      </c>
      <c r="D143">
        <f t="shared" si="8"/>
        <v>18.499901939158871</v>
      </c>
      <c r="I143" t="s">
        <v>31</v>
      </c>
      <c r="J143" s="6">
        <v>18.499901939158871</v>
      </c>
      <c r="P143" t="s">
        <v>31</v>
      </c>
      <c r="Q143" s="6">
        <v>19.69852272142835</v>
      </c>
      <c r="R143" s="6"/>
    </row>
    <row r="144" spans="2:18" x14ac:dyDescent="0.2">
      <c r="B144" t="s">
        <v>184</v>
      </c>
      <c r="C144" s="6">
        <v>11.301288800000041</v>
      </c>
      <c r="D144">
        <f t="shared" si="8"/>
        <v>15.399948000000013</v>
      </c>
      <c r="I144" t="s">
        <v>184</v>
      </c>
      <c r="J144" s="6">
        <v>15.399948000000013</v>
      </c>
      <c r="P144" t="s">
        <v>184</v>
      </c>
      <c r="Q144" s="6">
        <v>16.598545600000062</v>
      </c>
      <c r="R144" s="6"/>
    </row>
    <row r="145" spans="2:18" x14ac:dyDescent="0.2">
      <c r="B145" t="s">
        <v>24</v>
      </c>
      <c r="C145" s="6">
        <v>15.701164992508302</v>
      </c>
      <c r="D145">
        <f t="shared" si="8"/>
        <v>19.79990193915884</v>
      </c>
      <c r="I145" t="s">
        <v>24</v>
      </c>
      <c r="J145" s="6">
        <v>19.79990193915884</v>
      </c>
      <c r="P145" t="s">
        <v>24</v>
      </c>
      <c r="Q145" s="6">
        <v>20.998522721428358</v>
      </c>
      <c r="R145" s="6"/>
    </row>
    <row r="146" spans="2:18" x14ac:dyDescent="0.2">
      <c r="B146" t="s">
        <v>129</v>
      </c>
      <c r="C146" s="6">
        <v>13.401164992508274</v>
      </c>
      <c r="D146">
        <f t="shared" si="8"/>
        <v>17.499901939158839</v>
      </c>
      <c r="I146" t="s">
        <v>129</v>
      </c>
      <c r="J146" s="6">
        <v>17.499901939158839</v>
      </c>
      <c r="P146" t="s">
        <v>129</v>
      </c>
      <c r="Q146" s="6">
        <v>18.698522721428372</v>
      </c>
      <c r="R146" s="6"/>
    </row>
    <row r="147" spans="2:18" x14ac:dyDescent="0.2">
      <c r="B147" t="s">
        <v>168</v>
      </c>
      <c r="C147" s="6">
        <v>18.901288800000014</v>
      </c>
      <c r="D147">
        <f t="shared" si="8"/>
        <v>22.999948</v>
      </c>
      <c r="I147" t="s">
        <v>168</v>
      </c>
      <c r="J147" s="6">
        <v>22.999948</v>
      </c>
      <c r="P147" t="s">
        <v>168</v>
      </c>
      <c r="Q147" s="6">
        <v>24.198545599999971</v>
      </c>
      <c r="R147" s="6"/>
    </row>
    <row r="148" spans="2:18" x14ac:dyDescent="0.2">
      <c r="B148" t="s">
        <v>189</v>
      </c>
      <c r="C148" s="6">
        <v>17.401370333333318</v>
      </c>
      <c r="D148">
        <f t="shared" si="8"/>
        <v>21.49997833333336</v>
      </c>
      <c r="I148" t="s">
        <v>189</v>
      </c>
      <c r="J148" s="6">
        <v>21.49997833333336</v>
      </c>
      <c r="P148" t="s">
        <v>189</v>
      </c>
      <c r="Q148" s="6">
        <v>22.69856066666668</v>
      </c>
      <c r="R148" s="6"/>
    </row>
    <row r="149" spans="2:18" x14ac:dyDescent="0.2">
      <c r="B149" t="s">
        <v>57</v>
      </c>
      <c r="C149" s="6">
        <v>12.801164992508285</v>
      </c>
      <c r="D149">
        <f t="shared" si="8"/>
        <v>16.899901939158845</v>
      </c>
      <c r="I149" t="s">
        <v>57</v>
      </c>
      <c r="J149" s="6">
        <v>16.899901939158845</v>
      </c>
      <c r="P149" t="s">
        <v>57</v>
      </c>
      <c r="Q149" s="6">
        <v>18.09852272142836</v>
      </c>
      <c r="R149" s="6"/>
    </row>
    <row r="150" spans="2:18" x14ac:dyDescent="0.2">
      <c r="B150" t="s">
        <v>70</v>
      </c>
      <c r="C150" s="6">
        <v>10.8011649925083</v>
      </c>
      <c r="D150">
        <f t="shared" si="8"/>
        <v>15</v>
      </c>
      <c r="I150" t="s">
        <v>70</v>
      </c>
      <c r="J150" s="6">
        <v>14.899901939158847</v>
      </c>
      <c r="P150" t="s">
        <v>70</v>
      </c>
      <c r="Q150" s="6">
        <v>16.098522721428306</v>
      </c>
      <c r="R150" s="6"/>
    </row>
    <row r="151" spans="2:18" x14ac:dyDescent="0.2">
      <c r="B151" t="s">
        <v>165</v>
      </c>
      <c r="C151" s="6">
        <v>12.701164992508279</v>
      </c>
      <c r="D151">
        <f t="shared" si="8"/>
        <v>16.799901939158858</v>
      </c>
      <c r="I151" t="s">
        <v>165</v>
      </c>
      <c r="J151" s="6">
        <v>16.799901939158858</v>
      </c>
      <c r="P151" t="s">
        <v>165</v>
      </c>
      <c r="Q151" s="6">
        <v>17.998522721428362</v>
      </c>
      <c r="R151" s="6"/>
    </row>
    <row r="152" spans="2:18" x14ac:dyDescent="0.2">
      <c r="B152" t="s">
        <v>94</v>
      </c>
      <c r="C152" s="6">
        <v>10.201164992508296</v>
      </c>
      <c r="D152">
        <f t="shared" si="8"/>
        <v>15</v>
      </c>
      <c r="I152" t="s">
        <v>94</v>
      </c>
      <c r="J152" s="6">
        <v>14.299901939158843</v>
      </c>
      <c r="P152" t="s">
        <v>94</v>
      </c>
      <c r="Q152" s="6">
        <v>15.498522721428376</v>
      </c>
      <c r="R152" s="6"/>
    </row>
    <row r="153" spans="2:18" x14ac:dyDescent="0.2">
      <c r="B153" t="s">
        <v>163</v>
      </c>
      <c r="C153" s="6">
        <v>12.801164992508285</v>
      </c>
      <c r="D153">
        <f t="shared" si="8"/>
        <v>16.899901939158845</v>
      </c>
      <c r="I153" t="s">
        <v>163</v>
      </c>
      <c r="J153" s="6">
        <v>16.899901939158845</v>
      </c>
      <c r="P153" t="s">
        <v>163</v>
      </c>
      <c r="Q153" s="6">
        <v>18.09852272142836</v>
      </c>
      <c r="R153" s="6"/>
    </row>
    <row r="154" spans="2:18" x14ac:dyDescent="0.2">
      <c r="B154" t="s">
        <v>205</v>
      </c>
      <c r="C154" s="6">
        <v>16.701370333333315</v>
      </c>
      <c r="D154">
        <f t="shared" si="8"/>
        <v>20.799978333333325</v>
      </c>
      <c r="I154" t="s">
        <v>205</v>
      </c>
      <c r="J154" s="6">
        <v>20.799978333333325</v>
      </c>
      <c r="P154" t="s">
        <v>205</v>
      </c>
      <c r="Q154" s="6">
        <v>21.998560666666641</v>
      </c>
      <c r="R154" s="6"/>
    </row>
    <row r="155" spans="2:18" x14ac:dyDescent="0.2">
      <c r="B155" t="s">
        <v>187</v>
      </c>
      <c r="C155" s="6">
        <v>12.001288800000017</v>
      </c>
      <c r="D155">
        <f t="shared" si="8"/>
        <v>16.099948000000008</v>
      </c>
      <c r="I155" t="s">
        <v>187</v>
      </c>
      <c r="J155" s="6">
        <v>16.099948000000008</v>
      </c>
      <c r="P155" t="s">
        <v>187</v>
      </c>
      <c r="Q155" s="6">
        <v>17.298545600000004</v>
      </c>
      <c r="R155" s="6"/>
    </row>
    <row r="156" spans="2:18" x14ac:dyDescent="0.2">
      <c r="B156" t="s">
        <v>85</v>
      </c>
      <c r="C156" s="6">
        <v>14.601164992508293</v>
      </c>
      <c r="D156">
        <f t="shared" si="8"/>
        <v>18.699901939158842</v>
      </c>
      <c r="I156" t="s">
        <v>85</v>
      </c>
      <c r="J156" s="6">
        <v>18.699901939158842</v>
      </c>
      <c r="P156" t="s">
        <v>85</v>
      </c>
      <c r="Q156" s="6">
        <v>19.89852272142835</v>
      </c>
      <c r="R156" s="6"/>
    </row>
    <row r="157" spans="2:18" x14ac:dyDescent="0.2">
      <c r="B157" t="s">
        <v>182</v>
      </c>
      <c r="C157" s="6">
        <v>15.30128880000002</v>
      </c>
      <c r="D157">
        <f t="shared" si="8"/>
        <v>19.399948000000006</v>
      </c>
      <c r="I157" t="s">
        <v>182</v>
      </c>
      <c r="J157" s="6">
        <v>19.399948000000006</v>
      </c>
      <c r="P157" t="s">
        <v>182</v>
      </c>
      <c r="Q157" s="6">
        <v>20.598545600000033</v>
      </c>
      <c r="R157" s="6"/>
    </row>
    <row r="158" spans="2:18" x14ac:dyDescent="0.2">
      <c r="B158" t="s">
        <v>188</v>
      </c>
      <c r="C158" s="6">
        <v>10.501288800000005</v>
      </c>
      <c r="D158">
        <f t="shared" si="8"/>
        <v>15</v>
      </c>
      <c r="I158" t="s">
        <v>188</v>
      </c>
      <c r="J158" s="6">
        <v>14.599947999999992</v>
      </c>
      <c r="P158" t="s">
        <v>188</v>
      </c>
      <c r="Q158" s="6">
        <v>15.798545599999944</v>
      </c>
      <c r="R158" s="6"/>
    </row>
    <row r="159" spans="2:18" x14ac:dyDescent="0.2">
      <c r="B159" t="s">
        <v>42</v>
      </c>
      <c r="C159" s="6">
        <v>12.50116499250829</v>
      </c>
      <c r="D159">
        <f t="shared" si="8"/>
        <v>16.599901939158848</v>
      </c>
      <c r="I159" t="s">
        <v>42</v>
      </c>
      <c r="J159" s="6">
        <v>16.599901939158848</v>
      </c>
      <c r="P159" t="s">
        <v>42</v>
      </c>
      <c r="Q159" s="6">
        <v>17.798522721428355</v>
      </c>
      <c r="R159" s="6"/>
    </row>
    <row r="160" spans="2:18" x14ac:dyDescent="0.2">
      <c r="B160" t="s">
        <v>95</v>
      </c>
      <c r="C160" s="6">
        <v>9.2011649925082999</v>
      </c>
      <c r="D160">
        <f t="shared" si="8"/>
        <v>15</v>
      </c>
      <c r="I160" t="s">
        <v>95</v>
      </c>
      <c r="J160" s="6">
        <v>13.299901939158854</v>
      </c>
      <c r="P160" t="s">
        <v>95</v>
      </c>
      <c r="Q160" s="6">
        <v>14.498522721428348</v>
      </c>
      <c r="R160" s="6"/>
    </row>
    <row r="161" spans="2:18" x14ac:dyDescent="0.2">
      <c r="B161" t="s">
        <v>21</v>
      </c>
      <c r="C161" s="6">
        <v>15.301164992508285</v>
      </c>
      <c r="D161">
        <f t="shared" si="8"/>
        <v>19.399901939158823</v>
      </c>
      <c r="I161" t="s">
        <v>21</v>
      </c>
      <c r="J161" s="6">
        <v>19.399901939158823</v>
      </c>
      <c r="P161" t="s">
        <v>21</v>
      </c>
      <c r="Q161" s="6">
        <v>20.598522721428342</v>
      </c>
      <c r="R161" s="6"/>
    </row>
    <row r="162" spans="2:18" x14ac:dyDescent="0.2">
      <c r="B162" t="s">
        <v>108</v>
      </c>
      <c r="C162" s="6">
        <v>9.2011649925082928</v>
      </c>
      <c r="D162">
        <f t="shared" si="8"/>
        <v>15</v>
      </c>
      <c r="I162" t="s">
        <v>108</v>
      </c>
      <c r="J162" s="6">
        <v>13.299901939158845</v>
      </c>
      <c r="P162" t="s">
        <v>108</v>
      </c>
      <c r="Q162" s="6">
        <v>14.498522721428337</v>
      </c>
      <c r="R162" s="6"/>
    </row>
    <row r="163" spans="2:18" x14ac:dyDescent="0.2">
      <c r="B163" t="s">
        <v>64</v>
      </c>
      <c r="C163" s="6">
        <v>11.330164992508289</v>
      </c>
      <c r="D163">
        <f t="shared" si="8"/>
        <v>15.428901939158843</v>
      </c>
      <c r="I163" t="s">
        <v>64</v>
      </c>
      <c r="J163" s="6">
        <v>15.428901939158843</v>
      </c>
      <c r="P163" t="s">
        <v>64</v>
      </c>
      <c r="Q163" s="6">
        <v>16.627522721428317</v>
      </c>
      <c r="R163" s="6"/>
    </row>
    <row r="164" spans="2:18" x14ac:dyDescent="0.2">
      <c r="B164" t="s">
        <v>49</v>
      </c>
      <c r="C164" s="6">
        <v>11.501164992508299</v>
      </c>
      <c r="D164">
        <f t="shared" si="8"/>
        <v>15.599901939158858</v>
      </c>
      <c r="I164" t="s">
        <v>49</v>
      </c>
      <c r="J164" s="6">
        <v>15.599901939158858</v>
      </c>
      <c r="P164" t="s">
        <v>49</v>
      </c>
      <c r="Q164" s="6">
        <v>16.798522721428327</v>
      </c>
      <c r="R164" s="6"/>
    </row>
    <row r="165" spans="2:18" x14ac:dyDescent="0.2">
      <c r="B165" t="s">
        <v>97</v>
      </c>
      <c r="C165" s="6">
        <v>10.301164992508287</v>
      </c>
      <c r="D165">
        <f t="shared" si="8"/>
        <v>15</v>
      </c>
      <c r="I165" t="s">
        <v>97</v>
      </c>
      <c r="J165" s="6">
        <v>14.399901939158843</v>
      </c>
      <c r="P165" t="s">
        <v>97</v>
      </c>
      <c r="Q165" s="6">
        <v>15.598522721428363</v>
      </c>
      <c r="R165" s="6"/>
    </row>
    <row r="166" spans="2:18" x14ac:dyDescent="0.2">
      <c r="B166" t="s">
        <v>133</v>
      </c>
      <c r="C166" s="6">
        <v>12.401164992508292</v>
      </c>
      <c r="D166">
        <f t="shared" si="8"/>
        <v>16.49990193915885</v>
      </c>
      <c r="I166" t="s">
        <v>133</v>
      </c>
      <c r="J166" s="6">
        <v>16.49990193915885</v>
      </c>
      <c r="P166" t="s">
        <v>133</v>
      </c>
      <c r="Q166" s="6">
        <v>17.698522721428343</v>
      </c>
      <c r="R166" s="6"/>
    </row>
    <row r="167" spans="2:18" x14ac:dyDescent="0.2">
      <c r="B167" t="s">
        <v>51</v>
      </c>
      <c r="C167" s="6">
        <v>12.601164992508275</v>
      </c>
      <c r="D167">
        <f t="shared" si="8"/>
        <v>16.699901939158853</v>
      </c>
      <c r="I167" t="s">
        <v>51</v>
      </c>
      <c r="J167" s="6">
        <v>16.699901939158853</v>
      </c>
      <c r="P167" t="s">
        <v>51</v>
      </c>
      <c r="Q167" s="6">
        <v>17.89852272142836</v>
      </c>
      <c r="R167" s="6"/>
    </row>
    <row r="168" spans="2:18" x14ac:dyDescent="0.2">
      <c r="B168" t="s">
        <v>196</v>
      </c>
      <c r="C168" s="6">
        <v>15.601370333333321</v>
      </c>
      <c r="D168">
        <f t="shared" si="8"/>
        <v>19.699978333333341</v>
      </c>
      <c r="I168" t="s">
        <v>196</v>
      </c>
      <c r="J168" s="6">
        <v>19.699978333333341</v>
      </c>
      <c r="P168" t="s">
        <v>196</v>
      </c>
      <c r="Q168" s="6">
        <v>20.898560666666668</v>
      </c>
      <c r="R168" s="6"/>
    </row>
    <row r="169" spans="2:18" x14ac:dyDescent="0.2">
      <c r="B169" t="s">
        <v>203</v>
      </c>
      <c r="C169" s="6">
        <v>15.101370333333325</v>
      </c>
      <c r="D169">
        <f t="shared" si="8"/>
        <v>19.199978333333327</v>
      </c>
      <c r="I169" t="s">
        <v>203</v>
      </c>
      <c r="J169" s="6">
        <v>19.199978333333327</v>
      </c>
      <c r="P169" t="s">
        <v>203</v>
      </c>
      <c r="Q169" s="6">
        <v>20.398560666666704</v>
      </c>
      <c r="R169" s="6"/>
    </row>
    <row r="170" spans="2:18" x14ac:dyDescent="0.2">
      <c r="B170" t="s">
        <v>209</v>
      </c>
      <c r="C170" s="6">
        <v>17.401370333333318</v>
      </c>
      <c r="D170">
        <f t="shared" si="8"/>
        <v>21.49997833333336</v>
      </c>
      <c r="I170" t="s">
        <v>209</v>
      </c>
      <c r="J170" s="6">
        <v>21.49997833333336</v>
      </c>
      <c r="P170" t="s">
        <v>209</v>
      </c>
      <c r="Q170" s="6">
        <v>22.698560666666726</v>
      </c>
      <c r="R170" s="6"/>
    </row>
    <row r="171" spans="2:18" x14ac:dyDescent="0.2">
      <c r="B171" t="s">
        <v>181</v>
      </c>
      <c r="C171" s="6">
        <v>12.401288800000028</v>
      </c>
      <c r="D171">
        <f t="shared" si="8"/>
        <v>16.499948000000014</v>
      </c>
      <c r="I171" t="s">
        <v>181</v>
      </c>
      <c r="J171" s="6">
        <v>16.499948000000014</v>
      </c>
      <c r="P171" t="s">
        <v>181</v>
      </c>
      <c r="Q171" s="6">
        <v>17.698545599999999</v>
      </c>
      <c r="R171" s="6"/>
    </row>
    <row r="172" spans="2:18" x14ac:dyDescent="0.2">
      <c r="B172" t="s">
        <v>104</v>
      </c>
      <c r="C172" s="6">
        <v>10.00116499250827</v>
      </c>
      <c r="D172">
        <f t="shared" si="8"/>
        <v>15</v>
      </c>
      <c r="I172" t="s">
        <v>104</v>
      </c>
      <c r="J172" s="6">
        <v>14.099901939158858</v>
      </c>
      <c r="P172" t="s">
        <v>104</v>
      </c>
      <c r="Q172" s="6">
        <v>15.298522721428359</v>
      </c>
      <c r="R172" s="6"/>
    </row>
    <row r="173" spans="2:18" x14ac:dyDescent="0.2">
      <c r="B173" t="s">
        <v>80</v>
      </c>
      <c r="C173" s="6">
        <v>11.301164992508273</v>
      </c>
      <c r="D173">
        <f t="shared" si="8"/>
        <v>15.399901939158847</v>
      </c>
      <c r="I173" t="s">
        <v>80</v>
      </c>
      <c r="J173" s="6">
        <v>15.399901939158847</v>
      </c>
      <c r="P173" t="s">
        <v>80</v>
      </c>
      <c r="Q173" s="6">
        <v>16.598522721428314</v>
      </c>
      <c r="R173" s="6"/>
    </row>
    <row r="174" spans="2:18" x14ac:dyDescent="0.2">
      <c r="B174" t="s">
        <v>93</v>
      </c>
      <c r="C174" s="6">
        <v>10.501164992508301</v>
      </c>
      <c r="D174">
        <f t="shared" si="8"/>
        <v>15</v>
      </c>
      <c r="I174" t="s">
        <v>93</v>
      </c>
      <c r="J174" s="6">
        <v>14.599901939158856</v>
      </c>
      <c r="P174" t="s">
        <v>93</v>
      </c>
      <c r="Q174" s="6">
        <v>15.798522721428379</v>
      </c>
      <c r="R174" s="6"/>
    </row>
    <row r="175" spans="2:18" x14ac:dyDescent="0.2">
      <c r="B175" t="s">
        <v>78</v>
      </c>
      <c r="C175" s="6">
        <v>10.401164992508296</v>
      </c>
      <c r="D175">
        <f t="shared" si="8"/>
        <v>15</v>
      </c>
      <c r="I175" t="s">
        <v>78</v>
      </c>
      <c r="J175" s="6">
        <v>14.499901939158855</v>
      </c>
      <c r="P175" t="s">
        <v>78</v>
      </c>
      <c r="Q175" s="6">
        <v>15.69852272142839</v>
      </c>
      <c r="R175" s="6"/>
    </row>
    <row r="176" spans="2:18" x14ac:dyDescent="0.2">
      <c r="B176" t="s">
        <v>100</v>
      </c>
      <c r="C176" s="6">
        <v>12.801164992508285</v>
      </c>
      <c r="D176">
        <f t="shared" si="8"/>
        <v>16.899901939158845</v>
      </c>
      <c r="I176" t="s">
        <v>100</v>
      </c>
      <c r="J176" s="6">
        <v>16.899901939158845</v>
      </c>
      <c r="P176" t="s">
        <v>100</v>
      </c>
      <c r="Q176" s="6">
        <v>18.09852272142836</v>
      </c>
      <c r="R176" s="6"/>
    </row>
    <row r="177" spans="2:18" x14ac:dyDescent="0.2">
      <c r="B177" t="s">
        <v>69</v>
      </c>
      <c r="C177" s="6">
        <v>9.6011649925082878</v>
      </c>
      <c r="D177">
        <f t="shared" si="8"/>
        <v>15</v>
      </c>
      <c r="I177" t="s">
        <v>69</v>
      </c>
      <c r="J177" s="6">
        <v>13.699901939158851</v>
      </c>
      <c r="P177" t="s">
        <v>69</v>
      </c>
      <c r="Q177" s="6">
        <v>14.898522721428353</v>
      </c>
      <c r="R177" s="6"/>
    </row>
    <row r="178" spans="2:18" x14ac:dyDescent="0.2">
      <c r="B178" t="s">
        <v>16</v>
      </c>
      <c r="C178" s="6">
        <v>18.801164992508284</v>
      </c>
      <c r="D178">
        <f t="shared" si="8"/>
        <v>22.899901939158845</v>
      </c>
      <c r="I178" t="s">
        <v>16</v>
      </c>
      <c r="J178" s="6">
        <v>22.899901939158845</v>
      </c>
      <c r="P178" t="s">
        <v>16</v>
      </c>
      <c r="Q178" s="6">
        <v>24.09852272142836</v>
      </c>
      <c r="R178" s="6"/>
    </row>
    <row r="179" spans="2:18" x14ac:dyDescent="0.2">
      <c r="B179" t="s">
        <v>54</v>
      </c>
      <c r="C179" s="6">
        <v>11.501164992508306</v>
      </c>
      <c r="D179">
        <f t="shared" si="8"/>
        <v>15.599901939158856</v>
      </c>
      <c r="I179" t="s">
        <v>54</v>
      </c>
      <c r="J179" s="6">
        <v>15.599901939158856</v>
      </c>
      <c r="P179" t="s">
        <v>54</v>
      </c>
      <c r="Q179" s="6">
        <v>16.798522721428338</v>
      </c>
      <c r="R179" s="6"/>
    </row>
    <row r="180" spans="2:18" x14ac:dyDescent="0.2">
      <c r="B180" t="s">
        <v>194</v>
      </c>
      <c r="C180" s="6">
        <v>16.601370333333335</v>
      </c>
      <c r="D180">
        <f t="shared" si="8"/>
        <v>20.699978333333313</v>
      </c>
      <c r="I180" t="s">
        <v>194</v>
      </c>
      <c r="J180" s="6">
        <v>20.699978333333313</v>
      </c>
      <c r="P180" t="s">
        <v>194</v>
      </c>
      <c r="Q180" s="6">
        <v>21.898560666666622</v>
      </c>
      <c r="R180" s="6"/>
    </row>
    <row r="181" spans="2:18" x14ac:dyDescent="0.2">
      <c r="B181" t="s">
        <v>9</v>
      </c>
      <c r="C181" s="6">
        <v>16.10137033333331</v>
      </c>
      <c r="D181">
        <f t="shared" si="8"/>
        <v>20.199978333333338</v>
      </c>
      <c r="I181" t="s">
        <v>9</v>
      </c>
      <c r="J181" s="6">
        <v>20.199978333333338</v>
      </c>
      <c r="P181" t="s">
        <v>9</v>
      </c>
      <c r="Q181" s="6">
        <v>21.398560666666704</v>
      </c>
      <c r="R181" s="6"/>
    </row>
    <row r="182" spans="2:18" x14ac:dyDescent="0.2">
      <c r="B182" t="s">
        <v>195</v>
      </c>
      <c r="C182" s="6">
        <v>18.201370333333315</v>
      </c>
      <c r="D182">
        <f t="shared" si="8"/>
        <v>22.299978333333332</v>
      </c>
      <c r="I182" t="s">
        <v>195</v>
      </c>
      <c r="J182" s="6">
        <v>22.299978333333332</v>
      </c>
      <c r="P182" t="s">
        <v>195</v>
      </c>
      <c r="Q182" s="6">
        <v>23.498560666666727</v>
      </c>
      <c r="R182" s="6"/>
    </row>
    <row r="183" spans="2:18" x14ac:dyDescent="0.2">
      <c r="B183" t="s">
        <v>191</v>
      </c>
      <c r="C183" s="6">
        <v>18.201370333333315</v>
      </c>
      <c r="D183">
        <f t="shared" si="8"/>
        <v>22.299978333333332</v>
      </c>
      <c r="I183" t="s">
        <v>191</v>
      </c>
      <c r="J183" s="6">
        <v>22.299978333333332</v>
      </c>
      <c r="P183" t="s">
        <v>191</v>
      </c>
      <c r="Q183" s="6">
        <v>23.498560666666716</v>
      </c>
      <c r="R183" s="6"/>
    </row>
    <row r="184" spans="2:18" x14ac:dyDescent="0.2">
      <c r="B184" t="s">
        <v>20</v>
      </c>
      <c r="C184" s="6">
        <v>14.901164992508276</v>
      </c>
      <c r="D184">
        <f t="shared" si="8"/>
        <v>18.99990193915885</v>
      </c>
      <c r="I184" t="s">
        <v>20</v>
      </c>
      <c r="J184" s="6">
        <v>18.99990193915885</v>
      </c>
      <c r="P184" t="s">
        <v>20</v>
      </c>
      <c r="Q184" s="6">
        <v>20.198522721428343</v>
      </c>
      <c r="R184" s="6"/>
    </row>
    <row r="185" spans="2:18" x14ac:dyDescent="0.2">
      <c r="B185" t="s">
        <v>113</v>
      </c>
      <c r="C185" s="6">
        <v>10.201164992508296</v>
      </c>
      <c r="D185">
        <f t="shared" si="8"/>
        <v>15</v>
      </c>
      <c r="I185" t="s">
        <v>113</v>
      </c>
      <c r="J185" s="6">
        <v>14.299901939158843</v>
      </c>
      <c r="P185" t="s">
        <v>113</v>
      </c>
      <c r="Q185" s="6">
        <v>15.498522721428376</v>
      </c>
      <c r="R185" s="6"/>
    </row>
    <row r="186" spans="2:18" x14ac:dyDescent="0.2">
      <c r="B186" t="s">
        <v>60</v>
      </c>
      <c r="C186" s="6">
        <v>12.001164992508278</v>
      </c>
      <c r="D186">
        <f t="shared" si="8"/>
        <v>16.099901939158844</v>
      </c>
      <c r="I186" t="s">
        <v>60</v>
      </c>
      <c r="J186" s="6">
        <v>16.099901939158844</v>
      </c>
      <c r="P186" t="s">
        <v>60</v>
      </c>
      <c r="Q186" s="6">
        <v>17.298522721428345</v>
      </c>
      <c r="R186" s="6"/>
    </row>
    <row r="187" spans="2:18" x14ac:dyDescent="0.2">
      <c r="B187" t="s">
        <v>122</v>
      </c>
      <c r="C187" s="6">
        <v>9.0011649925082899</v>
      </c>
      <c r="D187">
        <f t="shared" si="8"/>
        <v>15</v>
      </c>
      <c r="I187" t="s">
        <v>122</v>
      </c>
      <c r="J187" s="6">
        <v>13.09990193915886</v>
      </c>
      <c r="P187" t="s">
        <v>122</v>
      </c>
      <c r="Q187" s="6">
        <v>14.298522721428331</v>
      </c>
      <c r="R187" s="6"/>
    </row>
    <row r="188" spans="2:18" x14ac:dyDescent="0.2">
      <c r="B188" t="s">
        <v>180</v>
      </c>
      <c r="C188" s="6">
        <v>12.901288800000017</v>
      </c>
      <c r="D188">
        <f t="shared" si="8"/>
        <v>16.999948000000003</v>
      </c>
      <c r="I188" t="s">
        <v>180</v>
      </c>
      <c r="J188" s="6">
        <v>16.999948000000003</v>
      </c>
      <c r="P188" t="s">
        <v>180</v>
      </c>
      <c r="Q188" s="6">
        <v>18.198545599999981</v>
      </c>
      <c r="R188" s="6"/>
    </row>
    <row r="189" spans="2:18" x14ac:dyDescent="0.2">
      <c r="B189" t="s">
        <v>35</v>
      </c>
      <c r="C189" s="6">
        <v>11.301164992508284</v>
      </c>
      <c r="D189">
        <f t="shared" si="8"/>
        <v>15.39990193915885</v>
      </c>
      <c r="I189" t="s">
        <v>35</v>
      </c>
      <c r="J189" s="6">
        <v>15.39990193915885</v>
      </c>
      <c r="P189" t="s">
        <v>35</v>
      </c>
      <c r="Q189" s="6">
        <v>16.598522721428317</v>
      </c>
      <c r="R189" s="6"/>
    </row>
    <row r="190" spans="2:18" x14ac:dyDescent="0.2">
      <c r="B190" t="s">
        <v>169</v>
      </c>
      <c r="C190" s="6">
        <v>13.101288800000017</v>
      </c>
      <c r="D190">
        <f t="shared" si="8"/>
        <v>17.199947999999999</v>
      </c>
      <c r="I190" t="s">
        <v>169</v>
      </c>
      <c r="J190" s="6">
        <v>17.199947999999999</v>
      </c>
      <c r="P190" t="s">
        <v>169</v>
      </c>
      <c r="Q190" s="6">
        <v>18.398545599999942</v>
      </c>
      <c r="R190" s="6"/>
    </row>
    <row r="191" spans="2:18" x14ac:dyDescent="0.2">
      <c r="B191" t="s">
        <v>206</v>
      </c>
      <c r="C191" s="6">
        <v>13.901370333333313</v>
      </c>
      <c r="D191">
        <f t="shared" si="8"/>
        <v>17.999978333333328</v>
      </c>
      <c r="I191" t="s">
        <v>206</v>
      </c>
      <c r="J191" s="6">
        <v>17.999978333333328</v>
      </c>
      <c r="P191" t="s">
        <v>206</v>
      </c>
      <c r="Q191" s="6">
        <v>19.198560666666662</v>
      </c>
      <c r="R191" s="6"/>
    </row>
    <row r="192" spans="2:18" x14ac:dyDescent="0.2">
      <c r="B192" t="s">
        <v>36</v>
      </c>
      <c r="C192" s="6">
        <v>11.701164992508279</v>
      </c>
      <c r="D192">
        <f t="shared" si="8"/>
        <v>15.79990193915885</v>
      </c>
      <c r="I192" t="s">
        <v>36</v>
      </c>
      <c r="J192" s="6">
        <v>15.79990193915885</v>
      </c>
      <c r="P192" t="s">
        <v>36</v>
      </c>
      <c r="Q192" s="6">
        <v>16.998522721428341</v>
      </c>
      <c r="R192" s="6"/>
    </row>
    <row r="193" spans="2:18" x14ac:dyDescent="0.2">
      <c r="B193" t="s">
        <v>65</v>
      </c>
      <c r="C193" s="6">
        <v>13.401164992508285</v>
      </c>
      <c r="D193">
        <f t="shared" si="8"/>
        <v>17.499901939158846</v>
      </c>
      <c r="I193" t="s">
        <v>65</v>
      </c>
      <c r="J193" s="6">
        <v>17.499901939158846</v>
      </c>
      <c r="P193" t="s">
        <v>65</v>
      </c>
      <c r="Q193" s="6">
        <v>18.698522721428379</v>
      </c>
      <c r="R193" s="6"/>
    </row>
    <row r="194" spans="2:18" x14ac:dyDescent="0.2">
      <c r="B194" t="s">
        <v>56</v>
      </c>
      <c r="C194" s="6">
        <v>11.501164992508299</v>
      </c>
      <c r="D194">
        <f t="shared" si="8"/>
        <v>15.599901939158858</v>
      </c>
      <c r="I194" t="s">
        <v>56</v>
      </c>
      <c r="J194" s="6">
        <v>15.599901939158858</v>
      </c>
      <c r="P194" t="s">
        <v>56</v>
      </c>
      <c r="Q194" s="6">
        <v>16.798522721428327</v>
      </c>
      <c r="R194" s="6"/>
    </row>
    <row r="195" spans="2:18" x14ac:dyDescent="0.2">
      <c r="B195" t="s">
        <v>73</v>
      </c>
      <c r="C195" s="6">
        <v>11.901164992508283</v>
      </c>
      <c r="D195">
        <f t="shared" si="8"/>
        <v>15.999901939158841</v>
      </c>
      <c r="I195" t="s">
        <v>73</v>
      </c>
      <c r="J195" s="6">
        <v>15.999901939158841</v>
      </c>
      <c r="M195">
        <f>LOG(150000)</f>
        <v>5.1760912590556813</v>
      </c>
      <c r="P195" t="s">
        <v>73</v>
      </c>
      <c r="Q195" s="6">
        <v>17.198522721428343</v>
      </c>
      <c r="R195" s="6"/>
    </row>
    <row r="196" spans="2:18" x14ac:dyDescent="0.2">
      <c r="B196" t="s">
        <v>86</v>
      </c>
      <c r="C196" s="6">
        <v>10.501164992508301</v>
      </c>
      <c r="D196">
        <f t="shared" si="8"/>
        <v>15</v>
      </c>
      <c r="I196" t="s">
        <v>86</v>
      </c>
      <c r="J196" s="6">
        <v>14.599901939158856</v>
      </c>
      <c r="P196" t="s">
        <v>86</v>
      </c>
      <c r="Q196" s="6">
        <v>15.798522721428379</v>
      </c>
      <c r="R196" s="6"/>
    </row>
    <row r="197" spans="2:18" x14ac:dyDescent="0.2">
      <c r="B197" t="s">
        <v>28</v>
      </c>
      <c r="C197" s="6">
        <v>14.801164992508294</v>
      </c>
      <c r="D197">
        <f t="shared" si="8"/>
        <v>18.899901939158852</v>
      </c>
      <c r="I197" t="s">
        <v>28</v>
      </c>
      <c r="J197" s="6">
        <v>18.899901939158852</v>
      </c>
      <c r="P197" t="s">
        <v>28</v>
      </c>
      <c r="Q197" s="6">
        <v>20.098522721428346</v>
      </c>
      <c r="R197" s="6"/>
    </row>
    <row r="198" spans="2:18" x14ac:dyDescent="0.2">
      <c r="B198" t="s">
        <v>105</v>
      </c>
      <c r="C198" s="6">
        <v>10.501164992508301</v>
      </c>
      <c r="D198">
        <f t="shared" si="8"/>
        <v>15</v>
      </c>
      <c r="I198" t="s">
        <v>105</v>
      </c>
      <c r="J198" s="6">
        <v>14.599901939158856</v>
      </c>
      <c r="P198" t="s">
        <v>105</v>
      </c>
      <c r="Q198" s="6">
        <v>15.798522721428379</v>
      </c>
      <c r="R198" s="6"/>
    </row>
    <row r="199" spans="2:18" x14ac:dyDescent="0.2">
      <c r="B199" t="s">
        <v>197</v>
      </c>
      <c r="C199" s="6">
        <v>15.901370333333293</v>
      </c>
      <c r="D199">
        <f t="shared" ref="D199:D205" si="9">IF(J199&lt;15,15,J199)</f>
        <v>19.999978333333331</v>
      </c>
      <c r="I199" t="s">
        <v>197</v>
      </c>
      <c r="J199" s="6">
        <v>19.999978333333331</v>
      </c>
      <c r="P199" t="s">
        <v>197</v>
      </c>
      <c r="Q199" s="6">
        <v>21.198560666666648</v>
      </c>
      <c r="R199" s="6"/>
    </row>
    <row r="200" spans="2:18" x14ac:dyDescent="0.2">
      <c r="B200" t="s">
        <v>202</v>
      </c>
      <c r="C200" s="6">
        <v>14.901370333333327</v>
      </c>
      <c r="D200">
        <f t="shared" si="9"/>
        <v>18.999978333333356</v>
      </c>
      <c r="I200" t="s">
        <v>202</v>
      </c>
      <c r="J200" s="6">
        <v>18.999978333333356</v>
      </c>
      <c r="P200" t="s">
        <v>202</v>
      </c>
      <c r="Q200" s="6">
        <v>20.198560666666552</v>
      </c>
      <c r="R200" s="6"/>
    </row>
    <row r="201" spans="2:18" x14ac:dyDescent="0.2">
      <c r="B201" t="s">
        <v>170</v>
      </c>
      <c r="C201" s="6">
        <v>13.601288800000029</v>
      </c>
      <c r="D201">
        <f t="shared" si="9"/>
        <v>17.699948000000028</v>
      </c>
      <c r="I201" t="s">
        <v>170</v>
      </c>
      <c r="J201" s="6">
        <v>17.699948000000028</v>
      </c>
      <c r="P201" t="s">
        <v>170</v>
      </c>
      <c r="Q201" s="6">
        <v>18.898545600000048</v>
      </c>
      <c r="R201" s="6"/>
    </row>
    <row r="202" spans="2:18" x14ac:dyDescent="0.2">
      <c r="B202" t="s">
        <v>167</v>
      </c>
      <c r="C202" s="6">
        <v>16.001288800000001</v>
      </c>
      <c r="D202">
        <f t="shared" si="9"/>
        <v>20.099948000000015</v>
      </c>
      <c r="I202" t="s">
        <v>167</v>
      </c>
      <c r="J202" s="6">
        <v>20.099948000000015</v>
      </c>
      <c r="P202" t="s">
        <v>167</v>
      </c>
      <c r="Q202" s="6">
        <v>21.298545600000036</v>
      </c>
      <c r="R202" s="6"/>
    </row>
    <row r="203" spans="2:18" x14ac:dyDescent="0.2">
      <c r="B203" t="s">
        <v>198</v>
      </c>
      <c r="C203" s="6">
        <v>19.301370333333328</v>
      </c>
      <c r="D203">
        <f t="shared" si="9"/>
        <v>23.399978333333326</v>
      </c>
      <c r="I203" t="s">
        <v>198</v>
      </c>
      <c r="J203" s="6">
        <v>23.399978333333326</v>
      </c>
      <c r="P203" t="s">
        <v>198</v>
      </c>
      <c r="Q203" s="6">
        <v>24.598560666666732</v>
      </c>
      <c r="R203" s="6"/>
    </row>
    <row r="204" spans="2:18" x14ac:dyDescent="0.2">
      <c r="B204" t="s">
        <v>207</v>
      </c>
      <c r="C204" s="6">
        <v>17.301370333333317</v>
      </c>
      <c r="D204">
        <f t="shared" si="9"/>
        <v>21.399978333333333</v>
      </c>
      <c r="I204" t="s">
        <v>207</v>
      </c>
      <c r="J204" s="6">
        <v>21.399978333333333</v>
      </c>
      <c r="P204" t="s">
        <v>207</v>
      </c>
      <c r="Q204" s="6">
        <v>22.598560666666728</v>
      </c>
      <c r="R204" s="6"/>
    </row>
    <row r="205" spans="2:18" x14ac:dyDescent="0.2">
      <c r="B205" t="s">
        <v>171</v>
      </c>
      <c r="C205" s="6">
        <v>14.501288800000019</v>
      </c>
      <c r="D205">
        <f t="shared" si="9"/>
        <v>18.599947999999987</v>
      </c>
      <c r="I205" t="s">
        <v>171</v>
      </c>
      <c r="J205" s="6">
        <v>18.599947999999987</v>
      </c>
      <c r="P205" t="s">
        <v>171</v>
      </c>
      <c r="Q205" s="6">
        <v>19.798545600000015</v>
      </c>
      <c r="R205" s="6"/>
    </row>
    <row r="207" spans="2:18" x14ac:dyDescent="0.2">
      <c r="Q207" s="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62017-64A0-4C3E-9F03-B4DC4142CC62}">
  <sheetPr codeName="Sheet5"/>
  <dimension ref="A2:BG247"/>
  <sheetViews>
    <sheetView tabSelected="1" zoomScale="70" zoomScaleNormal="70" workbookViewId="0">
      <pane ySplit="19" topLeftCell="A20" activePane="bottomLeft" state="frozen"/>
      <selection pane="bottomLeft" activeCell="T9" sqref="T9"/>
    </sheetView>
  </sheetViews>
  <sheetFormatPr defaultRowHeight="12.75" x14ac:dyDescent="0.2"/>
  <cols>
    <col min="1" max="19" width="9.140625" style="8"/>
    <col min="20" max="20" width="9.140625" style="3"/>
    <col min="21" max="30" width="9.140625" style="8"/>
    <col min="31" max="31" width="10.28515625" style="8" bestFit="1" customWidth="1"/>
    <col min="32" max="32" width="11.28515625" style="8" bestFit="1" customWidth="1"/>
    <col min="33" max="33" width="16" style="8" bestFit="1" customWidth="1"/>
    <col min="34" max="34" width="11.28515625" style="8" bestFit="1" customWidth="1"/>
    <col min="35" max="35" width="16" style="8" bestFit="1" customWidth="1"/>
    <col min="36" max="36" width="11.28515625" style="8" bestFit="1" customWidth="1"/>
    <col min="37" max="37" width="16" style="8" bestFit="1" customWidth="1"/>
    <col min="38" max="49" width="9.140625" style="8"/>
    <col min="50" max="54" width="16" style="8" customWidth="1"/>
    <col min="55" max="55" width="18.5703125" style="8" bestFit="1" customWidth="1"/>
    <col min="56" max="56" width="18.5703125" style="8" customWidth="1"/>
    <col min="57" max="16384" width="9.140625" style="8"/>
  </cols>
  <sheetData>
    <row r="2" spans="1:59" x14ac:dyDescent="0.2">
      <c r="A2" s="8" t="s">
        <v>212</v>
      </c>
      <c r="B2" s="8" t="s">
        <v>472</v>
      </c>
      <c r="K2" s="8" t="s">
        <v>385</v>
      </c>
      <c r="AE2" s="8" t="s">
        <v>385</v>
      </c>
      <c r="AF2" s="9">
        <f t="shared" ref="AF2:AK2" ca="1" si="0">MEDIAN(AF$20:AF$219)</f>
        <v>15</v>
      </c>
      <c r="AG2" s="9">
        <f t="shared" ca="1" si="0"/>
        <v>15</v>
      </c>
      <c r="AH2" s="9">
        <f t="shared" ca="1" si="0"/>
        <v>19</v>
      </c>
      <c r="AI2" s="9">
        <f t="shared" ca="1" si="0"/>
        <v>19</v>
      </c>
      <c r="AJ2" s="9">
        <f t="shared" ca="1" si="0"/>
        <v>19</v>
      </c>
      <c r="AK2" s="9">
        <f t="shared" ca="1" si="0"/>
        <v>19</v>
      </c>
      <c r="AX2" s="9">
        <f t="shared" ref="AX2:BC2" ca="1" si="1">MEDIAN(AX$20:AX$219)</f>
        <v>1.5</v>
      </c>
      <c r="AY2" s="9">
        <f t="shared" ca="1" si="1"/>
        <v>1.5</v>
      </c>
      <c r="AZ2" s="9">
        <f t="shared" ca="1" si="1"/>
        <v>1.9</v>
      </c>
      <c r="BA2" s="9">
        <f t="shared" ca="1" si="1"/>
        <v>1.9</v>
      </c>
      <c r="BB2" s="9">
        <f t="shared" ca="1" si="1"/>
        <v>1.9</v>
      </c>
      <c r="BC2" s="9">
        <f t="shared" ca="1" si="1"/>
        <v>1.9</v>
      </c>
      <c r="BD2" s="9"/>
    </row>
    <row r="3" spans="1:59" x14ac:dyDescent="0.2">
      <c r="A3" s="8" t="s">
        <v>213</v>
      </c>
      <c r="B3" s="8" t="s">
        <v>428</v>
      </c>
      <c r="K3" s="8" t="s">
        <v>386</v>
      </c>
      <c r="N3" s="8">
        <f t="shared" ref="N3" si="2">AVERAGE(N$20:N$219)</f>
        <v>90.818790000000007</v>
      </c>
      <c r="AE3" s="8" t="s">
        <v>386</v>
      </c>
      <c r="AF3" s="9">
        <f t="shared" ref="AF3:AK3" ca="1" si="3">AVERAGE(AF$20:AF$219)</f>
        <v>15.621500000000001</v>
      </c>
      <c r="AG3" s="9">
        <f t="shared" ca="1" si="3"/>
        <v>15.621500000000001</v>
      </c>
      <c r="AH3" s="9">
        <f t="shared" ca="1" si="3"/>
        <v>18.56495</v>
      </c>
      <c r="AI3" s="9">
        <f t="shared" ca="1" si="3"/>
        <v>18.562000000000001</v>
      </c>
      <c r="AJ3" s="9">
        <f t="shared" ca="1" si="3"/>
        <v>19.761999999999997</v>
      </c>
      <c r="AK3" s="9">
        <f t="shared" ca="1" si="3"/>
        <v>19.761999999999997</v>
      </c>
      <c r="AX3" s="9">
        <f t="shared" ref="AX3:BG3" ca="1" si="4">AVERAGE(AX$20:AX$219)</f>
        <v>1.5343073593073588</v>
      </c>
      <c r="AY3" s="9">
        <f t="shared" ca="1" si="4"/>
        <v>1.5343073593073588</v>
      </c>
      <c r="AZ3" s="9">
        <f t="shared" ca="1" si="4"/>
        <v>1.8224701298701289</v>
      </c>
      <c r="BA3" s="9">
        <f t="shared" ca="1" si="4"/>
        <v>1.8221796536796526</v>
      </c>
      <c r="BB3" s="9">
        <f t="shared" ca="1" si="4"/>
        <v>1.9401779220779196</v>
      </c>
      <c r="BC3" s="9">
        <f t="shared" ca="1" si="4"/>
        <v>1.9401779220779196</v>
      </c>
      <c r="BD3" s="9"/>
      <c r="BE3" s="9">
        <f t="shared" ca="1" si="4"/>
        <v>0</v>
      </c>
      <c r="BF3" s="9">
        <f t="shared" ca="1" si="4"/>
        <v>-2.9500000000000082E-3</v>
      </c>
      <c r="BG3" s="9">
        <f t="shared" ca="1" si="4"/>
        <v>0</v>
      </c>
    </row>
    <row r="4" spans="1:59" x14ac:dyDescent="0.2">
      <c r="K4" s="8" t="s">
        <v>429</v>
      </c>
      <c r="N4" s="8">
        <f t="shared" ref="N4" si="5">MAX(N$20:N$219)</f>
        <v>107.1</v>
      </c>
      <c r="AE4" s="8" t="s">
        <v>387</v>
      </c>
      <c r="AF4" s="9">
        <f t="shared" ref="AF4:AK4" ca="1" si="6">MAX(AF$20:AF$219)</f>
        <v>19.3</v>
      </c>
      <c r="AG4" s="9">
        <f t="shared" ca="1" si="6"/>
        <v>19.3</v>
      </c>
      <c r="AH4" s="9">
        <f t="shared" ca="1" si="6"/>
        <v>23.4</v>
      </c>
      <c r="AI4" s="9">
        <f t="shared" ca="1" si="6"/>
        <v>23.4</v>
      </c>
      <c r="AJ4" s="9">
        <f t="shared" ca="1" si="6"/>
        <v>24.6</v>
      </c>
      <c r="AK4" s="9">
        <f t="shared" ca="1" si="6"/>
        <v>24.6</v>
      </c>
      <c r="AX4" s="9">
        <f t="shared" ref="AX4:BG4" ca="1" si="7">MAX(AX$20:AX$219)</f>
        <v>1.9</v>
      </c>
      <c r="AY4" s="9">
        <f t="shared" ca="1" si="7"/>
        <v>1.9</v>
      </c>
      <c r="AZ4" s="9">
        <f t="shared" ca="1" si="7"/>
        <v>2.2999999999999998</v>
      </c>
      <c r="BA4" s="9">
        <f t="shared" ca="1" si="7"/>
        <v>2.2999999999999998</v>
      </c>
      <c r="BB4" s="9">
        <f t="shared" ca="1" si="7"/>
        <v>2.46</v>
      </c>
      <c r="BC4" s="9">
        <f t="shared" ca="1" si="7"/>
        <v>2.46</v>
      </c>
      <c r="BD4" s="9"/>
      <c r="BE4" s="9">
        <f t="shared" ca="1" si="7"/>
        <v>0</v>
      </c>
      <c r="BF4" s="9">
        <f t="shared" ca="1" si="7"/>
        <v>0</v>
      </c>
      <c r="BG4" s="9">
        <f t="shared" ca="1" si="7"/>
        <v>0</v>
      </c>
    </row>
    <row r="5" spans="1:59" x14ac:dyDescent="0.2">
      <c r="K5" s="8" t="s">
        <v>430</v>
      </c>
      <c r="N5" s="8">
        <f t="shared" ref="N5" si="8">MIN(N$20:N$219)</f>
        <v>83.1</v>
      </c>
      <c r="AE5" s="8" t="s">
        <v>388</v>
      </c>
      <c r="AF5" s="9">
        <f t="shared" ref="AF5:AK5" ca="1" si="9">MIN(AF$20:AF$219)</f>
        <v>15</v>
      </c>
      <c r="AG5" s="9">
        <f t="shared" ca="1" si="9"/>
        <v>15</v>
      </c>
      <c r="AH5" s="9">
        <f t="shared" ca="1" si="9"/>
        <v>15</v>
      </c>
      <c r="AI5" s="9">
        <f t="shared" ca="1" si="9"/>
        <v>15</v>
      </c>
      <c r="AJ5" s="9">
        <f t="shared" ca="1" si="9"/>
        <v>15</v>
      </c>
      <c r="AK5" s="9">
        <f t="shared" ca="1" si="9"/>
        <v>15</v>
      </c>
      <c r="AX5" s="9">
        <f t="shared" ref="AX5:BG5" ca="1" si="10">MIN(AX$20:AX$219)</f>
        <v>1.3636363636363635</v>
      </c>
      <c r="AY5" s="9">
        <f t="shared" ca="1" si="10"/>
        <v>1.3636363636363635</v>
      </c>
      <c r="AZ5" s="9">
        <f t="shared" ca="1" si="10"/>
        <v>1.4285714285714286</v>
      </c>
      <c r="BA5" s="9">
        <f t="shared" ca="1" si="10"/>
        <v>1.4285714285714286</v>
      </c>
      <c r="BB5" s="9">
        <f t="shared" ca="1" si="10"/>
        <v>1.5</v>
      </c>
      <c r="BC5" s="9">
        <f t="shared" ca="1" si="10"/>
        <v>1.5</v>
      </c>
      <c r="BD5" s="9"/>
      <c r="BE5" s="9">
        <f t="shared" ca="1" si="10"/>
        <v>0</v>
      </c>
      <c r="BF5" s="9">
        <f t="shared" ca="1" si="10"/>
        <v>-0.40000000000000036</v>
      </c>
      <c r="BG5" s="9">
        <f t="shared" ca="1" si="10"/>
        <v>0</v>
      </c>
    </row>
    <row r="6" spans="1:59" x14ac:dyDescent="0.2">
      <c r="AE6" s="8" t="s">
        <v>389</v>
      </c>
      <c r="AF6" s="8">
        <f ca="1">COUNTIF(AF$20:AF$219,10)</f>
        <v>0</v>
      </c>
      <c r="AG6" s="8">
        <f t="shared" ref="AG6:AK6" ca="1" si="11">COUNTIF(AG$20:AG$219,10)</f>
        <v>0</v>
      </c>
      <c r="AH6" s="8">
        <f t="shared" ca="1" si="11"/>
        <v>0</v>
      </c>
      <c r="AI6" s="8">
        <f t="shared" ca="1" si="11"/>
        <v>0</v>
      </c>
      <c r="AJ6" s="8">
        <f t="shared" ca="1" si="11"/>
        <v>0</v>
      </c>
      <c r="AK6" s="8">
        <f t="shared" ca="1" si="11"/>
        <v>0</v>
      </c>
    </row>
    <row r="7" spans="1:59" x14ac:dyDescent="0.2">
      <c r="AE7" s="8" t="s">
        <v>390</v>
      </c>
      <c r="AF7" s="8">
        <f ca="1">COUNTIFS(AF$20:AF$219,"&gt;10",AF$20:AF$219,"&lt;=12.5")</f>
        <v>0</v>
      </c>
      <c r="AG7" s="8">
        <f t="shared" ref="AG7:AK7" ca="1" si="12">COUNTIFS(AG$20:AG$219,"&gt;10",AG$20:AG$219,"&lt;=12.5")</f>
        <v>0</v>
      </c>
      <c r="AH7" s="8">
        <f t="shared" ca="1" si="12"/>
        <v>0</v>
      </c>
      <c r="AI7" s="8">
        <f t="shared" ca="1" si="12"/>
        <v>0</v>
      </c>
      <c r="AJ7" s="8">
        <f t="shared" ca="1" si="12"/>
        <v>0</v>
      </c>
      <c r="AK7" s="8">
        <f t="shared" ca="1" si="12"/>
        <v>0</v>
      </c>
    </row>
    <row r="8" spans="1:59" x14ac:dyDescent="0.2">
      <c r="AE8" s="8" t="s">
        <v>391</v>
      </c>
      <c r="AF8" s="8">
        <f ca="1">COUNTIFS(AF$20:AF$219,"&gt;12.5",AF$20:AF$219,"&lt;15")</f>
        <v>0</v>
      </c>
      <c r="AG8" s="8">
        <f t="shared" ref="AG8:AK8" ca="1" si="13">COUNTIFS(AG$20:AG$219,"&gt;12.5",AG$20:AG$219,"&lt;15")</f>
        <v>0</v>
      </c>
      <c r="AH8" s="8">
        <f t="shared" ca="1" si="13"/>
        <v>0</v>
      </c>
      <c r="AI8" s="8">
        <f t="shared" ca="1" si="13"/>
        <v>0</v>
      </c>
      <c r="AJ8" s="8">
        <f t="shared" ca="1" si="13"/>
        <v>0</v>
      </c>
      <c r="AK8" s="8">
        <f t="shared" ca="1" si="13"/>
        <v>0</v>
      </c>
    </row>
    <row r="9" spans="1:59" s="3" customFormat="1" x14ac:dyDescent="0.2">
      <c r="AE9" s="3" t="s">
        <v>392</v>
      </c>
      <c r="AF9" s="3">
        <f ca="1">COUNTIF(AF$20:AF$219,"=15")</f>
        <v>154</v>
      </c>
      <c r="AG9" s="3">
        <f t="shared" ref="AG9:AK9" ca="1" si="14">COUNTIF(AG$20:AG$219,"=15")</f>
        <v>154</v>
      </c>
      <c r="AH9" s="3">
        <f t="shared" ca="1" si="14"/>
        <v>27</v>
      </c>
      <c r="AI9" s="3">
        <f t="shared" ca="1" si="14"/>
        <v>28</v>
      </c>
      <c r="AJ9" s="3">
        <f t="shared" ca="1" si="14"/>
        <v>9</v>
      </c>
      <c r="AK9" s="3">
        <f t="shared" ca="1" si="14"/>
        <v>9</v>
      </c>
    </row>
    <row r="10" spans="1:59" x14ac:dyDescent="0.2">
      <c r="AE10" s="8" t="s">
        <v>393</v>
      </c>
      <c r="AF10" s="8">
        <f ca="1">COUNTIFS(AF$20:AF$219,"&gt;15",AF$20:AF$219,"&lt;=17.5")</f>
        <v>30</v>
      </c>
      <c r="AG10" s="8">
        <f t="shared" ref="AG10:AK10" ca="1" si="15">COUNTIFS(AG$20:AG$219,"&gt;15",AG$20:AG$219,"&lt;=17.5")</f>
        <v>30</v>
      </c>
      <c r="AH10" s="8">
        <f t="shared" ca="1" si="15"/>
        <v>51</v>
      </c>
      <c r="AI10" s="8">
        <f t="shared" ca="1" si="15"/>
        <v>50</v>
      </c>
      <c r="AJ10" s="8">
        <f t="shared" ca="1" si="15"/>
        <v>31</v>
      </c>
      <c r="AK10" s="8">
        <f t="shared" ca="1" si="15"/>
        <v>31</v>
      </c>
    </row>
    <row r="11" spans="1:59" x14ac:dyDescent="0.2">
      <c r="AE11" s="8" t="s">
        <v>394</v>
      </c>
      <c r="AF11" s="8">
        <f ca="1">COUNTIFS(AF$20:AF$219,"&gt;17.5",AF$20:AF$219,"&lt;=20")</f>
        <v>16</v>
      </c>
      <c r="AG11" s="8">
        <f t="shared" ref="AG11:AK11" ca="1" si="16">COUNTIFS(AG$20:AG$219,"&gt;17.5",AG$20:AG$219,"&lt;=20")</f>
        <v>16</v>
      </c>
      <c r="AH11" s="8">
        <f t="shared" ca="1" si="16"/>
        <v>76</v>
      </c>
      <c r="AI11" s="8">
        <f t="shared" ca="1" si="16"/>
        <v>76</v>
      </c>
      <c r="AJ11" s="8">
        <f t="shared" ca="1" si="16"/>
        <v>72</v>
      </c>
      <c r="AK11" s="8">
        <f t="shared" ca="1" si="16"/>
        <v>72</v>
      </c>
    </row>
    <row r="12" spans="1:59" x14ac:dyDescent="0.2">
      <c r="AE12" s="8" t="s">
        <v>395</v>
      </c>
      <c r="AF12" s="8">
        <f ca="1">COUNTIFS(AF$20:AF$219,"&gt;20",AF$20:AF$219,"&lt;=22.5")</f>
        <v>0</v>
      </c>
      <c r="AG12" s="8">
        <f t="shared" ref="AG12:AK12" ca="1" si="17">COUNTIFS(AG$20:AG$219,"&gt;20",AG$20:AG$219,"&lt;=22.5")</f>
        <v>0</v>
      </c>
      <c r="AH12" s="8">
        <f t="shared" ca="1" si="17"/>
        <v>30</v>
      </c>
      <c r="AI12" s="8">
        <f t="shared" ca="1" si="17"/>
        <v>30</v>
      </c>
      <c r="AJ12" s="8">
        <f t="shared" ca="1" si="17"/>
        <v>58</v>
      </c>
      <c r="AK12" s="8">
        <f t="shared" ca="1" si="17"/>
        <v>58</v>
      </c>
    </row>
    <row r="13" spans="1:59" x14ac:dyDescent="0.2">
      <c r="AE13" s="8" t="s">
        <v>396</v>
      </c>
      <c r="AF13" s="8">
        <f ca="1">COUNTIFS(AF$20:AF$219,"&gt;25",AF$20:AF$219,"&lt;=27.5")</f>
        <v>0</v>
      </c>
      <c r="AG13" s="8">
        <f t="shared" ref="AG13:AK13" ca="1" si="18">COUNTIFS(AG$20:AG$219,"&gt;25",AG$20:AG$219,"&lt;=27.5")</f>
        <v>0</v>
      </c>
      <c r="AH13" s="8">
        <f t="shared" ca="1" si="18"/>
        <v>0</v>
      </c>
      <c r="AI13" s="8">
        <f t="shared" ca="1" si="18"/>
        <v>0</v>
      </c>
      <c r="AJ13" s="8">
        <f t="shared" ca="1" si="18"/>
        <v>0</v>
      </c>
      <c r="AK13" s="8">
        <f t="shared" ca="1" si="18"/>
        <v>0</v>
      </c>
    </row>
    <row r="14" spans="1:59" x14ac:dyDescent="0.2">
      <c r="AE14" s="8" t="s">
        <v>397</v>
      </c>
      <c r="AF14" s="8">
        <f ca="1">COUNTIFS(AF$20:AF$219,"&gt;22.5",AF$20:AF$219,"&lt;=25")</f>
        <v>0</v>
      </c>
      <c r="AG14" s="8">
        <f t="shared" ref="AG14:AK14" ca="1" si="19">COUNTIFS(AG$20:AG$219,"&gt;22.5",AG$20:AG$219,"&lt;=25")</f>
        <v>0</v>
      </c>
      <c r="AH14" s="8">
        <f t="shared" ca="1" si="19"/>
        <v>16</v>
      </c>
      <c r="AI14" s="8">
        <f t="shared" ca="1" si="19"/>
        <v>16</v>
      </c>
      <c r="AJ14" s="8">
        <f t="shared" ca="1" si="19"/>
        <v>30</v>
      </c>
      <c r="AK14" s="8">
        <f t="shared" ca="1" si="19"/>
        <v>30</v>
      </c>
    </row>
    <row r="16" spans="1:59" x14ac:dyDescent="0.2">
      <c r="AE16" s="11" t="s">
        <v>449</v>
      </c>
      <c r="AF16" s="11" t="s">
        <v>473</v>
      </c>
      <c r="AG16" s="11" t="s">
        <v>473</v>
      </c>
      <c r="AH16" s="11" t="s">
        <v>474</v>
      </c>
      <c r="AI16" s="11" t="s">
        <v>474</v>
      </c>
      <c r="AJ16" s="11" t="s">
        <v>475</v>
      </c>
      <c r="AK16" s="11" t="s">
        <v>475</v>
      </c>
    </row>
    <row r="17" spans="1:59" x14ac:dyDescent="0.2">
      <c r="B17" s="8" t="s">
        <v>214</v>
      </c>
      <c r="C17" s="8" t="s">
        <v>214</v>
      </c>
      <c r="D17" s="8" t="s">
        <v>214</v>
      </c>
      <c r="E17" s="8" t="s">
        <v>214</v>
      </c>
      <c r="F17" s="8" t="s">
        <v>214</v>
      </c>
      <c r="G17" s="8" t="s">
        <v>214</v>
      </c>
      <c r="H17" s="8" t="s">
        <v>214</v>
      </c>
      <c r="I17" s="8" t="s">
        <v>214</v>
      </c>
      <c r="J17" s="8" t="s">
        <v>215</v>
      </c>
      <c r="K17" s="8" t="s">
        <v>216</v>
      </c>
      <c r="L17" s="8" t="s">
        <v>216</v>
      </c>
      <c r="M17" s="8" t="s">
        <v>216</v>
      </c>
      <c r="N17" s="8" t="s">
        <v>216</v>
      </c>
      <c r="O17" s="8" t="s">
        <v>216</v>
      </c>
      <c r="P17" s="8" t="s">
        <v>216</v>
      </c>
      <c r="Q17" s="8" t="s">
        <v>216</v>
      </c>
      <c r="R17" s="8" t="s">
        <v>216</v>
      </c>
      <c r="S17" s="8" t="s">
        <v>216</v>
      </c>
      <c r="T17" s="3" t="s">
        <v>216</v>
      </c>
      <c r="U17" s="8" t="s">
        <v>216</v>
      </c>
      <c r="V17" s="8" t="s">
        <v>216</v>
      </c>
      <c r="W17" s="8" t="s">
        <v>217</v>
      </c>
      <c r="X17" s="8" t="s">
        <v>217</v>
      </c>
      <c r="Y17" s="8" t="s">
        <v>217</v>
      </c>
      <c r="Z17" s="8" t="s">
        <v>217</v>
      </c>
      <c r="AA17" s="8" t="s">
        <v>217</v>
      </c>
      <c r="AB17" s="8" t="s">
        <v>217</v>
      </c>
      <c r="AC17" s="8" t="s">
        <v>218</v>
      </c>
      <c r="AD17" s="8" t="s">
        <v>218</v>
      </c>
      <c r="AE17" s="8" t="s">
        <v>218</v>
      </c>
    </row>
    <row r="18" spans="1:59" x14ac:dyDescent="0.2">
      <c r="A18" s="8" t="s">
        <v>222</v>
      </c>
      <c r="B18" s="8" t="s">
        <v>223</v>
      </c>
      <c r="C18" s="8" t="s">
        <v>224</v>
      </c>
      <c r="D18" s="8" t="s">
        <v>225</v>
      </c>
      <c r="E18" s="8" t="s">
        <v>226</v>
      </c>
      <c r="F18" s="8" t="s">
        <v>227</v>
      </c>
      <c r="G18" s="8" t="s">
        <v>228</v>
      </c>
      <c r="H18" s="8" t="s">
        <v>229</v>
      </c>
      <c r="I18" s="8" t="s">
        <v>230</v>
      </c>
      <c r="J18" s="8" t="s">
        <v>231</v>
      </c>
      <c r="K18" s="8" t="s">
        <v>232</v>
      </c>
      <c r="L18" s="8" t="s">
        <v>233</v>
      </c>
      <c r="M18" s="8" t="s">
        <v>234</v>
      </c>
      <c r="N18" s="8" t="s">
        <v>235</v>
      </c>
      <c r="O18" s="8" t="s">
        <v>236</v>
      </c>
      <c r="P18" s="8" t="s">
        <v>237</v>
      </c>
      <c r="Q18" s="8" t="s">
        <v>238</v>
      </c>
      <c r="R18" s="8" t="s">
        <v>239</v>
      </c>
      <c r="S18" s="8" t="s">
        <v>240</v>
      </c>
      <c r="T18" s="3" t="s">
        <v>241</v>
      </c>
      <c r="U18" s="8" t="s">
        <v>242</v>
      </c>
      <c r="V18" s="8" t="s">
        <v>243</v>
      </c>
      <c r="W18" s="8" t="s">
        <v>234</v>
      </c>
      <c r="X18" s="8" t="s">
        <v>244</v>
      </c>
      <c r="Y18" s="8" t="s">
        <v>236</v>
      </c>
      <c r="Z18" s="8" t="s">
        <v>237</v>
      </c>
      <c r="AA18" s="8" t="s">
        <v>239</v>
      </c>
      <c r="AB18" s="8" t="s">
        <v>240</v>
      </c>
      <c r="AC18" s="8" t="s">
        <v>245</v>
      </c>
      <c r="AD18" s="8" t="s">
        <v>246</v>
      </c>
      <c r="AE18" s="8" t="s">
        <v>247</v>
      </c>
      <c r="AF18" s="8" t="s">
        <v>378</v>
      </c>
      <c r="AG18" s="8" t="s">
        <v>398</v>
      </c>
      <c r="AH18" s="8" t="s">
        <v>431</v>
      </c>
      <c r="AI18" s="8" t="s">
        <v>432</v>
      </c>
      <c r="AJ18" s="8" t="s">
        <v>433</v>
      </c>
      <c r="AK18" s="8" t="s">
        <v>434</v>
      </c>
      <c r="AX18" s="8" t="s">
        <v>435</v>
      </c>
      <c r="AY18" s="8" t="s">
        <v>436</v>
      </c>
      <c r="AZ18" s="8" t="s">
        <v>437</v>
      </c>
      <c r="BA18" s="8" t="s">
        <v>438</v>
      </c>
      <c r="BB18" s="8" t="s">
        <v>439</v>
      </c>
      <c r="BC18" s="8" t="s">
        <v>440</v>
      </c>
      <c r="BE18" s="10" t="s">
        <v>450</v>
      </c>
      <c r="BF18" s="10"/>
      <c r="BG18" s="10"/>
    </row>
    <row r="19" spans="1:59" x14ac:dyDescent="0.2">
      <c r="A19" s="8" t="s">
        <v>258</v>
      </c>
      <c r="B19" s="8" t="s">
        <v>258</v>
      </c>
      <c r="C19" s="8" t="s">
        <v>259</v>
      </c>
      <c r="D19" s="8" t="s">
        <v>258</v>
      </c>
      <c r="E19" s="8" t="s">
        <v>258</v>
      </c>
      <c r="F19" s="8" t="s">
        <v>259</v>
      </c>
      <c r="G19" s="8" t="s">
        <v>259</v>
      </c>
      <c r="H19" s="8" t="s">
        <v>259</v>
      </c>
      <c r="I19" s="8" t="s">
        <v>259</v>
      </c>
      <c r="J19" s="8" t="s">
        <v>260</v>
      </c>
      <c r="K19" s="8" t="s">
        <v>259</v>
      </c>
      <c r="L19" s="8" t="s">
        <v>259</v>
      </c>
      <c r="M19" s="8" t="s">
        <v>261</v>
      </c>
      <c r="N19" s="8" t="s">
        <v>259</v>
      </c>
      <c r="O19" s="8" t="s">
        <v>259</v>
      </c>
      <c r="P19" s="8" t="s">
        <v>259</v>
      </c>
      <c r="Q19" s="8" t="s">
        <v>258</v>
      </c>
      <c r="R19" s="8" t="s">
        <v>262</v>
      </c>
      <c r="S19" s="8" t="s">
        <v>262</v>
      </c>
      <c r="T19" s="3" t="s">
        <v>258</v>
      </c>
      <c r="U19" s="8" t="s">
        <v>259</v>
      </c>
      <c r="V19" s="8" t="s">
        <v>259</v>
      </c>
      <c r="W19" s="8" t="s">
        <v>261</v>
      </c>
      <c r="X19" s="8" t="s">
        <v>259</v>
      </c>
      <c r="Y19" s="8" t="s">
        <v>259</v>
      </c>
      <c r="Z19" s="8" t="s">
        <v>259</v>
      </c>
      <c r="AA19" s="8" t="s">
        <v>262</v>
      </c>
      <c r="AB19" s="8" t="s">
        <v>262</v>
      </c>
      <c r="AC19" s="8" t="s">
        <v>263</v>
      </c>
      <c r="AD19" s="8" t="s">
        <v>263</v>
      </c>
      <c r="AE19" s="8" t="s">
        <v>263</v>
      </c>
      <c r="AF19" s="8" t="s">
        <v>259</v>
      </c>
      <c r="AG19" s="8" t="s">
        <v>259</v>
      </c>
      <c r="AH19" s="8" t="s">
        <v>259</v>
      </c>
      <c r="AI19" s="8" t="s">
        <v>259</v>
      </c>
      <c r="AJ19" s="8" t="s">
        <v>259</v>
      </c>
      <c r="AK19" s="8" t="s">
        <v>259</v>
      </c>
    </row>
    <row r="20" spans="1:59" x14ac:dyDescent="0.2">
      <c r="A20" s="8" t="s">
        <v>123</v>
      </c>
      <c r="B20" s="8" t="s">
        <v>265</v>
      </c>
      <c r="C20" s="8">
        <v>-32.6</v>
      </c>
      <c r="D20" s="8">
        <v>460123</v>
      </c>
      <c r="E20" s="8">
        <v>5962757</v>
      </c>
      <c r="F20" s="8">
        <v>0</v>
      </c>
      <c r="G20" s="8">
        <v>-0.6</v>
      </c>
      <c r="H20" s="8">
        <v>0</v>
      </c>
      <c r="I20" s="8">
        <v>2</v>
      </c>
      <c r="J20" s="8">
        <v>0</v>
      </c>
      <c r="K20" s="8">
        <v>-61</v>
      </c>
      <c r="L20" s="8">
        <v>28.4</v>
      </c>
      <c r="M20" s="8">
        <v>1506.9570000000001</v>
      </c>
      <c r="N20" s="8">
        <v>86.4</v>
      </c>
      <c r="O20" s="8">
        <v>8</v>
      </c>
      <c r="P20" s="8">
        <v>10</v>
      </c>
      <c r="Q20" s="8">
        <v>2.78</v>
      </c>
      <c r="R20" s="8">
        <v>68</v>
      </c>
      <c r="S20" s="8">
        <v>110</v>
      </c>
      <c r="T20" s="3">
        <v>147</v>
      </c>
      <c r="U20" s="8">
        <v>1295.92</v>
      </c>
      <c r="V20" s="8">
        <v>555.52200000000005</v>
      </c>
      <c r="W20" s="8">
        <v>752.85199999999998</v>
      </c>
      <c r="X20" s="8">
        <v>132.18100000000001</v>
      </c>
      <c r="Y20" s="8">
        <v>4.9400000000000004</v>
      </c>
      <c r="Z20" s="8">
        <v>8.0150000000000006</v>
      </c>
      <c r="AA20" s="8">
        <v>21.7</v>
      </c>
      <c r="AB20" s="8">
        <v>290.5</v>
      </c>
      <c r="AC20" s="8">
        <v>12362</v>
      </c>
      <c r="AD20" s="8">
        <v>3037</v>
      </c>
      <c r="AE20" s="8">
        <v>268</v>
      </c>
      <c r="AF20" s="8" cm="1">
        <f t="array" aca="1" ref="AF20" ca="1">_xlfn.XLOOKUP($A20,    INDIRECT("'" &amp; AF$16 &amp; "'!$A$20:$A$219"),    _xlfn.XLOOKUP(AF$18,INDIRECT("'" &amp; AF$16 &amp; "'!$B$18:$BC$18"), INDIRECT("'" &amp; AF$16 &amp; "'!$B$20:$BC$219"),"XXXXX",0,1),    "XX",    0,    1)</f>
        <v>15</v>
      </c>
      <c r="AG20" s="8" cm="1">
        <f t="array" aca="1" ref="AG20" ca="1">_xlfn.XLOOKUP($A20,    INDIRECT("'" &amp; AG$16 &amp; "'!$A$20:$A$219"),    _xlfn.XLOOKUP(AG$18,INDIRECT("'" &amp; AG$16 &amp; "'!$B$18:$BC$18"), INDIRECT("'" &amp; AG$16 &amp; "'!$B$20:$BC$219"),"XXXXX",0,1),    "XX",    0,    1)</f>
        <v>15</v>
      </c>
      <c r="AH20" s="8" cm="1">
        <f t="array" aca="1" ref="AH20" ca="1">_xlfn.XLOOKUP($A20,    INDIRECT("'" &amp; AH$16 &amp; "'!$A$20:$A$219"),    _xlfn.XLOOKUP(AH$18,INDIRECT("'" &amp; AH$16 &amp; "'!$B$18:$BC$18"), INDIRECT("'" &amp; AH$16 &amp; "'!$B$20:$BC$219"),"XXXXX",0,1),    "XX",    0,    1)</f>
        <v>17</v>
      </c>
      <c r="AI20" s="8" cm="1">
        <f t="array" aca="1" ref="AI20" ca="1">_xlfn.XLOOKUP($A20,    INDIRECT("'" &amp; AI$16 &amp; "'!$A$20:$A$219"),    _xlfn.XLOOKUP(AI$18,INDIRECT("'" &amp; AI$16 &amp; "'!$B$18:$BC$18"), INDIRECT("'" &amp; AI$16 &amp; "'!$B$20:$BC$219"),"XXXXX",0,1),    "XX",    0,    1)</f>
        <v>17</v>
      </c>
      <c r="AJ20" s="8" cm="1">
        <f t="array" aca="1" ref="AJ20" ca="1">_xlfn.XLOOKUP($A20,    INDIRECT("'" &amp; AJ$16 &amp; "'!$A$20:$A$219"),    _xlfn.XLOOKUP(AJ$18,INDIRECT("'" &amp; AJ$16 &amp; "'!$B$18:$BC$18"), INDIRECT("'" &amp; AJ$16 &amp; "'!$B$20:$BC$219"),"XXXXX",0,1),    "XX",    0,    1)</f>
        <v>19</v>
      </c>
      <c r="AK20" s="8" cm="1">
        <f t="array" aca="1" ref="AK20" ca="1">_xlfn.XLOOKUP($A20,    INDIRECT("'" &amp; AK$16 &amp; "'!$A$20:$A$219"),    _xlfn.XLOOKUP(AK$18,INDIRECT("'" &amp; AK$16 &amp; "'!$B$18:$BC$18"), INDIRECT("'" &amp; AK$16 &amp; "'!$B$20:$BC$219"),"XXXXX",0,1),    "XX",    0,    1)</f>
        <v>19</v>
      </c>
      <c r="AM20" s="16"/>
      <c r="AW20" s="8">
        <v>1</v>
      </c>
      <c r="AX20" s="8">
        <f ca="1">AF20/$P20</f>
        <v>1.5</v>
      </c>
      <c r="AY20" s="8">
        <f ca="1">AG20/$P20</f>
        <v>1.5</v>
      </c>
      <c r="AZ20" s="8">
        <f t="shared" ref="AZ20:AZ51" ca="1" si="20">AH20/$P20</f>
        <v>1.7</v>
      </c>
      <c r="BA20" s="8">
        <f t="shared" ref="BA20:BA51" ca="1" si="21">AI20/$P20</f>
        <v>1.7</v>
      </c>
      <c r="BB20" s="8">
        <f t="shared" ref="BB20:BB51" ca="1" si="22">AJ20/$P20</f>
        <v>1.9</v>
      </c>
      <c r="BC20" s="8">
        <f t="shared" ref="BC20:BC51" ca="1" si="23">AK20/$P20</f>
        <v>1.9</v>
      </c>
      <c r="BE20" s="8">
        <f ca="1">AG20-AF20</f>
        <v>0</v>
      </c>
      <c r="BF20" s="8">
        <f ca="1">AI20-AH20</f>
        <v>0</v>
      </c>
      <c r="BG20" s="8">
        <f ca="1">AK20-AJ20</f>
        <v>0</v>
      </c>
    </row>
    <row r="21" spans="1:59" x14ac:dyDescent="0.2">
      <c r="A21" s="8" t="s">
        <v>117</v>
      </c>
      <c r="B21" s="8" t="s">
        <v>265</v>
      </c>
      <c r="C21" s="8">
        <v>-33.700000000000003</v>
      </c>
      <c r="D21" s="8">
        <v>461361</v>
      </c>
      <c r="E21" s="8">
        <v>5962314</v>
      </c>
      <c r="F21" s="8">
        <v>0</v>
      </c>
      <c r="G21" s="8">
        <v>-0.6</v>
      </c>
      <c r="H21" s="8">
        <v>0</v>
      </c>
      <c r="I21" s="8">
        <v>2</v>
      </c>
      <c r="J21" s="8">
        <v>0</v>
      </c>
      <c r="K21" s="8">
        <v>-61.5</v>
      </c>
      <c r="L21" s="8">
        <v>27.8</v>
      </c>
      <c r="M21" s="8">
        <v>1541.789</v>
      </c>
      <c r="N21" s="8">
        <v>86.9</v>
      </c>
      <c r="O21" s="8">
        <v>8</v>
      </c>
      <c r="P21" s="8">
        <v>10</v>
      </c>
      <c r="Q21" s="8">
        <v>2.72</v>
      </c>
      <c r="R21" s="8">
        <v>68</v>
      </c>
      <c r="S21" s="8">
        <v>110</v>
      </c>
      <c r="T21" s="3">
        <v>147</v>
      </c>
      <c r="U21" s="8">
        <v>1295.7439999999999</v>
      </c>
      <c r="V21" s="8">
        <v>521.70500000000004</v>
      </c>
      <c r="W21" s="8">
        <v>752.85199999999998</v>
      </c>
      <c r="X21" s="8">
        <v>132.18100000000001</v>
      </c>
      <c r="Y21" s="8">
        <v>4.9400000000000004</v>
      </c>
      <c r="Z21" s="8">
        <v>8.0150000000000006</v>
      </c>
      <c r="AA21" s="8">
        <v>21.7</v>
      </c>
      <c r="AB21" s="8">
        <v>290.5</v>
      </c>
      <c r="AC21" s="8">
        <v>12393</v>
      </c>
      <c r="AD21" s="8">
        <v>3105</v>
      </c>
      <c r="AE21" s="8">
        <v>268</v>
      </c>
      <c r="AF21" s="8" cm="1">
        <f t="array" aca="1" ref="AF21" ca="1">_xlfn.XLOOKUP($A21,    INDIRECT("'" &amp; AF$16 &amp; "'!$A$20:$A$219"),    _xlfn.XLOOKUP(AF$18,INDIRECT("'" &amp; AF$16 &amp; "'!$B$18:$BC$18"), INDIRECT("'" &amp; AF$16 &amp; "'!$B$20:$BC$219"),"XXXXX",0,1),    "XX",    0,    1)</f>
        <v>15</v>
      </c>
      <c r="AG21" s="8" cm="1">
        <f t="array" aca="1" ref="AG21" ca="1">_xlfn.XLOOKUP($A21,    INDIRECT("'" &amp; AG$16 &amp; "'!$A$20:$A$219"),    _xlfn.XLOOKUP(AG$18,INDIRECT("'" &amp; AG$16 &amp; "'!$B$18:$BC$18"), INDIRECT("'" &amp; AG$16 &amp; "'!$B$20:$BC$219"),"XXXXX",0,1),    "XX",    0,    1)</f>
        <v>15</v>
      </c>
      <c r="AH21" s="8" cm="1">
        <f t="array" aca="1" ref="AH21" ca="1">_xlfn.XLOOKUP($A21,    INDIRECT("'" &amp; AH$16 &amp; "'!$A$20:$A$219"),    _xlfn.XLOOKUP(AH$18,INDIRECT("'" &amp; AH$16 &amp; "'!$B$18:$BC$18"), INDIRECT("'" &amp; AH$16 &amp; "'!$B$20:$BC$219"),"XXXXX",0,1),    "XX",    0,    1)</f>
        <v>17</v>
      </c>
      <c r="AI21" s="8" cm="1">
        <f t="array" aca="1" ref="AI21" ca="1">_xlfn.XLOOKUP($A21,    INDIRECT("'" &amp; AI$16 &amp; "'!$A$20:$A$219"),    _xlfn.XLOOKUP(AI$18,INDIRECT("'" &amp; AI$16 &amp; "'!$B$18:$BC$18"), INDIRECT("'" &amp; AI$16 &amp; "'!$B$20:$BC$219"),"XXXXX",0,1),    "XX",    0,    1)</f>
        <v>17</v>
      </c>
      <c r="AJ21" s="8" cm="1">
        <f t="array" aca="1" ref="AJ21" ca="1">_xlfn.XLOOKUP($A21,    INDIRECT("'" &amp; AJ$16 &amp; "'!$A$20:$A$219"),    _xlfn.XLOOKUP(AJ$18,INDIRECT("'" &amp; AJ$16 &amp; "'!$B$18:$BC$18"), INDIRECT("'" &amp; AJ$16 &amp; "'!$B$20:$BC$219"),"XXXXX",0,1),    "XX",    0,    1)</f>
        <v>19</v>
      </c>
      <c r="AK21" s="8" cm="1">
        <f t="array" aca="1" ref="AK21" ca="1">_xlfn.XLOOKUP($A21,    INDIRECT("'" &amp; AK$16 &amp; "'!$A$20:$A$219"),    _xlfn.XLOOKUP(AK$18,INDIRECT("'" &amp; AK$16 &amp; "'!$B$18:$BC$18"), INDIRECT("'" &amp; AK$16 &amp; "'!$B$20:$BC$219"),"XXXXX",0,1),    "XX",    0,    1)</f>
        <v>19</v>
      </c>
      <c r="AM21" s="16"/>
      <c r="AW21" s="8">
        <v>1</v>
      </c>
      <c r="AX21" s="8">
        <f t="shared" ref="AX21:AX84" ca="1" si="24">AF21/$P21</f>
        <v>1.5</v>
      </c>
      <c r="AY21" s="8">
        <f t="shared" ref="AY21:AY51" ca="1" si="25">AG21/$P21</f>
        <v>1.5</v>
      </c>
      <c r="AZ21" s="8">
        <f t="shared" ca="1" si="20"/>
        <v>1.7</v>
      </c>
      <c r="BA21" s="8">
        <f t="shared" ca="1" si="21"/>
        <v>1.7</v>
      </c>
      <c r="BB21" s="8">
        <f t="shared" ca="1" si="22"/>
        <v>1.9</v>
      </c>
      <c r="BC21" s="8">
        <f t="shared" ca="1" si="23"/>
        <v>1.9</v>
      </c>
      <c r="BE21" s="8">
        <f t="shared" ref="BE21:BE84" ca="1" si="26">AG21-AF21</f>
        <v>0</v>
      </c>
      <c r="BF21" s="8">
        <f t="shared" ref="BF21:BF84" ca="1" si="27">AI21-AH21</f>
        <v>0</v>
      </c>
      <c r="BG21" s="8">
        <f t="shared" ref="BG21:BG84" ca="1" si="28">AK21-AJ21</f>
        <v>0</v>
      </c>
    </row>
    <row r="22" spans="1:59" x14ac:dyDescent="0.2">
      <c r="A22" s="8" t="s">
        <v>139</v>
      </c>
      <c r="B22" s="8" t="s">
        <v>269</v>
      </c>
      <c r="C22" s="8">
        <v>-32.799999999999997</v>
      </c>
      <c r="D22" s="8">
        <v>462778</v>
      </c>
      <c r="E22" s="8">
        <v>5961590</v>
      </c>
      <c r="F22" s="8">
        <v>0</v>
      </c>
      <c r="G22" s="8">
        <v>-0.6</v>
      </c>
      <c r="H22" s="8">
        <v>0</v>
      </c>
      <c r="I22" s="8">
        <v>2</v>
      </c>
      <c r="J22" s="8">
        <v>0</v>
      </c>
      <c r="K22" s="8">
        <v>-60</v>
      </c>
      <c r="L22" s="8">
        <v>27.2</v>
      </c>
      <c r="M22" s="8">
        <v>1486.3869999999999</v>
      </c>
      <c r="N22" s="8">
        <v>85.4</v>
      </c>
      <c r="O22" s="8">
        <v>8</v>
      </c>
      <c r="P22" s="8">
        <v>10</v>
      </c>
      <c r="Q22" s="8">
        <v>2.66</v>
      </c>
      <c r="R22" s="8">
        <v>68</v>
      </c>
      <c r="S22" s="8">
        <v>110</v>
      </c>
      <c r="T22" s="3">
        <v>147</v>
      </c>
      <c r="U22" s="8">
        <v>1295.9449999999999</v>
      </c>
      <c r="V22" s="8">
        <v>580.61699999999996</v>
      </c>
      <c r="W22" s="8">
        <v>752.85199999999998</v>
      </c>
      <c r="X22" s="8">
        <v>132.18100000000001</v>
      </c>
      <c r="Y22" s="8">
        <v>4.9400000000000004</v>
      </c>
      <c r="Z22" s="8">
        <v>8.0150000000000006</v>
      </c>
      <c r="AA22" s="8">
        <v>21.7</v>
      </c>
      <c r="AB22" s="8">
        <v>290.5</v>
      </c>
      <c r="AC22" s="8">
        <v>12300</v>
      </c>
      <c r="AD22" s="8">
        <v>3050</v>
      </c>
      <c r="AE22" s="8">
        <v>268</v>
      </c>
      <c r="AF22" s="8" cm="1">
        <f t="array" aca="1" ref="AF22" ca="1">_xlfn.XLOOKUP($A22,    INDIRECT("'" &amp; AF$16 &amp; "'!$A$20:$A$219"),    _xlfn.XLOOKUP(AF$18,INDIRECT("'" &amp; AF$16 &amp; "'!$B$18:$BC$18"), INDIRECT("'" &amp; AF$16 &amp; "'!$B$20:$BC$219"),"XXXXX",0,1),    "XX",    0,    1)</f>
        <v>15</v>
      </c>
      <c r="AG22" s="8" cm="1">
        <f t="array" aca="1" ref="AG22" ca="1">_xlfn.XLOOKUP($A22,    INDIRECT("'" &amp; AG$16 &amp; "'!$A$20:$A$219"),    _xlfn.XLOOKUP(AG$18,INDIRECT("'" &amp; AG$16 &amp; "'!$B$18:$BC$18"), INDIRECT("'" &amp; AG$16 &amp; "'!$B$20:$BC$219"),"XXXXX",0,1),    "XX",    0,    1)</f>
        <v>15</v>
      </c>
      <c r="AH22" s="8" cm="1">
        <f t="array" aca="1" ref="AH22" ca="1">_xlfn.XLOOKUP($A22,    INDIRECT("'" &amp; AH$16 &amp; "'!$A$20:$A$219"),    _xlfn.XLOOKUP(AH$18,INDIRECT("'" &amp; AH$16 &amp; "'!$B$18:$BC$18"), INDIRECT("'" &amp; AH$16 &amp; "'!$B$20:$BC$219"),"XXXXX",0,1),    "XX",    0,    1)</f>
        <v>17</v>
      </c>
      <c r="AI22" s="8" cm="1">
        <f t="array" aca="1" ref="AI22" ca="1">_xlfn.XLOOKUP($A22,    INDIRECT("'" &amp; AI$16 &amp; "'!$A$20:$A$219"),    _xlfn.XLOOKUP(AI$18,INDIRECT("'" &amp; AI$16 &amp; "'!$B$18:$BC$18"), INDIRECT("'" &amp; AI$16 &amp; "'!$B$20:$BC$219"),"XXXXX",0,1),    "XX",    0,    1)</f>
        <v>17</v>
      </c>
      <c r="AJ22" s="8" cm="1">
        <f t="array" aca="1" ref="AJ22" ca="1">_xlfn.XLOOKUP($A22,    INDIRECT("'" &amp; AJ$16 &amp; "'!$A$20:$A$219"),    _xlfn.XLOOKUP(AJ$18,INDIRECT("'" &amp; AJ$16 &amp; "'!$B$18:$BC$18"), INDIRECT("'" &amp; AJ$16 &amp; "'!$B$20:$BC$219"),"XXXXX",0,1),    "XX",    0,    1)</f>
        <v>17</v>
      </c>
      <c r="AK22" s="8" cm="1">
        <f t="array" aca="1" ref="AK22" ca="1">_xlfn.XLOOKUP($A22,    INDIRECT("'" &amp; AK$16 &amp; "'!$A$20:$A$219"),    _xlfn.XLOOKUP(AK$18,INDIRECT("'" &amp; AK$16 &amp; "'!$B$18:$BC$18"), INDIRECT("'" &amp; AK$16 &amp; "'!$B$20:$BC$219"),"XXXXX",0,1),    "XX",    0,    1)</f>
        <v>17</v>
      </c>
      <c r="AM22" s="16"/>
      <c r="AW22" s="8">
        <v>1</v>
      </c>
      <c r="AX22" s="8">
        <f t="shared" ca="1" si="24"/>
        <v>1.5</v>
      </c>
      <c r="AY22" s="8">
        <f t="shared" ca="1" si="25"/>
        <v>1.5</v>
      </c>
      <c r="AZ22" s="8">
        <f t="shared" ca="1" si="20"/>
        <v>1.7</v>
      </c>
      <c r="BA22" s="8">
        <f t="shared" ca="1" si="21"/>
        <v>1.7</v>
      </c>
      <c r="BB22" s="8">
        <f t="shared" ca="1" si="22"/>
        <v>1.7</v>
      </c>
      <c r="BC22" s="8">
        <f t="shared" ca="1" si="23"/>
        <v>1.7</v>
      </c>
      <c r="BE22" s="8">
        <f t="shared" ca="1" si="26"/>
        <v>0</v>
      </c>
      <c r="BF22" s="8">
        <f t="shared" ca="1" si="27"/>
        <v>0</v>
      </c>
      <c r="BG22" s="8">
        <f t="shared" ca="1" si="28"/>
        <v>0</v>
      </c>
    </row>
    <row r="23" spans="1:59" x14ac:dyDescent="0.2">
      <c r="A23" s="8" t="s">
        <v>154</v>
      </c>
      <c r="B23" s="8" t="s">
        <v>265</v>
      </c>
      <c r="C23" s="8">
        <v>-31.3</v>
      </c>
      <c r="D23" s="8">
        <v>464232</v>
      </c>
      <c r="E23" s="8">
        <v>5960830</v>
      </c>
      <c r="F23" s="8">
        <v>0</v>
      </c>
      <c r="G23" s="8">
        <v>-0.7</v>
      </c>
      <c r="H23" s="8">
        <v>0</v>
      </c>
      <c r="I23" s="8">
        <v>2</v>
      </c>
      <c r="J23" s="8">
        <v>0</v>
      </c>
      <c r="K23" s="8">
        <v>-58.7</v>
      </c>
      <c r="L23" s="8">
        <v>27.4</v>
      </c>
      <c r="M23" s="8">
        <v>1457</v>
      </c>
      <c r="N23" s="8">
        <v>84.1</v>
      </c>
      <c r="O23" s="8">
        <v>8</v>
      </c>
      <c r="P23" s="8">
        <v>10</v>
      </c>
      <c r="Q23" s="8">
        <v>2.67</v>
      </c>
      <c r="R23" s="8">
        <v>68</v>
      </c>
      <c r="S23" s="8">
        <v>110</v>
      </c>
      <c r="T23" s="3">
        <v>147</v>
      </c>
      <c r="U23" s="8">
        <v>1233.7159999999999</v>
      </c>
      <c r="V23" s="8">
        <v>555.63499999999999</v>
      </c>
      <c r="W23" s="8">
        <v>752.85199999999998</v>
      </c>
      <c r="X23" s="8">
        <v>132.18100000000001</v>
      </c>
      <c r="Y23" s="8">
        <v>4.9400000000000004</v>
      </c>
      <c r="Z23" s="8">
        <v>8.0150000000000006</v>
      </c>
      <c r="AA23" s="8">
        <v>21.7</v>
      </c>
      <c r="AB23" s="8">
        <v>290.5</v>
      </c>
      <c r="AC23" s="8">
        <v>12219</v>
      </c>
      <c r="AD23" s="8">
        <v>2957</v>
      </c>
      <c r="AE23" s="8">
        <v>268</v>
      </c>
      <c r="AF23" s="8" cm="1">
        <f t="array" aca="1" ref="AF23" ca="1">_xlfn.XLOOKUP($A23,    INDIRECT("'" &amp; AF$16 &amp; "'!$A$20:$A$219"),    _xlfn.XLOOKUP(AF$18,INDIRECT("'" &amp; AF$16 &amp; "'!$B$18:$BC$18"), INDIRECT("'" &amp; AF$16 &amp; "'!$B$20:$BC$219"),"XXXXX",0,1),    "XX",    0,    1)</f>
        <v>15</v>
      </c>
      <c r="AG23" s="8" cm="1">
        <f t="array" aca="1" ref="AG23" ca="1">_xlfn.XLOOKUP($A23,    INDIRECT("'" &amp; AG$16 &amp; "'!$A$20:$A$219"),    _xlfn.XLOOKUP(AG$18,INDIRECT("'" &amp; AG$16 &amp; "'!$B$18:$BC$18"), INDIRECT("'" &amp; AG$16 &amp; "'!$B$20:$BC$219"),"XXXXX",0,1),    "XX",    0,    1)</f>
        <v>15</v>
      </c>
      <c r="AH23" s="8" cm="1">
        <f t="array" aca="1" ref="AH23" ca="1">_xlfn.XLOOKUP($A23,    INDIRECT("'" &amp; AH$16 &amp; "'!$A$20:$A$219"),    _xlfn.XLOOKUP(AH$18,INDIRECT("'" &amp; AH$16 &amp; "'!$B$18:$BC$18"), INDIRECT("'" &amp; AH$16 &amp; "'!$B$20:$BC$219"),"XXXXX",0,1),    "XX",    0,    1)</f>
        <v>17</v>
      </c>
      <c r="AI23" s="8" cm="1">
        <f t="array" aca="1" ref="AI23" ca="1">_xlfn.XLOOKUP($A23,    INDIRECT("'" &amp; AI$16 &amp; "'!$A$20:$A$219"),    _xlfn.XLOOKUP(AI$18,INDIRECT("'" &amp; AI$16 &amp; "'!$B$18:$BC$18"), INDIRECT("'" &amp; AI$16 &amp; "'!$B$20:$BC$219"),"XXXXX",0,1),    "XX",    0,    1)</f>
        <v>17</v>
      </c>
      <c r="AJ23" s="8" cm="1">
        <f t="array" aca="1" ref="AJ23" ca="1">_xlfn.XLOOKUP($A23,    INDIRECT("'" &amp; AJ$16 &amp; "'!$A$20:$A$219"),    _xlfn.XLOOKUP(AJ$18,INDIRECT("'" &amp; AJ$16 &amp; "'!$B$18:$BC$18"), INDIRECT("'" &amp; AJ$16 &amp; "'!$B$20:$BC$219"),"XXXXX",0,1),    "XX",    0,    1)</f>
        <v>19</v>
      </c>
      <c r="AK23" s="8" cm="1">
        <f t="array" aca="1" ref="AK23" ca="1">_xlfn.XLOOKUP($A23,    INDIRECT("'" &amp; AK$16 &amp; "'!$A$20:$A$219"),    _xlfn.XLOOKUP(AK$18,INDIRECT("'" &amp; AK$16 &amp; "'!$B$18:$BC$18"), INDIRECT("'" &amp; AK$16 &amp; "'!$B$20:$BC$219"),"XXXXX",0,1),    "XX",    0,    1)</f>
        <v>19</v>
      </c>
      <c r="AM23" s="16"/>
      <c r="AW23" s="8">
        <v>1</v>
      </c>
      <c r="AX23" s="8">
        <f t="shared" ca="1" si="24"/>
        <v>1.5</v>
      </c>
      <c r="AY23" s="8">
        <f t="shared" ca="1" si="25"/>
        <v>1.5</v>
      </c>
      <c r="AZ23" s="8">
        <f t="shared" ca="1" si="20"/>
        <v>1.7</v>
      </c>
      <c r="BA23" s="8">
        <f t="shared" ca="1" si="21"/>
        <v>1.7</v>
      </c>
      <c r="BB23" s="8">
        <f t="shared" ca="1" si="22"/>
        <v>1.9</v>
      </c>
      <c r="BC23" s="8">
        <f t="shared" ca="1" si="23"/>
        <v>1.9</v>
      </c>
      <c r="BE23" s="8">
        <f t="shared" ca="1" si="26"/>
        <v>0</v>
      </c>
      <c r="BF23" s="8">
        <f t="shared" ca="1" si="27"/>
        <v>0</v>
      </c>
      <c r="BG23" s="8">
        <f t="shared" ca="1" si="28"/>
        <v>0</v>
      </c>
    </row>
    <row r="24" spans="1:59" x14ac:dyDescent="0.2">
      <c r="A24" s="8" t="s">
        <v>156</v>
      </c>
      <c r="B24" s="8" t="s">
        <v>265</v>
      </c>
      <c r="C24" s="8">
        <v>-28.8</v>
      </c>
      <c r="D24" s="8">
        <v>467232</v>
      </c>
      <c r="E24" s="8">
        <v>5959260</v>
      </c>
      <c r="F24" s="8">
        <v>0</v>
      </c>
      <c r="G24" s="8">
        <v>-0.6</v>
      </c>
      <c r="H24" s="8">
        <v>0</v>
      </c>
      <c r="I24" s="8">
        <v>2</v>
      </c>
      <c r="J24" s="8">
        <v>0</v>
      </c>
      <c r="K24" s="8">
        <v>-58.4</v>
      </c>
      <c r="L24" s="8">
        <v>29.6</v>
      </c>
      <c r="M24" s="8">
        <v>1429.8009999999999</v>
      </c>
      <c r="N24" s="8">
        <v>83.8</v>
      </c>
      <c r="O24" s="8">
        <v>8</v>
      </c>
      <c r="P24" s="8">
        <v>10</v>
      </c>
      <c r="Q24" s="8">
        <v>2.9</v>
      </c>
      <c r="R24" s="8">
        <v>64</v>
      </c>
      <c r="S24" s="8">
        <v>110</v>
      </c>
      <c r="T24" s="3">
        <v>147</v>
      </c>
      <c r="U24" s="8">
        <v>1233.7909999999999</v>
      </c>
      <c r="V24" s="8">
        <v>430.87599999999998</v>
      </c>
      <c r="W24" s="8">
        <v>752.85199999999998</v>
      </c>
      <c r="X24" s="8">
        <v>132.18100000000001</v>
      </c>
      <c r="Y24" s="8">
        <v>4.9400000000000004</v>
      </c>
      <c r="Z24" s="8">
        <v>8.0150000000000006</v>
      </c>
      <c r="AA24" s="8">
        <v>21.7</v>
      </c>
      <c r="AB24" s="8">
        <v>290.5</v>
      </c>
      <c r="AC24" s="8">
        <v>12201</v>
      </c>
      <c r="AD24" s="8">
        <v>2801</v>
      </c>
      <c r="AE24" s="8">
        <v>268</v>
      </c>
      <c r="AF24" s="8" cm="1">
        <f t="array" aca="1" ref="AF24" ca="1">_xlfn.XLOOKUP($A24,    INDIRECT("'" &amp; AF$16 &amp; "'!$A$20:$A$219"),    _xlfn.XLOOKUP(AF$18,INDIRECT("'" &amp; AF$16 &amp; "'!$B$18:$BC$18"), INDIRECT("'" &amp; AF$16 &amp; "'!$B$20:$BC$219"),"XXXXX",0,1),    "XX",    0,    1)</f>
        <v>15</v>
      </c>
      <c r="AG24" s="8" cm="1">
        <f t="array" aca="1" ref="AG24" ca="1">_xlfn.XLOOKUP($A24,    INDIRECT("'" &amp; AG$16 &amp; "'!$A$20:$A$219"),    _xlfn.XLOOKUP(AG$18,INDIRECT("'" &amp; AG$16 &amp; "'!$B$18:$BC$18"), INDIRECT("'" &amp; AG$16 &amp; "'!$B$20:$BC$219"),"XXXXX",0,1),    "XX",    0,    1)</f>
        <v>15</v>
      </c>
      <c r="AH24" s="8" cm="1">
        <f t="array" aca="1" ref="AH24" ca="1">_xlfn.XLOOKUP($A24,    INDIRECT("'" &amp; AH$16 &amp; "'!$A$20:$A$219"),    _xlfn.XLOOKUP(AH$18,INDIRECT("'" &amp; AH$16 &amp; "'!$B$18:$BC$18"), INDIRECT("'" &amp; AH$16 &amp; "'!$B$20:$BC$219"),"XXXXX",0,1),    "XX",    0,    1)</f>
        <v>19</v>
      </c>
      <c r="AI24" s="8" cm="1">
        <f t="array" aca="1" ref="AI24" ca="1">_xlfn.XLOOKUP($A24,    INDIRECT("'" &amp; AI$16 &amp; "'!$A$20:$A$219"),    _xlfn.XLOOKUP(AI$18,INDIRECT("'" &amp; AI$16 &amp; "'!$B$18:$BC$18"), INDIRECT("'" &amp; AI$16 &amp; "'!$B$20:$BC$219"),"XXXXX",0,1),    "XX",    0,    1)</f>
        <v>19</v>
      </c>
      <c r="AJ24" s="8" cm="1">
        <f t="array" aca="1" ref="AJ24" ca="1">_xlfn.XLOOKUP($A24,    INDIRECT("'" &amp; AJ$16 &amp; "'!$A$20:$A$219"),    _xlfn.XLOOKUP(AJ$18,INDIRECT("'" &amp; AJ$16 &amp; "'!$B$18:$BC$18"), INDIRECT("'" &amp; AJ$16 &amp; "'!$B$20:$BC$219"),"XXXXX",0,1),    "XX",    0,    1)</f>
        <v>21</v>
      </c>
      <c r="AK24" s="8" cm="1">
        <f t="array" aca="1" ref="AK24" ca="1">_xlfn.XLOOKUP($A24,    INDIRECT("'" &amp; AK$16 &amp; "'!$A$20:$A$219"),    _xlfn.XLOOKUP(AK$18,INDIRECT("'" &amp; AK$16 &amp; "'!$B$18:$BC$18"), INDIRECT("'" &amp; AK$16 &amp; "'!$B$20:$BC$219"),"XXXXX",0,1),    "XX",    0,    1)</f>
        <v>21</v>
      </c>
      <c r="AM24" s="16"/>
      <c r="AW24" s="8">
        <v>1</v>
      </c>
      <c r="AX24" s="8">
        <f t="shared" ca="1" si="24"/>
        <v>1.5</v>
      </c>
      <c r="AY24" s="8">
        <f t="shared" ca="1" si="25"/>
        <v>1.5</v>
      </c>
      <c r="AZ24" s="8">
        <f t="shared" ca="1" si="20"/>
        <v>1.9</v>
      </c>
      <c r="BA24" s="8">
        <f t="shared" ca="1" si="21"/>
        <v>1.9</v>
      </c>
      <c r="BB24" s="8">
        <f t="shared" ca="1" si="22"/>
        <v>2.1</v>
      </c>
      <c r="BC24" s="8">
        <f t="shared" ca="1" si="23"/>
        <v>2.1</v>
      </c>
      <c r="BE24" s="8">
        <f t="shared" ca="1" si="26"/>
        <v>0</v>
      </c>
      <c r="BF24" s="8">
        <f t="shared" ca="1" si="27"/>
        <v>0</v>
      </c>
      <c r="BG24" s="8">
        <f t="shared" ca="1" si="28"/>
        <v>0</v>
      </c>
    </row>
    <row r="25" spans="1:59" x14ac:dyDescent="0.2">
      <c r="A25" s="8" t="s">
        <v>160</v>
      </c>
      <c r="B25" s="8" t="s">
        <v>265</v>
      </c>
      <c r="C25" s="8">
        <v>-29.5</v>
      </c>
      <c r="D25" s="8">
        <v>468749</v>
      </c>
      <c r="E25" s="8">
        <v>5958460</v>
      </c>
      <c r="F25" s="8">
        <v>0</v>
      </c>
      <c r="G25" s="8">
        <v>-0.7</v>
      </c>
      <c r="H25" s="8">
        <v>0</v>
      </c>
      <c r="I25" s="8">
        <v>2</v>
      </c>
      <c r="J25" s="8">
        <v>0</v>
      </c>
      <c r="K25" s="8">
        <v>-57.9</v>
      </c>
      <c r="L25" s="8">
        <v>28.4</v>
      </c>
      <c r="M25" s="8">
        <v>1416.742</v>
      </c>
      <c r="N25" s="8">
        <v>83.3</v>
      </c>
      <c r="O25" s="8">
        <v>8</v>
      </c>
      <c r="P25" s="8">
        <v>10</v>
      </c>
      <c r="Q25" s="8">
        <v>2.77</v>
      </c>
      <c r="R25" s="8">
        <v>64</v>
      </c>
      <c r="S25" s="8">
        <v>110</v>
      </c>
      <c r="T25" s="3">
        <v>147</v>
      </c>
      <c r="U25" s="8">
        <v>1233.8040000000001</v>
      </c>
      <c r="V25" s="8">
        <v>430.87599999999998</v>
      </c>
      <c r="W25" s="8">
        <v>752.85199999999998</v>
      </c>
      <c r="X25" s="8">
        <v>132.18100000000001</v>
      </c>
      <c r="Y25" s="8">
        <v>4.9400000000000004</v>
      </c>
      <c r="Z25" s="8">
        <v>8.0150000000000006</v>
      </c>
      <c r="AA25" s="8">
        <v>21.7</v>
      </c>
      <c r="AB25" s="8">
        <v>290.5</v>
      </c>
      <c r="AC25" s="8">
        <v>12170</v>
      </c>
      <c r="AD25" s="8">
        <v>2845</v>
      </c>
      <c r="AE25" s="8">
        <v>268</v>
      </c>
      <c r="AF25" s="8" cm="1">
        <f t="array" aca="1" ref="AF25" ca="1">_xlfn.XLOOKUP($A25,    INDIRECT("'" &amp; AF$16 &amp; "'!$A$20:$A$219"),    _xlfn.XLOOKUP(AF$18,INDIRECT("'" &amp; AF$16 &amp; "'!$B$18:$BC$18"), INDIRECT("'" &amp; AF$16 &amp; "'!$B$20:$BC$219"),"XXXXX",0,1),    "XX",    0,    1)</f>
        <v>15</v>
      </c>
      <c r="AG25" s="8" cm="1">
        <f t="array" aca="1" ref="AG25" ca="1">_xlfn.XLOOKUP($A25,    INDIRECT("'" &amp; AG$16 &amp; "'!$A$20:$A$219"),    _xlfn.XLOOKUP(AG$18,INDIRECT("'" &amp; AG$16 &amp; "'!$B$18:$BC$18"), INDIRECT("'" &amp; AG$16 &amp; "'!$B$20:$BC$219"),"XXXXX",0,1),    "XX",    0,    1)</f>
        <v>15</v>
      </c>
      <c r="AH25" s="8" cm="1">
        <f t="array" aca="1" ref="AH25" ca="1">_xlfn.XLOOKUP($A25,    INDIRECT("'" &amp; AH$16 &amp; "'!$A$20:$A$219"),    _xlfn.XLOOKUP(AH$18,INDIRECT("'" &amp; AH$16 &amp; "'!$B$18:$BC$18"), INDIRECT("'" &amp; AH$16 &amp; "'!$B$20:$BC$219"),"XXXXX",0,1),    "XX",    0,    1)</f>
        <v>17</v>
      </c>
      <c r="AI25" s="8" cm="1">
        <f t="array" aca="1" ref="AI25" ca="1">_xlfn.XLOOKUP($A25,    INDIRECT("'" &amp; AI$16 &amp; "'!$A$20:$A$219"),    _xlfn.XLOOKUP(AI$18,INDIRECT("'" &amp; AI$16 &amp; "'!$B$18:$BC$18"), INDIRECT("'" &amp; AI$16 &amp; "'!$B$20:$BC$219"),"XXXXX",0,1),    "XX",    0,    1)</f>
        <v>17</v>
      </c>
      <c r="AJ25" s="8" cm="1">
        <f t="array" aca="1" ref="AJ25" ca="1">_xlfn.XLOOKUP($A25,    INDIRECT("'" &amp; AJ$16 &amp; "'!$A$20:$A$219"),    _xlfn.XLOOKUP(AJ$18,INDIRECT("'" &amp; AJ$16 &amp; "'!$B$18:$BC$18"), INDIRECT("'" &amp; AJ$16 &amp; "'!$B$20:$BC$219"),"XXXXX",0,1),    "XX",    0,    1)</f>
        <v>19</v>
      </c>
      <c r="AK25" s="8" cm="1">
        <f t="array" aca="1" ref="AK25" ca="1">_xlfn.XLOOKUP($A25,    INDIRECT("'" &amp; AK$16 &amp; "'!$A$20:$A$219"),    _xlfn.XLOOKUP(AK$18,INDIRECT("'" &amp; AK$16 &amp; "'!$B$18:$BC$18"), INDIRECT("'" &amp; AK$16 &amp; "'!$B$20:$BC$219"),"XXXXX",0,1),    "XX",    0,    1)</f>
        <v>19</v>
      </c>
      <c r="AM25" s="16"/>
      <c r="AW25" s="8">
        <v>1</v>
      </c>
      <c r="AX25" s="8">
        <f t="shared" ca="1" si="24"/>
        <v>1.5</v>
      </c>
      <c r="AY25" s="8">
        <f t="shared" ca="1" si="25"/>
        <v>1.5</v>
      </c>
      <c r="AZ25" s="8">
        <f t="shared" ca="1" si="20"/>
        <v>1.7</v>
      </c>
      <c r="BA25" s="8">
        <f t="shared" ca="1" si="21"/>
        <v>1.7</v>
      </c>
      <c r="BB25" s="8">
        <f t="shared" ca="1" si="22"/>
        <v>1.9</v>
      </c>
      <c r="BC25" s="8">
        <f t="shared" ca="1" si="23"/>
        <v>1.9</v>
      </c>
      <c r="BE25" s="8">
        <f t="shared" ca="1" si="26"/>
        <v>0</v>
      </c>
      <c r="BF25" s="8">
        <f t="shared" ca="1" si="27"/>
        <v>0</v>
      </c>
      <c r="BG25" s="8">
        <f t="shared" ca="1" si="28"/>
        <v>0</v>
      </c>
    </row>
    <row r="26" spans="1:59" x14ac:dyDescent="0.2">
      <c r="A26" s="8" t="s">
        <v>157</v>
      </c>
      <c r="B26" s="8" t="s">
        <v>265</v>
      </c>
      <c r="C26" s="8">
        <v>-29.6</v>
      </c>
      <c r="D26" s="8">
        <v>470269</v>
      </c>
      <c r="E26" s="8">
        <v>5957660</v>
      </c>
      <c r="F26" s="8">
        <v>0</v>
      </c>
      <c r="G26" s="8">
        <v>-0.6</v>
      </c>
      <c r="H26" s="8">
        <v>0</v>
      </c>
      <c r="I26" s="8">
        <v>2</v>
      </c>
      <c r="J26" s="8">
        <v>0</v>
      </c>
      <c r="K26" s="8">
        <v>-58.5</v>
      </c>
      <c r="L26" s="8">
        <v>28.9</v>
      </c>
      <c r="M26" s="8">
        <v>1430.37</v>
      </c>
      <c r="N26" s="8">
        <v>83.9</v>
      </c>
      <c r="O26" s="8">
        <v>8</v>
      </c>
      <c r="P26" s="8">
        <v>10</v>
      </c>
      <c r="Q26" s="8">
        <v>2.83</v>
      </c>
      <c r="R26" s="8">
        <v>64</v>
      </c>
      <c r="S26" s="8">
        <v>110</v>
      </c>
      <c r="T26" s="3">
        <v>147</v>
      </c>
      <c r="U26" s="8">
        <v>1233.8040000000001</v>
      </c>
      <c r="V26" s="8">
        <v>430.87599999999998</v>
      </c>
      <c r="W26" s="8">
        <v>752.85199999999998</v>
      </c>
      <c r="X26" s="8">
        <v>132.18100000000001</v>
      </c>
      <c r="Y26" s="8">
        <v>4.9400000000000004</v>
      </c>
      <c r="Z26" s="8">
        <v>8.0150000000000006</v>
      </c>
      <c r="AA26" s="8">
        <v>21.7</v>
      </c>
      <c r="AB26" s="8">
        <v>290.5</v>
      </c>
      <c r="AC26" s="8">
        <v>12207</v>
      </c>
      <c r="AD26" s="8">
        <v>2851</v>
      </c>
      <c r="AE26" s="8">
        <v>268</v>
      </c>
      <c r="AF26" s="8" cm="1">
        <f t="array" aca="1" ref="AF26" ca="1">_xlfn.XLOOKUP($A26,    INDIRECT("'" &amp; AF$16 &amp; "'!$A$20:$A$219"),    _xlfn.XLOOKUP(AF$18,INDIRECT("'" &amp; AF$16 &amp; "'!$B$18:$BC$18"), INDIRECT("'" &amp; AF$16 &amp; "'!$B$20:$BC$219"),"XXXXX",0,1),    "XX",    0,    1)</f>
        <v>15</v>
      </c>
      <c r="AG26" s="8" cm="1">
        <f t="array" aca="1" ref="AG26" ca="1">_xlfn.XLOOKUP($A26,    INDIRECT("'" &amp; AG$16 &amp; "'!$A$20:$A$219"),    _xlfn.XLOOKUP(AG$18,INDIRECT("'" &amp; AG$16 &amp; "'!$B$18:$BC$18"), INDIRECT("'" &amp; AG$16 &amp; "'!$B$20:$BC$219"),"XXXXX",0,1),    "XX",    0,    1)</f>
        <v>15</v>
      </c>
      <c r="AH26" s="8" cm="1">
        <f t="array" aca="1" ref="AH26" ca="1">_xlfn.XLOOKUP($A26,    INDIRECT("'" &amp; AH$16 &amp; "'!$A$20:$A$219"),    _xlfn.XLOOKUP(AH$18,INDIRECT("'" &amp; AH$16 &amp; "'!$B$18:$BC$18"), INDIRECT("'" &amp; AH$16 &amp; "'!$B$20:$BC$219"),"XXXXX",0,1),    "XX",    0,    1)</f>
        <v>19</v>
      </c>
      <c r="AI26" s="8" cm="1">
        <f t="array" aca="1" ref="AI26" ca="1">_xlfn.XLOOKUP($A26,    INDIRECT("'" &amp; AI$16 &amp; "'!$A$20:$A$219"),    _xlfn.XLOOKUP(AI$18,INDIRECT("'" &amp; AI$16 &amp; "'!$B$18:$BC$18"), INDIRECT("'" &amp; AI$16 &amp; "'!$B$20:$BC$219"),"XXXXX",0,1),    "XX",    0,    1)</f>
        <v>19</v>
      </c>
      <c r="AJ26" s="8" cm="1">
        <f t="array" aca="1" ref="AJ26" ca="1">_xlfn.XLOOKUP($A26,    INDIRECT("'" &amp; AJ$16 &amp; "'!$A$20:$A$219"),    _xlfn.XLOOKUP(AJ$18,INDIRECT("'" &amp; AJ$16 &amp; "'!$B$18:$BC$18"), INDIRECT("'" &amp; AJ$16 &amp; "'!$B$20:$BC$219"),"XXXXX",0,1),    "XX",    0,    1)</f>
        <v>19</v>
      </c>
      <c r="AK26" s="8" cm="1">
        <f t="array" aca="1" ref="AK26" ca="1">_xlfn.XLOOKUP($A26,    INDIRECT("'" &amp; AK$16 &amp; "'!$A$20:$A$219"),    _xlfn.XLOOKUP(AK$18,INDIRECT("'" &amp; AK$16 &amp; "'!$B$18:$BC$18"), INDIRECT("'" &amp; AK$16 &amp; "'!$B$20:$BC$219"),"XXXXX",0,1),    "XX",    0,    1)</f>
        <v>19</v>
      </c>
      <c r="AM26" s="16"/>
      <c r="AW26" s="8">
        <v>1</v>
      </c>
      <c r="AX26" s="8">
        <f t="shared" ca="1" si="24"/>
        <v>1.5</v>
      </c>
      <c r="AY26" s="8">
        <f t="shared" ca="1" si="25"/>
        <v>1.5</v>
      </c>
      <c r="AZ26" s="8">
        <f t="shared" ca="1" si="20"/>
        <v>1.9</v>
      </c>
      <c r="BA26" s="8">
        <f t="shared" ca="1" si="21"/>
        <v>1.9</v>
      </c>
      <c r="BB26" s="8">
        <f t="shared" ca="1" si="22"/>
        <v>1.9</v>
      </c>
      <c r="BC26" s="8">
        <f t="shared" ca="1" si="23"/>
        <v>1.9</v>
      </c>
      <c r="BE26" s="8">
        <f t="shared" ca="1" si="26"/>
        <v>0</v>
      </c>
      <c r="BF26" s="8">
        <f t="shared" ca="1" si="27"/>
        <v>0</v>
      </c>
      <c r="BG26" s="8">
        <f t="shared" ca="1" si="28"/>
        <v>0</v>
      </c>
    </row>
    <row r="27" spans="1:59" x14ac:dyDescent="0.2">
      <c r="A27" s="8" t="s">
        <v>13</v>
      </c>
      <c r="B27" s="8" t="s">
        <v>265</v>
      </c>
      <c r="C27" s="8">
        <v>-29.5</v>
      </c>
      <c r="D27" s="8">
        <v>471829</v>
      </c>
      <c r="E27" s="8">
        <v>5956840</v>
      </c>
      <c r="F27" s="8">
        <v>0</v>
      </c>
      <c r="G27" s="8">
        <v>-0.6</v>
      </c>
      <c r="H27" s="8">
        <v>0</v>
      </c>
      <c r="I27" s="8">
        <v>2</v>
      </c>
      <c r="J27" s="8">
        <v>0</v>
      </c>
      <c r="K27" s="8">
        <v>-60.2</v>
      </c>
      <c r="L27" s="8">
        <v>30.7</v>
      </c>
      <c r="M27" s="8">
        <v>1493.6559999999999</v>
      </c>
      <c r="N27" s="8">
        <v>85.6</v>
      </c>
      <c r="O27" s="8">
        <v>8</v>
      </c>
      <c r="P27" s="8">
        <v>10</v>
      </c>
      <c r="Q27" s="8">
        <v>3.01</v>
      </c>
      <c r="R27" s="8">
        <v>64</v>
      </c>
      <c r="S27" s="8">
        <v>110</v>
      </c>
      <c r="T27" s="3">
        <v>147</v>
      </c>
      <c r="U27" s="8">
        <v>1295.9570000000001</v>
      </c>
      <c r="V27" s="8">
        <v>461.274</v>
      </c>
      <c r="W27" s="8">
        <v>752.85199999999998</v>
      </c>
      <c r="X27" s="8">
        <v>132.18100000000001</v>
      </c>
      <c r="Y27" s="8">
        <v>4.9400000000000004</v>
      </c>
      <c r="Z27" s="8">
        <v>8.0150000000000006</v>
      </c>
      <c r="AA27" s="8">
        <v>21.7</v>
      </c>
      <c r="AB27" s="8">
        <v>290.5</v>
      </c>
      <c r="AC27" s="8">
        <v>12313</v>
      </c>
      <c r="AD27" s="8">
        <v>2844</v>
      </c>
      <c r="AE27" s="8">
        <v>268</v>
      </c>
      <c r="AF27" s="8" cm="1">
        <f t="array" aca="1" ref="AF27" ca="1">_xlfn.XLOOKUP($A27,    INDIRECT("'" &amp; AF$16 &amp; "'!$A$20:$A$219"),    _xlfn.XLOOKUP(AF$18,INDIRECT("'" &amp; AF$16 &amp; "'!$B$18:$BC$18"), INDIRECT("'" &amp; AF$16 &amp; "'!$B$20:$BC$219"),"XXXXX",0,1),    "XX",    0,    1)</f>
        <v>17</v>
      </c>
      <c r="AG27" s="8" cm="1">
        <f t="array" aca="1" ref="AG27" ca="1">_xlfn.XLOOKUP($A27,    INDIRECT("'" &amp; AG$16 &amp; "'!$A$20:$A$219"),    _xlfn.XLOOKUP(AG$18,INDIRECT("'" &amp; AG$16 &amp; "'!$B$18:$BC$18"), INDIRECT("'" &amp; AG$16 &amp; "'!$B$20:$BC$219"),"XXXXX",0,1),    "XX",    0,    1)</f>
        <v>17</v>
      </c>
      <c r="AH27" s="8" cm="1">
        <f t="array" aca="1" ref="AH27" ca="1">_xlfn.XLOOKUP($A27,    INDIRECT("'" &amp; AH$16 &amp; "'!$A$20:$A$219"),    _xlfn.XLOOKUP(AH$18,INDIRECT("'" &amp; AH$16 &amp; "'!$B$18:$BC$18"), INDIRECT("'" &amp; AH$16 &amp; "'!$B$20:$BC$219"),"XXXXX",0,1),    "XX",    0,    1)</f>
        <v>21</v>
      </c>
      <c r="AI27" s="8" cm="1">
        <f t="array" aca="1" ref="AI27" ca="1">_xlfn.XLOOKUP($A27,    INDIRECT("'" &amp; AI$16 &amp; "'!$A$20:$A$219"),    _xlfn.XLOOKUP(AI$18,INDIRECT("'" &amp; AI$16 &amp; "'!$B$18:$BC$18"), INDIRECT("'" &amp; AI$16 &amp; "'!$B$20:$BC$219"),"XXXXX",0,1),    "XX",    0,    1)</f>
        <v>21</v>
      </c>
      <c r="AJ27" s="8" cm="1">
        <f t="array" aca="1" ref="AJ27" ca="1">_xlfn.XLOOKUP($A27,    INDIRECT("'" &amp; AJ$16 &amp; "'!$A$20:$A$219"),    _xlfn.XLOOKUP(AJ$18,INDIRECT("'" &amp; AJ$16 &amp; "'!$B$18:$BC$18"), INDIRECT("'" &amp; AJ$16 &amp; "'!$B$20:$BC$219"),"XXXXX",0,1),    "XX",    0,    1)</f>
        <v>21</v>
      </c>
      <c r="AK27" s="8" cm="1">
        <f t="array" aca="1" ref="AK27" ca="1">_xlfn.XLOOKUP($A27,    INDIRECT("'" &amp; AK$16 &amp; "'!$A$20:$A$219"),    _xlfn.XLOOKUP(AK$18,INDIRECT("'" &amp; AK$16 &amp; "'!$B$18:$BC$18"), INDIRECT("'" &amp; AK$16 &amp; "'!$B$20:$BC$219"),"XXXXX",0,1),    "XX",    0,    1)</f>
        <v>21</v>
      </c>
      <c r="AM27" s="16"/>
      <c r="AW27" s="8">
        <v>1</v>
      </c>
      <c r="AX27" s="8">
        <f t="shared" ca="1" si="24"/>
        <v>1.7</v>
      </c>
      <c r="AY27" s="8">
        <f t="shared" ca="1" si="25"/>
        <v>1.7</v>
      </c>
      <c r="AZ27" s="8">
        <f t="shared" ca="1" si="20"/>
        <v>2.1</v>
      </c>
      <c r="BA27" s="8">
        <f t="shared" ca="1" si="21"/>
        <v>2.1</v>
      </c>
      <c r="BB27" s="8">
        <f t="shared" ca="1" si="22"/>
        <v>2.1</v>
      </c>
      <c r="BC27" s="8">
        <f t="shared" ca="1" si="23"/>
        <v>2.1</v>
      </c>
      <c r="BE27" s="8">
        <f t="shared" ca="1" si="26"/>
        <v>0</v>
      </c>
      <c r="BF27" s="8">
        <f t="shared" ca="1" si="27"/>
        <v>0</v>
      </c>
      <c r="BG27" s="8">
        <f t="shared" ca="1" si="28"/>
        <v>0</v>
      </c>
    </row>
    <row r="28" spans="1:59" x14ac:dyDescent="0.2">
      <c r="A28" s="8" t="s">
        <v>140</v>
      </c>
      <c r="B28" s="8" t="s">
        <v>265</v>
      </c>
      <c r="C28" s="8">
        <v>-30.2</v>
      </c>
      <c r="D28" s="8">
        <v>473388</v>
      </c>
      <c r="E28" s="8">
        <v>5956030</v>
      </c>
      <c r="F28" s="8">
        <v>0</v>
      </c>
      <c r="G28" s="8">
        <v>-0.7</v>
      </c>
      <c r="H28" s="8">
        <v>0</v>
      </c>
      <c r="I28" s="8">
        <v>2</v>
      </c>
      <c r="J28" s="8">
        <v>0</v>
      </c>
      <c r="K28" s="8">
        <v>-60.4</v>
      </c>
      <c r="L28" s="8">
        <v>30.2</v>
      </c>
      <c r="M28" s="8">
        <v>1467.4380000000001</v>
      </c>
      <c r="N28" s="8">
        <v>85.8</v>
      </c>
      <c r="O28" s="8">
        <v>8</v>
      </c>
      <c r="P28" s="8">
        <v>10</v>
      </c>
      <c r="Q28" s="8">
        <v>2.95</v>
      </c>
      <c r="R28" s="8">
        <v>68</v>
      </c>
      <c r="S28" s="8">
        <v>110</v>
      </c>
      <c r="T28" s="3">
        <v>147</v>
      </c>
      <c r="U28" s="8">
        <v>1296.183</v>
      </c>
      <c r="V28" s="8">
        <v>549.80399999999997</v>
      </c>
      <c r="W28" s="8">
        <v>752.85199999999998</v>
      </c>
      <c r="X28" s="8">
        <v>132.18100000000001</v>
      </c>
      <c r="Y28" s="8">
        <v>4.9400000000000004</v>
      </c>
      <c r="Z28" s="8">
        <v>8.0150000000000006</v>
      </c>
      <c r="AA28" s="8">
        <v>21.7</v>
      </c>
      <c r="AB28" s="8">
        <v>290.5</v>
      </c>
      <c r="AC28" s="8">
        <v>12326</v>
      </c>
      <c r="AD28" s="8">
        <v>2889</v>
      </c>
      <c r="AE28" s="8">
        <v>268</v>
      </c>
      <c r="AF28" s="8" cm="1">
        <f t="array" aca="1" ref="AF28" ca="1">_xlfn.XLOOKUP($A28,    INDIRECT("'" &amp; AF$16 &amp; "'!$A$20:$A$219"),    _xlfn.XLOOKUP(AF$18,INDIRECT("'" &amp; AF$16 &amp; "'!$B$18:$BC$18"), INDIRECT("'" &amp; AF$16 &amp; "'!$B$20:$BC$219"),"XXXXX",0,1),    "XX",    0,    1)</f>
        <v>15</v>
      </c>
      <c r="AG28" s="8" cm="1">
        <f t="array" aca="1" ref="AG28" ca="1">_xlfn.XLOOKUP($A28,    INDIRECT("'" &amp; AG$16 &amp; "'!$A$20:$A$219"),    _xlfn.XLOOKUP(AG$18,INDIRECT("'" &amp; AG$16 &amp; "'!$B$18:$BC$18"), INDIRECT("'" &amp; AG$16 &amp; "'!$B$20:$BC$219"),"XXXXX",0,1),    "XX",    0,    1)</f>
        <v>15</v>
      </c>
      <c r="AH28" s="8" cm="1">
        <f t="array" aca="1" ref="AH28" ca="1">_xlfn.XLOOKUP($A28,    INDIRECT("'" &amp; AH$16 &amp; "'!$A$20:$A$219"),    _xlfn.XLOOKUP(AH$18,INDIRECT("'" &amp; AH$16 &amp; "'!$B$18:$BC$18"), INDIRECT("'" &amp; AH$16 &amp; "'!$B$20:$BC$219"),"XXXXX",0,1),    "XX",    0,    1)</f>
        <v>19</v>
      </c>
      <c r="AI28" s="8" cm="1">
        <f t="array" aca="1" ref="AI28" ca="1">_xlfn.XLOOKUP($A28,    INDIRECT("'" &amp; AI$16 &amp; "'!$A$20:$A$219"),    _xlfn.XLOOKUP(AI$18,INDIRECT("'" &amp; AI$16 &amp; "'!$B$18:$BC$18"), INDIRECT("'" &amp; AI$16 &amp; "'!$B$20:$BC$219"),"XXXXX",0,1),    "XX",    0,    1)</f>
        <v>19</v>
      </c>
      <c r="AJ28" s="8" cm="1">
        <f t="array" aca="1" ref="AJ28" ca="1">_xlfn.XLOOKUP($A28,    INDIRECT("'" &amp; AJ$16 &amp; "'!$A$20:$A$219"),    _xlfn.XLOOKUP(AJ$18,INDIRECT("'" &amp; AJ$16 &amp; "'!$B$18:$BC$18"), INDIRECT("'" &amp; AJ$16 &amp; "'!$B$20:$BC$219"),"XXXXX",0,1),    "XX",    0,    1)</f>
        <v>21</v>
      </c>
      <c r="AK28" s="8" cm="1">
        <f t="array" aca="1" ref="AK28" ca="1">_xlfn.XLOOKUP($A28,    INDIRECT("'" &amp; AK$16 &amp; "'!$A$20:$A$219"),    _xlfn.XLOOKUP(AK$18,INDIRECT("'" &amp; AK$16 &amp; "'!$B$18:$BC$18"), INDIRECT("'" &amp; AK$16 &amp; "'!$B$20:$BC$219"),"XXXXX",0,1),    "XX",    0,    1)</f>
        <v>21</v>
      </c>
      <c r="AM28" s="16"/>
      <c r="AW28" s="8">
        <v>1</v>
      </c>
      <c r="AX28" s="8">
        <f t="shared" ca="1" si="24"/>
        <v>1.5</v>
      </c>
      <c r="AY28" s="8">
        <f t="shared" ca="1" si="25"/>
        <v>1.5</v>
      </c>
      <c r="AZ28" s="8">
        <f t="shared" ca="1" si="20"/>
        <v>1.9</v>
      </c>
      <c r="BA28" s="8">
        <f t="shared" ca="1" si="21"/>
        <v>1.9</v>
      </c>
      <c r="BB28" s="8">
        <f t="shared" ca="1" si="22"/>
        <v>2.1</v>
      </c>
      <c r="BC28" s="8">
        <f t="shared" ca="1" si="23"/>
        <v>2.1</v>
      </c>
      <c r="BE28" s="8">
        <f t="shared" ca="1" si="26"/>
        <v>0</v>
      </c>
      <c r="BF28" s="8">
        <f t="shared" ca="1" si="27"/>
        <v>0</v>
      </c>
      <c r="BG28" s="8">
        <f t="shared" ca="1" si="28"/>
        <v>0</v>
      </c>
    </row>
    <row r="29" spans="1:59" x14ac:dyDescent="0.2">
      <c r="A29" s="8" t="s">
        <v>150</v>
      </c>
      <c r="B29" s="8" t="s">
        <v>265</v>
      </c>
      <c r="C29" s="8">
        <v>-31.4</v>
      </c>
      <c r="D29" s="8">
        <v>474937</v>
      </c>
      <c r="E29" s="8">
        <v>5955210</v>
      </c>
      <c r="F29" s="8">
        <v>0</v>
      </c>
      <c r="G29" s="8">
        <v>-0.7</v>
      </c>
      <c r="H29" s="8">
        <v>0</v>
      </c>
      <c r="I29" s="8">
        <v>2</v>
      </c>
      <c r="J29" s="8">
        <v>0</v>
      </c>
      <c r="K29" s="8">
        <v>-59.6</v>
      </c>
      <c r="L29" s="8">
        <v>28.2</v>
      </c>
      <c r="M29" s="8">
        <v>1456.664</v>
      </c>
      <c r="N29" s="8">
        <v>85</v>
      </c>
      <c r="O29" s="8">
        <v>8</v>
      </c>
      <c r="P29" s="8">
        <v>10</v>
      </c>
      <c r="Q29" s="8">
        <v>2.75</v>
      </c>
      <c r="R29" s="8">
        <v>68</v>
      </c>
      <c r="S29" s="8">
        <v>110</v>
      </c>
      <c r="T29" s="3">
        <v>147</v>
      </c>
      <c r="U29" s="8">
        <v>1296.1079999999999</v>
      </c>
      <c r="V29" s="8">
        <v>549.33900000000006</v>
      </c>
      <c r="W29" s="8">
        <v>752.85199999999998</v>
      </c>
      <c r="X29" s="8">
        <v>132.18100000000001</v>
      </c>
      <c r="Y29" s="8">
        <v>4.9400000000000004</v>
      </c>
      <c r="Z29" s="8">
        <v>8.0150000000000006</v>
      </c>
      <c r="AA29" s="8">
        <v>21.7</v>
      </c>
      <c r="AB29" s="8">
        <v>290.5</v>
      </c>
      <c r="AC29" s="8">
        <v>12276</v>
      </c>
      <c r="AD29" s="8">
        <v>2963</v>
      </c>
      <c r="AE29" s="8">
        <v>268</v>
      </c>
      <c r="AF29" s="8" cm="1">
        <f t="array" aca="1" ref="AF29" ca="1">_xlfn.XLOOKUP($A29,    INDIRECT("'" &amp; AF$16 &amp; "'!$A$20:$A$219"),    _xlfn.XLOOKUP(AF$18,INDIRECT("'" &amp; AF$16 &amp; "'!$B$18:$BC$18"), INDIRECT("'" &amp; AF$16 &amp; "'!$B$20:$BC$219"),"XXXXX",0,1),    "XX",    0,    1)</f>
        <v>15</v>
      </c>
      <c r="AG29" s="8" cm="1">
        <f t="array" aca="1" ref="AG29" ca="1">_xlfn.XLOOKUP($A29,    INDIRECT("'" &amp; AG$16 &amp; "'!$A$20:$A$219"),    _xlfn.XLOOKUP(AG$18,INDIRECT("'" &amp; AG$16 &amp; "'!$B$18:$BC$18"), INDIRECT("'" &amp; AG$16 &amp; "'!$B$20:$BC$219"),"XXXXX",0,1),    "XX",    0,    1)</f>
        <v>15</v>
      </c>
      <c r="AH29" s="8" cm="1">
        <f t="array" aca="1" ref="AH29" ca="1">_xlfn.XLOOKUP($A29,    INDIRECT("'" &amp; AH$16 &amp; "'!$A$20:$A$219"),    _xlfn.XLOOKUP(AH$18,INDIRECT("'" &amp; AH$16 &amp; "'!$B$18:$BC$18"), INDIRECT("'" &amp; AH$16 &amp; "'!$B$20:$BC$219"),"XXXXX",0,1),    "XX",    0,    1)</f>
        <v>17</v>
      </c>
      <c r="AI29" s="8" cm="1">
        <f t="array" aca="1" ref="AI29" ca="1">_xlfn.XLOOKUP($A29,    INDIRECT("'" &amp; AI$16 &amp; "'!$A$20:$A$219"),    _xlfn.XLOOKUP(AI$18,INDIRECT("'" &amp; AI$16 &amp; "'!$B$18:$BC$18"), INDIRECT("'" &amp; AI$16 &amp; "'!$B$20:$BC$219"),"XXXXX",0,1),    "XX",    0,    1)</f>
        <v>17</v>
      </c>
      <c r="AJ29" s="8" cm="1">
        <f t="array" aca="1" ref="AJ29" ca="1">_xlfn.XLOOKUP($A29,    INDIRECT("'" &amp; AJ$16 &amp; "'!$A$20:$A$219"),    _xlfn.XLOOKUP(AJ$18,INDIRECT("'" &amp; AJ$16 &amp; "'!$B$18:$BC$18"), INDIRECT("'" &amp; AJ$16 &amp; "'!$B$20:$BC$219"),"XXXXX",0,1),    "XX",    0,    1)</f>
        <v>19</v>
      </c>
      <c r="AK29" s="8" cm="1">
        <f t="array" aca="1" ref="AK29" ca="1">_xlfn.XLOOKUP($A29,    INDIRECT("'" &amp; AK$16 &amp; "'!$A$20:$A$219"),    _xlfn.XLOOKUP(AK$18,INDIRECT("'" &amp; AK$16 &amp; "'!$B$18:$BC$18"), INDIRECT("'" &amp; AK$16 &amp; "'!$B$20:$BC$219"),"XXXXX",0,1),    "XX",    0,    1)</f>
        <v>19</v>
      </c>
      <c r="AM29" s="16"/>
      <c r="AW29" s="8">
        <v>1</v>
      </c>
      <c r="AX29" s="8">
        <f t="shared" ca="1" si="24"/>
        <v>1.5</v>
      </c>
      <c r="AY29" s="8">
        <f t="shared" ca="1" si="25"/>
        <v>1.5</v>
      </c>
      <c r="AZ29" s="8">
        <f t="shared" ca="1" si="20"/>
        <v>1.7</v>
      </c>
      <c r="BA29" s="8">
        <f t="shared" ca="1" si="21"/>
        <v>1.7</v>
      </c>
      <c r="BB29" s="8">
        <f t="shared" ca="1" si="22"/>
        <v>1.9</v>
      </c>
      <c r="BC29" s="8">
        <f t="shared" ca="1" si="23"/>
        <v>1.9</v>
      </c>
      <c r="BE29" s="8">
        <f t="shared" ca="1" si="26"/>
        <v>0</v>
      </c>
      <c r="BF29" s="8">
        <f t="shared" ca="1" si="27"/>
        <v>0</v>
      </c>
      <c r="BG29" s="8">
        <f t="shared" ca="1" si="28"/>
        <v>0</v>
      </c>
    </row>
    <row r="30" spans="1:59" x14ac:dyDescent="0.2">
      <c r="A30" s="8" t="s">
        <v>119</v>
      </c>
      <c r="B30" s="8" t="s">
        <v>265</v>
      </c>
      <c r="C30" s="8">
        <v>-33.799999999999997</v>
      </c>
      <c r="D30" s="8">
        <v>476497</v>
      </c>
      <c r="E30" s="8">
        <v>5954390</v>
      </c>
      <c r="F30" s="8">
        <v>0</v>
      </c>
      <c r="G30" s="8">
        <v>-0.7</v>
      </c>
      <c r="H30" s="8">
        <v>0</v>
      </c>
      <c r="I30" s="8">
        <v>2</v>
      </c>
      <c r="J30" s="8">
        <v>0</v>
      </c>
      <c r="K30" s="8">
        <v>-61.5</v>
      </c>
      <c r="L30" s="8">
        <v>27.7</v>
      </c>
      <c r="M30" s="8">
        <v>1529.1079999999999</v>
      </c>
      <c r="N30" s="8">
        <v>86.9</v>
      </c>
      <c r="O30" s="8">
        <v>8</v>
      </c>
      <c r="P30" s="8">
        <v>10</v>
      </c>
      <c r="Q30" s="8">
        <v>2.7</v>
      </c>
      <c r="R30" s="8">
        <v>68</v>
      </c>
      <c r="S30" s="8">
        <v>110</v>
      </c>
      <c r="T30" s="3">
        <v>147</v>
      </c>
      <c r="U30" s="8">
        <v>1295.8320000000001</v>
      </c>
      <c r="V30" s="8">
        <v>553.76199999999994</v>
      </c>
      <c r="W30" s="8">
        <v>752.85199999999998</v>
      </c>
      <c r="X30" s="8">
        <v>132.18100000000001</v>
      </c>
      <c r="Y30" s="8">
        <v>4.9400000000000004</v>
      </c>
      <c r="Z30" s="8">
        <v>8.0150000000000006</v>
      </c>
      <c r="AA30" s="8">
        <v>21.7</v>
      </c>
      <c r="AB30" s="8">
        <v>290.5</v>
      </c>
      <c r="AC30" s="8">
        <v>12393</v>
      </c>
      <c r="AD30" s="8">
        <v>3112</v>
      </c>
      <c r="AE30" s="8">
        <v>268</v>
      </c>
      <c r="AF30" s="8" cm="1">
        <f t="array" aca="1" ref="AF30" ca="1">_xlfn.XLOOKUP($A30,    INDIRECT("'" &amp; AF$16 &amp; "'!$A$20:$A$219"),    _xlfn.XLOOKUP(AF$18,INDIRECT("'" &amp; AF$16 &amp; "'!$B$18:$BC$18"), INDIRECT("'" &amp; AF$16 &amp; "'!$B$20:$BC$219"),"XXXXX",0,1),    "XX",    0,    1)</f>
        <v>15</v>
      </c>
      <c r="AG30" s="8" cm="1">
        <f t="array" aca="1" ref="AG30" ca="1">_xlfn.XLOOKUP($A30,    INDIRECT("'" &amp; AG$16 &amp; "'!$A$20:$A$219"),    _xlfn.XLOOKUP(AG$18,INDIRECT("'" &amp; AG$16 &amp; "'!$B$18:$BC$18"), INDIRECT("'" &amp; AG$16 &amp; "'!$B$20:$BC$219"),"XXXXX",0,1),    "XX",    0,    1)</f>
        <v>15</v>
      </c>
      <c r="AH30" s="8" cm="1">
        <f t="array" aca="1" ref="AH30" ca="1">_xlfn.XLOOKUP($A30,    INDIRECT("'" &amp; AH$16 &amp; "'!$A$20:$A$219"),    _xlfn.XLOOKUP(AH$18,INDIRECT("'" &amp; AH$16 &amp; "'!$B$18:$BC$18"), INDIRECT("'" &amp; AH$16 &amp; "'!$B$20:$BC$219"),"XXXXX",0,1),    "XX",    0,    1)</f>
        <v>17</v>
      </c>
      <c r="AI30" s="8" cm="1">
        <f t="array" aca="1" ref="AI30" ca="1">_xlfn.XLOOKUP($A30,    INDIRECT("'" &amp; AI$16 &amp; "'!$A$20:$A$219"),    _xlfn.XLOOKUP(AI$18,INDIRECT("'" &amp; AI$16 &amp; "'!$B$18:$BC$18"), INDIRECT("'" &amp; AI$16 &amp; "'!$B$20:$BC$219"),"XXXXX",0,1),    "XX",    0,    1)</f>
        <v>17</v>
      </c>
      <c r="AJ30" s="8" cm="1">
        <f t="array" aca="1" ref="AJ30" ca="1">_xlfn.XLOOKUP($A30,    INDIRECT("'" &amp; AJ$16 &amp; "'!$A$20:$A$219"),    _xlfn.XLOOKUP(AJ$18,INDIRECT("'" &amp; AJ$16 &amp; "'!$B$18:$BC$18"), INDIRECT("'" &amp; AJ$16 &amp; "'!$B$20:$BC$219"),"XXXXX",0,1),    "XX",    0,    1)</f>
        <v>19</v>
      </c>
      <c r="AK30" s="8" cm="1">
        <f t="array" aca="1" ref="AK30" ca="1">_xlfn.XLOOKUP($A30,    INDIRECT("'" &amp; AK$16 &amp; "'!$A$20:$A$219"),    _xlfn.XLOOKUP(AK$18,INDIRECT("'" &amp; AK$16 &amp; "'!$B$18:$BC$18"), INDIRECT("'" &amp; AK$16 &amp; "'!$B$20:$BC$219"),"XXXXX",0,1),    "XX",    0,    1)</f>
        <v>19</v>
      </c>
      <c r="AM30" s="16"/>
      <c r="AW30" s="8">
        <v>1</v>
      </c>
      <c r="AX30" s="8">
        <f t="shared" ca="1" si="24"/>
        <v>1.5</v>
      </c>
      <c r="AY30" s="8">
        <f t="shared" ca="1" si="25"/>
        <v>1.5</v>
      </c>
      <c r="AZ30" s="8">
        <f t="shared" ca="1" si="20"/>
        <v>1.7</v>
      </c>
      <c r="BA30" s="8">
        <f t="shared" ca="1" si="21"/>
        <v>1.7</v>
      </c>
      <c r="BB30" s="8">
        <f t="shared" ca="1" si="22"/>
        <v>1.9</v>
      </c>
      <c r="BC30" s="8">
        <f t="shared" ca="1" si="23"/>
        <v>1.9</v>
      </c>
      <c r="BE30" s="8">
        <f t="shared" ca="1" si="26"/>
        <v>0</v>
      </c>
      <c r="BF30" s="8">
        <f t="shared" ca="1" si="27"/>
        <v>0</v>
      </c>
      <c r="BG30" s="8">
        <f t="shared" ca="1" si="28"/>
        <v>0</v>
      </c>
    </row>
    <row r="31" spans="1:59" x14ac:dyDescent="0.2">
      <c r="A31" s="8" t="s">
        <v>53</v>
      </c>
      <c r="B31" s="8" t="s">
        <v>265</v>
      </c>
      <c r="C31" s="8">
        <v>-36.200000000000003</v>
      </c>
      <c r="D31" s="8">
        <v>478064</v>
      </c>
      <c r="E31" s="8">
        <v>5953570</v>
      </c>
      <c r="F31" s="8">
        <v>0</v>
      </c>
      <c r="G31" s="8">
        <v>-0.7</v>
      </c>
      <c r="H31" s="8">
        <v>0</v>
      </c>
      <c r="I31" s="8">
        <v>2</v>
      </c>
      <c r="J31" s="8">
        <v>0</v>
      </c>
      <c r="K31" s="8">
        <v>-64.8</v>
      </c>
      <c r="L31" s="8">
        <v>28.6</v>
      </c>
      <c r="M31" s="8">
        <v>1666.5830000000001</v>
      </c>
      <c r="N31" s="8">
        <v>90.2</v>
      </c>
      <c r="O31" s="8">
        <v>8</v>
      </c>
      <c r="P31" s="8">
        <v>10</v>
      </c>
      <c r="Q31" s="8">
        <v>2.79</v>
      </c>
      <c r="R31" s="8">
        <v>68</v>
      </c>
      <c r="S31" s="8">
        <v>110</v>
      </c>
      <c r="T31" s="3">
        <v>147</v>
      </c>
      <c r="U31" s="8">
        <v>1357.6959999999999</v>
      </c>
      <c r="V31" s="8">
        <v>422.00400000000002</v>
      </c>
      <c r="W31" s="8">
        <v>752.85199999999998</v>
      </c>
      <c r="X31" s="8">
        <v>132.18100000000001</v>
      </c>
      <c r="Y31" s="8">
        <v>4.9400000000000004</v>
      </c>
      <c r="Z31" s="8">
        <v>8.0150000000000006</v>
      </c>
      <c r="AA31" s="8">
        <v>21.7</v>
      </c>
      <c r="AB31" s="8">
        <v>290.5</v>
      </c>
      <c r="AC31" s="8">
        <v>12597</v>
      </c>
      <c r="AD31" s="8">
        <v>3260</v>
      </c>
      <c r="AE31" s="8">
        <v>268</v>
      </c>
      <c r="AF31" s="8" cm="1">
        <f t="array" aca="1" ref="AF31" ca="1">_xlfn.XLOOKUP($A31,    INDIRECT("'" &amp; AF$16 &amp; "'!$A$20:$A$219"),    _xlfn.XLOOKUP(AF$18,INDIRECT("'" &amp; AF$16 &amp; "'!$B$18:$BC$18"), INDIRECT("'" &amp; AF$16 &amp; "'!$B$20:$BC$219"),"XXXXX",0,1),    "XX",    0,    1)</f>
        <v>15</v>
      </c>
      <c r="AG31" s="8" cm="1">
        <f t="array" aca="1" ref="AG31" ca="1">_xlfn.XLOOKUP($A31,    INDIRECT("'" &amp; AG$16 &amp; "'!$A$20:$A$219"),    _xlfn.XLOOKUP(AG$18,INDIRECT("'" &amp; AG$16 &amp; "'!$B$18:$BC$18"), INDIRECT("'" &amp; AG$16 &amp; "'!$B$20:$BC$219"),"XXXXX",0,1),    "XX",    0,    1)</f>
        <v>15</v>
      </c>
      <c r="AH31" s="8" cm="1">
        <f t="array" aca="1" ref="AH31" ca="1">_xlfn.XLOOKUP($A31,    INDIRECT("'" &amp; AH$16 &amp; "'!$A$20:$A$219"),    _xlfn.XLOOKUP(AH$18,INDIRECT("'" &amp; AH$16 &amp; "'!$B$18:$BC$18"), INDIRECT("'" &amp; AH$16 &amp; "'!$B$20:$BC$219"),"XXXXX",0,1),    "XX",    0,    1)</f>
        <v>19</v>
      </c>
      <c r="AI31" s="8" cm="1">
        <f t="array" aca="1" ref="AI31" ca="1">_xlfn.XLOOKUP($A31,    INDIRECT("'" &amp; AI$16 &amp; "'!$A$20:$A$219"),    _xlfn.XLOOKUP(AI$18,INDIRECT("'" &amp; AI$16 &amp; "'!$B$18:$BC$18"), INDIRECT("'" &amp; AI$16 &amp; "'!$B$20:$BC$219"),"XXXXX",0,1),    "XX",    0,    1)</f>
        <v>19</v>
      </c>
      <c r="AJ31" s="8" cm="1">
        <f t="array" aca="1" ref="AJ31" ca="1">_xlfn.XLOOKUP($A31,    INDIRECT("'" &amp; AJ$16 &amp; "'!$A$20:$A$219"),    _xlfn.XLOOKUP(AJ$18,INDIRECT("'" &amp; AJ$16 &amp; "'!$B$18:$BC$18"), INDIRECT("'" &amp; AJ$16 &amp; "'!$B$20:$BC$219"),"XXXXX",0,1),    "XX",    0,    1)</f>
        <v>19</v>
      </c>
      <c r="AK31" s="8" cm="1">
        <f t="array" aca="1" ref="AK31" ca="1">_xlfn.XLOOKUP($A31,    INDIRECT("'" &amp; AK$16 &amp; "'!$A$20:$A$219"),    _xlfn.XLOOKUP(AK$18,INDIRECT("'" &amp; AK$16 &amp; "'!$B$18:$BC$18"), INDIRECT("'" &amp; AK$16 &amp; "'!$B$20:$BC$219"),"XXXXX",0,1),    "XX",    0,    1)</f>
        <v>19</v>
      </c>
      <c r="AM31" s="16"/>
      <c r="AW31" s="8">
        <v>1</v>
      </c>
      <c r="AX31" s="8">
        <f t="shared" ca="1" si="24"/>
        <v>1.5</v>
      </c>
      <c r="AY31" s="8">
        <f t="shared" ca="1" si="25"/>
        <v>1.5</v>
      </c>
      <c r="AZ31" s="8">
        <f t="shared" ca="1" si="20"/>
        <v>1.9</v>
      </c>
      <c r="BA31" s="8">
        <f t="shared" ca="1" si="21"/>
        <v>1.9</v>
      </c>
      <c r="BB31" s="8">
        <f t="shared" ca="1" si="22"/>
        <v>1.9</v>
      </c>
      <c r="BC31" s="8">
        <f t="shared" ca="1" si="23"/>
        <v>1.9</v>
      </c>
      <c r="BE31" s="8">
        <f t="shared" ca="1" si="26"/>
        <v>0</v>
      </c>
      <c r="BF31" s="8">
        <f t="shared" ca="1" si="27"/>
        <v>0</v>
      </c>
      <c r="BG31" s="8">
        <f t="shared" ca="1" si="28"/>
        <v>0</v>
      </c>
    </row>
    <row r="32" spans="1:59" x14ac:dyDescent="0.2">
      <c r="A32" s="8" t="s">
        <v>40</v>
      </c>
      <c r="B32" s="8" t="s">
        <v>265</v>
      </c>
      <c r="C32" s="8">
        <v>-36.1</v>
      </c>
      <c r="D32" s="8">
        <v>479604</v>
      </c>
      <c r="E32" s="8">
        <v>5952760</v>
      </c>
      <c r="F32" s="8">
        <v>0</v>
      </c>
      <c r="G32" s="8">
        <v>-0.6</v>
      </c>
      <c r="H32" s="8">
        <v>0</v>
      </c>
      <c r="I32" s="8">
        <v>2</v>
      </c>
      <c r="J32" s="8">
        <v>0</v>
      </c>
      <c r="K32" s="8">
        <v>-65.3</v>
      </c>
      <c r="L32" s="8">
        <v>29.2</v>
      </c>
      <c r="M32" s="8">
        <v>1673.229</v>
      </c>
      <c r="N32" s="8">
        <v>90.7</v>
      </c>
      <c r="O32" s="8">
        <v>8</v>
      </c>
      <c r="P32" s="8">
        <v>10</v>
      </c>
      <c r="Q32" s="8">
        <v>2.86</v>
      </c>
      <c r="R32" s="8">
        <v>68</v>
      </c>
      <c r="S32" s="8">
        <v>110</v>
      </c>
      <c r="T32" s="3">
        <v>147</v>
      </c>
      <c r="U32" s="8">
        <v>1357.7080000000001</v>
      </c>
      <c r="V32" s="8">
        <v>427.75900000000001</v>
      </c>
      <c r="W32" s="8">
        <v>752.85199999999998</v>
      </c>
      <c r="X32" s="8">
        <v>132.18100000000001</v>
      </c>
      <c r="Y32" s="8">
        <v>4.9400000000000004</v>
      </c>
      <c r="Z32" s="8">
        <v>8.0150000000000006</v>
      </c>
      <c r="AA32" s="8">
        <v>21.7</v>
      </c>
      <c r="AB32" s="8">
        <v>290.5</v>
      </c>
      <c r="AC32" s="8">
        <v>12628</v>
      </c>
      <c r="AD32" s="8">
        <v>3254</v>
      </c>
      <c r="AE32" s="8">
        <v>268</v>
      </c>
      <c r="AF32" s="8" cm="1">
        <f t="array" aca="1" ref="AF32" ca="1">_xlfn.XLOOKUP($A32,    INDIRECT("'" &amp; AF$16 &amp; "'!$A$20:$A$219"),    _xlfn.XLOOKUP(AF$18,INDIRECT("'" &amp; AF$16 &amp; "'!$B$18:$BC$18"), INDIRECT("'" &amp; AF$16 &amp; "'!$B$20:$BC$219"),"XXXXX",0,1),    "XX",    0,    1)</f>
        <v>15</v>
      </c>
      <c r="AG32" s="8" cm="1">
        <f t="array" aca="1" ref="AG32" ca="1">_xlfn.XLOOKUP($A32,    INDIRECT("'" &amp; AG$16 &amp; "'!$A$20:$A$219"),    _xlfn.XLOOKUP(AG$18,INDIRECT("'" &amp; AG$16 &amp; "'!$B$18:$BC$18"), INDIRECT("'" &amp; AG$16 &amp; "'!$B$20:$BC$219"),"XXXXX",0,1),    "XX",    0,    1)</f>
        <v>15</v>
      </c>
      <c r="AH32" s="8" cm="1">
        <f t="array" aca="1" ref="AH32" ca="1">_xlfn.XLOOKUP($A32,    INDIRECT("'" &amp; AH$16 &amp; "'!$A$20:$A$219"),    _xlfn.XLOOKUP(AH$18,INDIRECT("'" &amp; AH$16 &amp; "'!$B$18:$BC$18"), INDIRECT("'" &amp; AH$16 &amp; "'!$B$20:$BC$219"),"XXXXX",0,1),    "XX",    0,    1)</f>
        <v>19</v>
      </c>
      <c r="AI32" s="8" cm="1">
        <f t="array" aca="1" ref="AI32" ca="1">_xlfn.XLOOKUP($A32,    INDIRECT("'" &amp; AI$16 &amp; "'!$A$20:$A$219"),    _xlfn.XLOOKUP(AI$18,INDIRECT("'" &amp; AI$16 &amp; "'!$B$18:$BC$18"), INDIRECT("'" &amp; AI$16 &amp; "'!$B$20:$BC$219"),"XXXXX",0,1),    "XX",    0,    1)</f>
        <v>19</v>
      </c>
      <c r="AJ32" s="8" cm="1">
        <f t="array" aca="1" ref="AJ32" ca="1">_xlfn.XLOOKUP($A32,    INDIRECT("'" &amp; AJ$16 &amp; "'!$A$20:$A$219"),    _xlfn.XLOOKUP(AJ$18,INDIRECT("'" &amp; AJ$16 &amp; "'!$B$18:$BC$18"), INDIRECT("'" &amp; AJ$16 &amp; "'!$B$20:$BC$219"),"XXXXX",0,1),    "XX",    0,    1)</f>
        <v>19</v>
      </c>
      <c r="AK32" s="8" cm="1">
        <f t="array" aca="1" ref="AK32" ca="1">_xlfn.XLOOKUP($A32,    INDIRECT("'" &amp; AK$16 &amp; "'!$A$20:$A$219"),    _xlfn.XLOOKUP(AK$18,INDIRECT("'" &amp; AK$16 &amp; "'!$B$18:$BC$18"), INDIRECT("'" &amp; AK$16 &amp; "'!$B$20:$BC$219"),"XXXXX",0,1),    "XX",    0,    1)</f>
        <v>19</v>
      </c>
      <c r="AM32" s="16"/>
      <c r="AW32" s="8">
        <v>1</v>
      </c>
      <c r="AX32" s="8">
        <f t="shared" ca="1" si="24"/>
        <v>1.5</v>
      </c>
      <c r="AY32" s="8">
        <f t="shared" ca="1" si="25"/>
        <v>1.5</v>
      </c>
      <c r="AZ32" s="8">
        <f t="shared" ca="1" si="20"/>
        <v>1.9</v>
      </c>
      <c r="BA32" s="8">
        <f t="shared" ca="1" si="21"/>
        <v>1.9</v>
      </c>
      <c r="BB32" s="8">
        <f t="shared" ca="1" si="22"/>
        <v>1.9</v>
      </c>
      <c r="BC32" s="8">
        <f t="shared" ca="1" si="23"/>
        <v>1.9</v>
      </c>
      <c r="BE32" s="8">
        <f t="shared" ca="1" si="26"/>
        <v>0</v>
      </c>
      <c r="BF32" s="8">
        <f t="shared" ca="1" si="27"/>
        <v>0</v>
      </c>
      <c r="BG32" s="8">
        <f t="shared" ca="1" si="28"/>
        <v>0</v>
      </c>
    </row>
    <row r="33" spans="1:59" x14ac:dyDescent="0.2">
      <c r="A33" s="8" t="s">
        <v>183</v>
      </c>
      <c r="B33" s="8" t="s">
        <v>265</v>
      </c>
      <c r="C33" s="8">
        <v>-36.200000000000003</v>
      </c>
      <c r="D33" s="8">
        <v>481173</v>
      </c>
      <c r="E33" s="8">
        <v>5951940</v>
      </c>
      <c r="F33" s="8">
        <v>0</v>
      </c>
      <c r="G33" s="8">
        <v>-0.6</v>
      </c>
      <c r="H33" s="8">
        <v>0</v>
      </c>
      <c r="I33" s="8">
        <v>2</v>
      </c>
      <c r="J33" s="8">
        <v>0</v>
      </c>
      <c r="K33" s="8">
        <v>-66.7</v>
      </c>
      <c r="L33" s="8">
        <v>30.5</v>
      </c>
      <c r="M33" s="8">
        <v>1682.5050000000001</v>
      </c>
      <c r="N33" s="8">
        <v>92.1</v>
      </c>
      <c r="O33" s="8">
        <v>8</v>
      </c>
      <c r="P33" s="8">
        <v>10.5</v>
      </c>
      <c r="Q33" s="8">
        <v>2.8475999999999999</v>
      </c>
      <c r="R33" s="8">
        <v>68</v>
      </c>
      <c r="S33" s="8">
        <v>112</v>
      </c>
      <c r="T33" s="3">
        <v>146</v>
      </c>
      <c r="U33" s="8">
        <v>1406.51</v>
      </c>
      <c r="V33" s="8">
        <v>388.74099999999999</v>
      </c>
      <c r="W33" s="8">
        <v>752.85199999999998</v>
      </c>
      <c r="X33" s="8">
        <v>132.18100000000001</v>
      </c>
      <c r="Y33" s="8">
        <v>4.9400000000000004</v>
      </c>
      <c r="Z33" s="8">
        <v>8.0150000000000006</v>
      </c>
      <c r="AA33" s="8">
        <v>21.7</v>
      </c>
      <c r="AB33" s="8">
        <v>290.5</v>
      </c>
      <c r="AC33" s="8">
        <v>12867</v>
      </c>
      <c r="AD33" s="8">
        <v>3323</v>
      </c>
      <c r="AE33" s="8">
        <v>268</v>
      </c>
      <c r="AF33" s="8" cm="1">
        <f t="array" aca="1" ref="AF33" ca="1">_xlfn.XLOOKUP($A33,    INDIRECT("'" &amp; AF$16 &amp; "'!$A$20:$A$219"),    _xlfn.XLOOKUP(AF$18,INDIRECT("'" &amp; AF$16 &amp; "'!$B$18:$BC$18"), INDIRECT("'" &amp; AF$16 &amp; "'!$B$20:$BC$219"),"XXXXX",0,1),    "XX",    0,    1)</f>
        <v>15</v>
      </c>
      <c r="AG33" s="8" cm="1">
        <f t="array" aca="1" ref="AG33" ca="1">_xlfn.XLOOKUP($A33,    INDIRECT("'" &amp; AG$16 &amp; "'!$A$20:$A$219"),    _xlfn.XLOOKUP(AG$18,INDIRECT("'" &amp; AG$16 &amp; "'!$B$18:$BC$18"), INDIRECT("'" &amp; AG$16 &amp; "'!$B$20:$BC$219"),"XXXXX",0,1),    "XX",    0,    1)</f>
        <v>15</v>
      </c>
      <c r="AH33" s="8" cm="1">
        <f t="array" aca="1" ref="AH33" ca="1">_xlfn.XLOOKUP($A33,    INDIRECT("'" &amp; AH$16 &amp; "'!$A$20:$A$219"),    _xlfn.XLOOKUP(AH$18,INDIRECT("'" &amp; AH$16 &amp; "'!$B$18:$BC$18"), INDIRECT("'" &amp; AH$16 &amp; "'!$B$20:$BC$219"),"XXXXX",0,1),    "XX",    0,    1)</f>
        <v>19</v>
      </c>
      <c r="AI33" s="8" cm="1">
        <f t="array" aca="1" ref="AI33" ca="1">_xlfn.XLOOKUP($A33,    INDIRECT("'" &amp; AI$16 &amp; "'!$A$20:$A$219"),    _xlfn.XLOOKUP(AI$18,INDIRECT("'" &amp; AI$16 &amp; "'!$B$18:$BC$18"), INDIRECT("'" &amp; AI$16 &amp; "'!$B$20:$BC$219"),"XXXXX",0,1),    "XX",    0,    1)</f>
        <v>19</v>
      </c>
      <c r="AJ33" s="8" cm="1">
        <f t="array" aca="1" ref="AJ33" ca="1">_xlfn.XLOOKUP($A33,    INDIRECT("'" &amp; AJ$16 &amp; "'!$A$20:$A$219"),    _xlfn.XLOOKUP(AJ$18,INDIRECT("'" &amp; AJ$16 &amp; "'!$B$18:$BC$18"), INDIRECT("'" &amp; AJ$16 &amp; "'!$B$20:$BC$219"),"XXXXX",0,1),    "XX",    0,    1)</f>
        <v>21</v>
      </c>
      <c r="AK33" s="8" cm="1">
        <f t="array" aca="1" ref="AK33" ca="1">_xlfn.XLOOKUP($A33,    INDIRECT("'" &amp; AK$16 &amp; "'!$A$20:$A$219"),    _xlfn.XLOOKUP(AK$18,INDIRECT("'" &amp; AK$16 &amp; "'!$B$18:$BC$18"), INDIRECT("'" &amp; AK$16 &amp; "'!$B$20:$BC$219"),"XXXXX",0,1),    "XX",    0,    1)</f>
        <v>21</v>
      </c>
      <c r="AM33" s="16"/>
      <c r="AW33" s="8">
        <v>1</v>
      </c>
      <c r="AX33" s="8">
        <f t="shared" ca="1" si="24"/>
        <v>1.4285714285714286</v>
      </c>
      <c r="AY33" s="8">
        <f t="shared" ca="1" si="25"/>
        <v>1.4285714285714286</v>
      </c>
      <c r="AZ33" s="8">
        <f t="shared" ca="1" si="20"/>
        <v>1.8095238095238095</v>
      </c>
      <c r="BA33" s="8">
        <f t="shared" ca="1" si="21"/>
        <v>1.8095238095238095</v>
      </c>
      <c r="BB33" s="8">
        <f t="shared" ca="1" si="22"/>
        <v>2</v>
      </c>
      <c r="BC33" s="8">
        <f t="shared" ca="1" si="23"/>
        <v>2</v>
      </c>
      <c r="BE33" s="8">
        <f t="shared" ca="1" si="26"/>
        <v>0</v>
      </c>
      <c r="BF33" s="8">
        <f t="shared" ca="1" si="27"/>
        <v>0</v>
      </c>
      <c r="BG33" s="8">
        <f t="shared" ca="1" si="28"/>
        <v>0</v>
      </c>
    </row>
    <row r="34" spans="1:59" x14ac:dyDescent="0.2">
      <c r="A34" s="8" t="s">
        <v>176</v>
      </c>
      <c r="B34" s="8" t="s">
        <v>265</v>
      </c>
      <c r="C34" s="8">
        <v>-37.200000000000003</v>
      </c>
      <c r="D34" s="8">
        <v>482709</v>
      </c>
      <c r="E34" s="8">
        <v>5951130</v>
      </c>
      <c r="F34" s="8">
        <v>0</v>
      </c>
      <c r="G34" s="8">
        <v>-0.6</v>
      </c>
      <c r="H34" s="8">
        <v>0</v>
      </c>
      <c r="I34" s="8">
        <v>2</v>
      </c>
      <c r="J34" s="8">
        <v>0</v>
      </c>
      <c r="K34" s="8">
        <v>-69</v>
      </c>
      <c r="L34" s="8">
        <v>31.8</v>
      </c>
      <c r="M34" s="8">
        <v>1754.989</v>
      </c>
      <c r="N34" s="8">
        <v>94.4</v>
      </c>
      <c r="O34" s="8">
        <v>8</v>
      </c>
      <c r="P34" s="8">
        <v>10.5</v>
      </c>
      <c r="Q34" s="8">
        <v>2.9714</v>
      </c>
      <c r="R34" s="8">
        <v>72</v>
      </c>
      <c r="S34" s="8">
        <v>112</v>
      </c>
      <c r="T34" s="3">
        <v>146</v>
      </c>
      <c r="U34" s="8">
        <v>1406.2840000000001</v>
      </c>
      <c r="V34" s="8">
        <v>454.17399999999998</v>
      </c>
      <c r="W34" s="8">
        <v>752.85199999999998</v>
      </c>
      <c r="X34" s="8">
        <v>132.18100000000001</v>
      </c>
      <c r="Y34" s="8">
        <v>4.9400000000000004</v>
      </c>
      <c r="Z34" s="8">
        <v>8.0150000000000006</v>
      </c>
      <c r="AA34" s="8">
        <v>21.7</v>
      </c>
      <c r="AB34" s="8">
        <v>290.5</v>
      </c>
      <c r="AC34" s="8">
        <v>13016</v>
      </c>
      <c r="AD34" s="8">
        <v>3388</v>
      </c>
      <c r="AE34" s="8">
        <v>268</v>
      </c>
      <c r="AF34" s="8" cm="1">
        <f t="array" aca="1" ref="AF34" ca="1">_xlfn.XLOOKUP($A34,    INDIRECT("'" &amp; AF$16 &amp; "'!$A$20:$A$219"),    _xlfn.XLOOKUP(AF$18,INDIRECT("'" &amp; AF$16 &amp; "'!$B$18:$BC$18"), INDIRECT("'" &amp; AF$16 &amp; "'!$B$20:$BC$219"),"XXXXX",0,1),    "XX",    0,    1)</f>
        <v>17</v>
      </c>
      <c r="AG34" s="8" cm="1">
        <f t="array" aca="1" ref="AG34" ca="1">_xlfn.XLOOKUP($A34,    INDIRECT("'" &amp; AG$16 &amp; "'!$A$20:$A$219"),    _xlfn.XLOOKUP(AG$18,INDIRECT("'" &amp; AG$16 &amp; "'!$B$18:$BC$18"), INDIRECT("'" &amp; AG$16 &amp; "'!$B$20:$BC$219"),"XXXXX",0,1),    "XX",    0,    1)</f>
        <v>17</v>
      </c>
      <c r="AH34" s="8" cm="1">
        <f t="array" aca="1" ref="AH34" ca="1">_xlfn.XLOOKUP($A34,    INDIRECT("'" &amp; AH$16 &amp; "'!$A$20:$A$219"),    _xlfn.XLOOKUP(AH$18,INDIRECT("'" &amp; AH$16 &amp; "'!$B$18:$BC$18"), INDIRECT("'" &amp; AH$16 &amp; "'!$B$20:$BC$219"),"XXXXX",0,1),    "XX",    0,    1)</f>
        <v>21</v>
      </c>
      <c r="AI34" s="8" cm="1">
        <f t="array" aca="1" ref="AI34" ca="1">_xlfn.XLOOKUP($A34,    INDIRECT("'" &amp; AI$16 &amp; "'!$A$20:$A$219"),    _xlfn.XLOOKUP(AI$18,INDIRECT("'" &amp; AI$16 &amp; "'!$B$18:$BC$18"), INDIRECT("'" &amp; AI$16 &amp; "'!$B$20:$BC$219"),"XXXXX",0,1),    "XX",    0,    1)</f>
        <v>21</v>
      </c>
      <c r="AJ34" s="8" cm="1">
        <f t="array" aca="1" ref="AJ34" ca="1">_xlfn.XLOOKUP($A34,    INDIRECT("'" &amp; AJ$16 &amp; "'!$A$20:$A$219"),    _xlfn.XLOOKUP(AJ$18,INDIRECT("'" &amp; AJ$16 &amp; "'!$B$18:$BC$18"), INDIRECT("'" &amp; AJ$16 &amp; "'!$B$20:$BC$219"),"XXXXX",0,1),    "XX",    0,    1)</f>
        <v>23</v>
      </c>
      <c r="AK34" s="8" cm="1">
        <f t="array" aca="1" ref="AK34" ca="1">_xlfn.XLOOKUP($A34,    INDIRECT("'" &amp; AK$16 &amp; "'!$A$20:$A$219"),    _xlfn.XLOOKUP(AK$18,INDIRECT("'" &amp; AK$16 &amp; "'!$B$18:$BC$18"), INDIRECT("'" &amp; AK$16 &amp; "'!$B$20:$BC$219"),"XXXXX",0,1),    "XX",    0,    1)</f>
        <v>23</v>
      </c>
      <c r="AM34" s="16"/>
      <c r="AW34" s="8">
        <v>1</v>
      </c>
      <c r="AX34" s="8">
        <f t="shared" ca="1" si="24"/>
        <v>1.6190476190476191</v>
      </c>
      <c r="AY34" s="8">
        <f t="shared" ca="1" si="25"/>
        <v>1.6190476190476191</v>
      </c>
      <c r="AZ34" s="8">
        <f t="shared" ca="1" si="20"/>
        <v>2</v>
      </c>
      <c r="BA34" s="8">
        <f t="shared" ca="1" si="21"/>
        <v>2</v>
      </c>
      <c r="BB34" s="8">
        <f t="shared" ca="1" si="22"/>
        <v>2.1904761904761907</v>
      </c>
      <c r="BC34" s="8">
        <f t="shared" ca="1" si="23"/>
        <v>2.1904761904761907</v>
      </c>
      <c r="BE34" s="8">
        <f t="shared" ca="1" si="26"/>
        <v>0</v>
      </c>
      <c r="BF34" s="8">
        <f t="shared" ca="1" si="27"/>
        <v>0</v>
      </c>
      <c r="BG34" s="8">
        <f t="shared" ca="1" si="28"/>
        <v>0</v>
      </c>
    </row>
    <row r="35" spans="1:59" x14ac:dyDescent="0.2">
      <c r="A35" s="8" t="s">
        <v>211</v>
      </c>
      <c r="B35" s="8" t="s">
        <v>265</v>
      </c>
      <c r="C35" s="8">
        <v>-39.1</v>
      </c>
      <c r="D35" s="8">
        <v>484249</v>
      </c>
      <c r="E35" s="8">
        <v>5950333</v>
      </c>
      <c r="F35" s="8">
        <v>0</v>
      </c>
      <c r="G35" s="8">
        <v>-0.7</v>
      </c>
      <c r="H35" s="8">
        <v>0</v>
      </c>
      <c r="I35" s="8">
        <v>2</v>
      </c>
      <c r="J35" s="8">
        <v>0</v>
      </c>
      <c r="K35" s="8">
        <v>-72.599999999999994</v>
      </c>
      <c r="L35" s="8">
        <v>33.5</v>
      </c>
      <c r="M35" s="8">
        <v>1903.4459999999999</v>
      </c>
      <c r="N35" s="8">
        <v>98</v>
      </c>
      <c r="O35" s="8">
        <v>8</v>
      </c>
      <c r="P35" s="8">
        <v>11</v>
      </c>
      <c r="Q35" s="8">
        <v>2.9817999999999998</v>
      </c>
      <c r="R35" s="8">
        <v>70</v>
      </c>
      <c r="S35" s="8">
        <v>117</v>
      </c>
      <c r="T35" s="3">
        <v>149</v>
      </c>
      <c r="U35" s="8">
        <v>1507.223</v>
      </c>
      <c r="V35" s="8">
        <v>327.68700000000001</v>
      </c>
      <c r="W35" s="8">
        <v>752.85199999999998</v>
      </c>
      <c r="X35" s="8">
        <v>132.18100000000001</v>
      </c>
      <c r="Y35" s="8">
        <v>4.9400000000000004</v>
      </c>
      <c r="Z35" s="8">
        <v>8.0150000000000006</v>
      </c>
      <c r="AA35" s="8">
        <v>21.7</v>
      </c>
      <c r="AB35" s="8">
        <v>290.5</v>
      </c>
      <c r="AC35" s="8">
        <v>13410</v>
      </c>
      <c r="AD35" s="8">
        <v>3574</v>
      </c>
      <c r="AE35" s="8">
        <v>268</v>
      </c>
      <c r="AF35" s="8" cm="1">
        <f t="array" aca="1" ref="AF35" ca="1">_xlfn.XLOOKUP($A35,    INDIRECT("'" &amp; AF$16 &amp; "'!$A$20:$A$219"),    _xlfn.XLOOKUP(AF$18,INDIRECT("'" &amp; AF$16 &amp; "'!$B$18:$BC$18"), INDIRECT("'" &amp; AF$16 &amp; "'!$B$20:$BC$219"),"XXXXX",0,1),    "XX",    0,    1)</f>
        <v>19</v>
      </c>
      <c r="AG35" s="8" cm="1">
        <f t="array" aca="1" ref="AG35" ca="1">_xlfn.XLOOKUP($A35,    INDIRECT("'" &amp; AG$16 &amp; "'!$A$20:$A$219"),    _xlfn.XLOOKUP(AG$18,INDIRECT("'" &amp; AG$16 &amp; "'!$B$18:$BC$18"), INDIRECT("'" &amp; AG$16 &amp; "'!$B$20:$BC$219"),"XXXXX",0,1),    "XX",    0,    1)</f>
        <v>19</v>
      </c>
      <c r="AH35" s="8" cm="1">
        <f t="array" aca="1" ref="AH35" ca="1">_xlfn.XLOOKUP($A35,    INDIRECT("'" &amp; AH$16 &amp; "'!$A$20:$A$219"),    _xlfn.XLOOKUP(AH$18,INDIRECT("'" &amp; AH$16 &amp; "'!$B$18:$BC$18"), INDIRECT("'" &amp; AH$16 &amp; "'!$B$20:$BC$219"),"XXXXX",0,1),    "XX",    0,    1)</f>
        <v>23</v>
      </c>
      <c r="AI35" s="8" cm="1">
        <f t="array" aca="1" ref="AI35" ca="1">_xlfn.XLOOKUP($A35,    INDIRECT("'" &amp; AI$16 &amp; "'!$A$20:$A$219"),    _xlfn.XLOOKUP(AI$18,INDIRECT("'" &amp; AI$16 &amp; "'!$B$18:$BC$18"), INDIRECT("'" &amp; AI$16 &amp; "'!$B$20:$BC$219"),"XXXXX",0,1),    "XX",    0,    1)</f>
        <v>23</v>
      </c>
      <c r="AJ35" s="8" cm="1">
        <f t="array" aca="1" ref="AJ35" ca="1">_xlfn.XLOOKUP($A35,    INDIRECT("'" &amp; AJ$16 &amp; "'!$A$20:$A$219"),    _xlfn.XLOOKUP(AJ$18,INDIRECT("'" &amp; AJ$16 &amp; "'!$B$18:$BC$18"), INDIRECT("'" &amp; AJ$16 &amp; "'!$B$20:$BC$219"),"XXXXX",0,1),    "XX",    0,    1)</f>
        <v>24.6</v>
      </c>
      <c r="AK35" s="8" cm="1">
        <f t="array" aca="1" ref="AK35" ca="1">_xlfn.XLOOKUP($A35,    INDIRECT("'" &amp; AK$16 &amp; "'!$A$20:$A$219"),    _xlfn.XLOOKUP(AK$18,INDIRECT("'" &amp; AK$16 &amp; "'!$B$18:$BC$18"), INDIRECT("'" &amp; AK$16 &amp; "'!$B$20:$BC$219"),"XXXXX",0,1),    "XX",    0,    1)</f>
        <v>24.6</v>
      </c>
      <c r="AM35" s="16"/>
      <c r="AW35" s="8">
        <v>1</v>
      </c>
      <c r="AX35" s="8">
        <f t="shared" ca="1" si="24"/>
        <v>1.7272727272727273</v>
      </c>
      <c r="AY35" s="8">
        <f t="shared" ca="1" si="25"/>
        <v>1.7272727272727273</v>
      </c>
      <c r="AZ35" s="8">
        <f t="shared" ca="1" si="20"/>
        <v>2.0909090909090908</v>
      </c>
      <c r="BA35" s="8">
        <f t="shared" ca="1" si="21"/>
        <v>2.0909090909090908</v>
      </c>
      <c r="BB35" s="8">
        <f t="shared" ca="1" si="22"/>
        <v>2.2363636363636363</v>
      </c>
      <c r="BC35" s="8">
        <f t="shared" ca="1" si="23"/>
        <v>2.2363636363636363</v>
      </c>
      <c r="BE35" s="8">
        <f t="shared" ca="1" si="26"/>
        <v>0</v>
      </c>
      <c r="BF35" s="8">
        <f t="shared" ca="1" si="27"/>
        <v>0</v>
      </c>
      <c r="BG35" s="8">
        <f t="shared" ca="1" si="28"/>
        <v>0</v>
      </c>
    </row>
    <row r="36" spans="1:59" x14ac:dyDescent="0.2">
      <c r="A36" s="8" t="s">
        <v>174</v>
      </c>
      <c r="B36" s="8" t="s">
        <v>271</v>
      </c>
      <c r="C36" s="8">
        <v>-38.6</v>
      </c>
      <c r="D36" s="8">
        <v>484978.2</v>
      </c>
      <c r="E36" s="8">
        <v>5952440.2000000002</v>
      </c>
      <c r="F36" s="8">
        <v>0</v>
      </c>
      <c r="G36" s="8">
        <v>-0.6</v>
      </c>
      <c r="H36" s="8">
        <v>0</v>
      </c>
      <c r="I36" s="8">
        <v>2</v>
      </c>
      <c r="J36" s="8">
        <v>0</v>
      </c>
      <c r="K36" s="8">
        <v>-70.400000000000006</v>
      </c>
      <c r="L36" s="8">
        <v>31.8</v>
      </c>
      <c r="M36" s="8">
        <v>1795.5440000000001</v>
      </c>
      <c r="N36" s="8">
        <v>95.8</v>
      </c>
      <c r="O36" s="8">
        <v>8</v>
      </c>
      <c r="P36" s="8">
        <v>10.5</v>
      </c>
      <c r="Q36" s="8">
        <v>2.9714</v>
      </c>
      <c r="R36" s="8">
        <v>72</v>
      </c>
      <c r="S36" s="8">
        <v>112</v>
      </c>
      <c r="T36" s="3">
        <v>146</v>
      </c>
      <c r="U36" s="8">
        <v>1471.6790000000001</v>
      </c>
      <c r="V36" s="8">
        <v>448.714</v>
      </c>
      <c r="W36" s="8">
        <v>752.85199999999998</v>
      </c>
      <c r="X36" s="8">
        <v>132.18100000000001</v>
      </c>
      <c r="Y36" s="8">
        <v>4.9400000000000004</v>
      </c>
      <c r="Z36" s="8">
        <v>8.0150000000000006</v>
      </c>
      <c r="AA36" s="8">
        <v>21.7</v>
      </c>
      <c r="AB36" s="8">
        <v>290.5</v>
      </c>
      <c r="AC36" s="8">
        <v>13108</v>
      </c>
      <c r="AD36" s="8">
        <v>3479</v>
      </c>
      <c r="AE36" s="8">
        <v>268</v>
      </c>
      <c r="AF36" s="8" cm="1">
        <f t="array" aca="1" ref="AF36" ca="1">_xlfn.XLOOKUP($A36,    INDIRECT("'" &amp; AF$16 &amp; "'!$A$20:$A$219"),    _xlfn.XLOOKUP(AF$18,INDIRECT("'" &amp; AF$16 &amp; "'!$B$18:$BC$18"), INDIRECT("'" &amp; AF$16 &amp; "'!$B$20:$BC$219"),"XXXXX",0,1),    "XX",    0,    1)</f>
        <v>17</v>
      </c>
      <c r="AG36" s="8" cm="1">
        <f t="array" aca="1" ref="AG36" ca="1">_xlfn.XLOOKUP($A36,    INDIRECT("'" &amp; AG$16 &amp; "'!$A$20:$A$219"),    _xlfn.XLOOKUP(AG$18,INDIRECT("'" &amp; AG$16 &amp; "'!$B$18:$BC$18"), INDIRECT("'" &amp; AG$16 &amp; "'!$B$20:$BC$219"),"XXXXX",0,1),    "XX",    0,    1)</f>
        <v>17</v>
      </c>
      <c r="AH36" s="8" cm="1">
        <f t="array" aca="1" ref="AH36" ca="1">_xlfn.XLOOKUP($A36,    INDIRECT("'" &amp; AH$16 &amp; "'!$A$20:$A$219"),    _xlfn.XLOOKUP(AH$18,INDIRECT("'" &amp; AH$16 &amp; "'!$B$18:$BC$18"), INDIRECT("'" &amp; AH$16 &amp; "'!$B$20:$BC$219"),"XXXXX",0,1),    "XX",    0,    1)</f>
        <v>21</v>
      </c>
      <c r="AI36" s="8" cm="1">
        <f t="array" aca="1" ref="AI36" ca="1">_xlfn.XLOOKUP($A36,    INDIRECT("'" &amp; AI$16 &amp; "'!$A$20:$A$219"),    _xlfn.XLOOKUP(AI$18,INDIRECT("'" &amp; AI$16 &amp; "'!$B$18:$BC$18"), INDIRECT("'" &amp; AI$16 &amp; "'!$B$20:$BC$219"),"XXXXX",0,1),    "XX",    0,    1)</f>
        <v>21</v>
      </c>
      <c r="AJ36" s="8" cm="1">
        <f t="array" aca="1" ref="AJ36" ca="1">_xlfn.XLOOKUP($A36,    INDIRECT("'" &amp; AJ$16 &amp; "'!$A$20:$A$219"),    _xlfn.XLOOKUP(AJ$18,INDIRECT("'" &amp; AJ$16 &amp; "'!$B$18:$BC$18"), INDIRECT("'" &amp; AJ$16 &amp; "'!$B$20:$BC$219"),"XXXXX",0,1),    "XX",    0,    1)</f>
        <v>23</v>
      </c>
      <c r="AK36" s="8" cm="1">
        <f t="array" aca="1" ref="AK36" ca="1">_xlfn.XLOOKUP($A36,    INDIRECT("'" &amp; AK$16 &amp; "'!$A$20:$A$219"),    _xlfn.XLOOKUP(AK$18,INDIRECT("'" &amp; AK$16 &amp; "'!$B$18:$BC$18"), INDIRECT("'" &amp; AK$16 &amp; "'!$B$20:$BC$219"),"XXXXX",0,1),    "XX",    0,    1)</f>
        <v>23</v>
      </c>
      <c r="AM36" s="16"/>
      <c r="AW36" s="8">
        <v>1</v>
      </c>
      <c r="AX36" s="8">
        <f t="shared" ca="1" si="24"/>
        <v>1.6190476190476191</v>
      </c>
      <c r="AY36" s="8">
        <f t="shared" ca="1" si="25"/>
        <v>1.6190476190476191</v>
      </c>
      <c r="AZ36" s="8">
        <f t="shared" ca="1" si="20"/>
        <v>2</v>
      </c>
      <c r="BA36" s="8">
        <f t="shared" ca="1" si="21"/>
        <v>2</v>
      </c>
      <c r="BB36" s="8">
        <f t="shared" ca="1" si="22"/>
        <v>2.1904761904761907</v>
      </c>
      <c r="BC36" s="8">
        <f t="shared" ca="1" si="23"/>
        <v>2.1904761904761907</v>
      </c>
      <c r="BE36" s="8">
        <f t="shared" ca="1" si="26"/>
        <v>0</v>
      </c>
      <c r="BF36" s="8">
        <f t="shared" ca="1" si="27"/>
        <v>0</v>
      </c>
      <c r="BG36" s="8">
        <f t="shared" ca="1" si="28"/>
        <v>0</v>
      </c>
    </row>
    <row r="37" spans="1:59" x14ac:dyDescent="0.2">
      <c r="A37" s="8" t="s">
        <v>90</v>
      </c>
      <c r="B37" s="8" t="s">
        <v>271</v>
      </c>
      <c r="C37" s="8">
        <v>-34.5</v>
      </c>
      <c r="D37" s="8">
        <v>484662</v>
      </c>
      <c r="E37" s="8">
        <v>5956140</v>
      </c>
      <c r="F37" s="8">
        <v>0</v>
      </c>
      <c r="G37" s="8">
        <v>-0.6</v>
      </c>
      <c r="H37" s="8">
        <v>0</v>
      </c>
      <c r="I37" s="8">
        <v>2</v>
      </c>
      <c r="J37" s="8">
        <v>0</v>
      </c>
      <c r="K37" s="8">
        <v>-63.6</v>
      </c>
      <c r="L37" s="8">
        <v>29.1</v>
      </c>
      <c r="M37" s="8">
        <v>1593.9269999999999</v>
      </c>
      <c r="N37" s="8">
        <v>89</v>
      </c>
      <c r="O37" s="8">
        <v>8</v>
      </c>
      <c r="P37" s="8">
        <v>10</v>
      </c>
      <c r="Q37" s="8">
        <v>2.85</v>
      </c>
      <c r="R37" s="8">
        <v>68</v>
      </c>
      <c r="S37" s="8">
        <v>110</v>
      </c>
      <c r="T37" s="3">
        <v>147</v>
      </c>
      <c r="U37" s="8">
        <v>1358.0229999999999</v>
      </c>
      <c r="V37" s="8">
        <v>459.28800000000001</v>
      </c>
      <c r="W37" s="8">
        <v>752.85199999999998</v>
      </c>
      <c r="X37" s="8">
        <v>132.18100000000001</v>
      </c>
      <c r="Y37" s="8">
        <v>4.9400000000000004</v>
      </c>
      <c r="Z37" s="8">
        <v>8.0150000000000006</v>
      </c>
      <c r="AA37" s="8">
        <v>21.7</v>
      </c>
      <c r="AB37" s="8">
        <v>290.5</v>
      </c>
      <c r="AC37" s="8">
        <v>12523</v>
      </c>
      <c r="AD37" s="8">
        <v>3155</v>
      </c>
      <c r="AE37" s="8">
        <v>268</v>
      </c>
      <c r="AF37" s="8" cm="1">
        <f t="array" aca="1" ref="AF37" ca="1">_xlfn.XLOOKUP($A37,    INDIRECT("'" &amp; AF$16 &amp; "'!$A$20:$A$219"),    _xlfn.XLOOKUP(AF$18,INDIRECT("'" &amp; AF$16 &amp; "'!$B$18:$BC$18"), INDIRECT("'" &amp; AF$16 &amp; "'!$B$20:$BC$219"),"XXXXX",0,1),    "XX",    0,    1)</f>
        <v>15</v>
      </c>
      <c r="AG37" s="8" cm="1">
        <f t="array" aca="1" ref="AG37" ca="1">_xlfn.XLOOKUP($A37,    INDIRECT("'" &amp; AG$16 &amp; "'!$A$20:$A$219"),    _xlfn.XLOOKUP(AG$18,INDIRECT("'" &amp; AG$16 &amp; "'!$B$18:$BC$18"), INDIRECT("'" &amp; AG$16 &amp; "'!$B$20:$BC$219"),"XXXXX",0,1),    "XX",    0,    1)</f>
        <v>15</v>
      </c>
      <c r="AH37" s="8" cm="1">
        <f t="array" aca="1" ref="AH37" ca="1">_xlfn.XLOOKUP($A37,    INDIRECT("'" &amp; AH$16 &amp; "'!$A$20:$A$219"),    _xlfn.XLOOKUP(AH$18,INDIRECT("'" &amp; AH$16 &amp; "'!$B$18:$BC$18"), INDIRECT("'" &amp; AH$16 &amp; "'!$B$20:$BC$219"),"XXXXX",0,1),    "XX",    0,    1)</f>
        <v>19</v>
      </c>
      <c r="AI37" s="8" cm="1">
        <f t="array" aca="1" ref="AI37" ca="1">_xlfn.XLOOKUP($A37,    INDIRECT("'" &amp; AI$16 &amp; "'!$A$20:$A$219"),    _xlfn.XLOOKUP(AI$18,INDIRECT("'" &amp; AI$16 &amp; "'!$B$18:$BC$18"), INDIRECT("'" &amp; AI$16 &amp; "'!$B$20:$BC$219"),"XXXXX",0,1),    "XX",    0,    1)</f>
        <v>19</v>
      </c>
      <c r="AJ37" s="8" cm="1">
        <f t="array" aca="1" ref="AJ37" ca="1">_xlfn.XLOOKUP($A37,    INDIRECT("'" &amp; AJ$16 &amp; "'!$A$20:$A$219"),    _xlfn.XLOOKUP(AJ$18,INDIRECT("'" &amp; AJ$16 &amp; "'!$B$18:$BC$18"), INDIRECT("'" &amp; AJ$16 &amp; "'!$B$20:$BC$219"),"XXXXX",0,1),    "XX",    0,    1)</f>
        <v>19</v>
      </c>
      <c r="AK37" s="8" cm="1">
        <f t="array" aca="1" ref="AK37" ca="1">_xlfn.XLOOKUP($A37,    INDIRECT("'" &amp; AK$16 &amp; "'!$A$20:$A$219"),    _xlfn.XLOOKUP(AK$18,INDIRECT("'" &amp; AK$16 &amp; "'!$B$18:$BC$18"), INDIRECT("'" &amp; AK$16 &amp; "'!$B$20:$BC$219"),"XXXXX",0,1),    "XX",    0,    1)</f>
        <v>19</v>
      </c>
      <c r="AM37" s="16"/>
      <c r="AW37" s="8">
        <v>1</v>
      </c>
      <c r="AX37" s="8">
        <f t="shared" ca="1" si="24"/>
        <v>1.5</v>
      </c>
      <c r="AY37" s="8">
        <f t="shared" ca="1" si="25"/>
        <v>1.5</v>
      </c>
      <c r="AZ37" s="8">
        <f t="shared" ca="1" si="20"/>
        <v>1.9</v>
      </c>
      <c r="BA37" s="8">
        <f t="shared" ca="1" si="21"/>
        <v>1.9</v>
      </c>
      <c r="BB37" s="8">
        <f t="shared" ca="1" si="22"/>
        <v>1.9</v>
      </c>
      <c r="BC37" s="8">
        <f t="shared" ca="1" si="23"/>
        <v>1.9</v>
      </c>
      <c r="BE37" s="8">
        <f t="shared" ca="1" si="26"/>
        <v>0</v>
      </c>
      <c r="BF37" s="8">
        <f t="shared" ca="1" si="27"/>
        <v>0</v>
      </c>
      <c r="BG37" s="8">
        <f t="shared" ca="1" si="28"/>
        <v>0</v>
      </c>
    </row>
    <row r="38" spans="1:59" x14ac:dyDescent="0.2">
      <c r="A38" s="8" t="s">
        <v>25</v>
      </c>
      <c r="B38" s="8" t="s">
        <v>265</v>
      </c>
      <c r="C38" s="8">
        <v>-36.9</v>
      </c>
      <c r="D38" s="8">
        <v>483697.2</v>
      </c>
      <c r="E38" s="8">
        <v>5960783.0999999996</v>
      </c>
      <c r="F38" s="8">
        <v>0</v>
      </c>
      <c r="G38" s="8">
        <v>-0.6</v>
      </c>
      <c r="H38" s="8">
        <v>0</v>
      </c>
      <c r="I38" s="8">
        <v>2</v>
      </c>
      <c r="J38" s="8">
        <v>0</v>
      </c>
      <c r="K38" s="8">
        <v>-66.7</v>
      </c>
      <c r="L38" s="8">
        <v>29.8</v>
      </c>
      <c r="M38" s="8">
        <v>1742.712</v>
      </c>
      <c r="N38" s="8">
        <v>92.1</v>
      </c>
      <c r="O38" s="8">
        <v>8</v>
      </c>
      <c r="P38" s="8">
        <v>10</v>
      </c>
      <c r="Q38" s="8">
        <v>2.92</v>
      </c>
      <c r="R38" s="8">
        <v>68</v>
      </c>
      <c r="S38" s="8">
        <v>110</v>
      </c>
      <c r="T38" s="3">
        <v>147</v>
      </c>
      <c r="U38" s="8">
        <v>1357.4570000000001</v>
      </c>
      <c r="V38" s="8">
        <v>483.66699999999997</v>
      </c>
      <c r="W38" s="8">
        <v>752.85199999999998</v>
      </c>
      <c r="X38" s="8">
        <v>132.18100000000001</v>
      </c>
      <c r="Y38" s="8">
        <v>4.9400000000000004</v>
      </c>
      <c r="Z38" s="8">
        <v>8.0150000000000006</v>
      </c>
      <c r="AA38" s="8">
        <v>21.7</v>
      </c>
      <c r="AB38" s="8">
        <v>290.5</v>
      </c>
      <c r="AC38" s="8">
        <v>12714</v>
      </c>
      <c r="AD38" s="8">
        <v>3303</v>
      </c>
      <c r="AE38" s="8">
        <v>268</v>
      </c>
      <c r="AF38" s="8" cm="1">
        <f t="array" aca="1" ref="AF38" ca="1">_xlfn.XLOOKUP($A38,    INDIRECT("'" &amp; AF$16 &amp; "'!$A$20:$A$219"),    _xlfn.XLOOKUP(AF$18,INDIRECT("'" &amp; AF$16 &amp; "'!$B$18:$BC$18"), INDIRECT("'" &amp; AF$16 &amp; "'!$B$20:$BC$219"),"XXXXX",0,1),    "XX",    0,    1)</f>
        <v>15</v>
      </c>
      <c r="AG38" s="8" cm="1">
        <f t="array" aca="1" ref="AG38" ca="1">_xlfn.XLOOKUP($A38,    INDIRECT("'" &amp; AG$16 &amp; "'!$A$20:$A$219"),    _xlfn.XLOOKUP(AG$18,INDIRECT("'" &amp; AG$16 &amp; "'!$B$18:$BC$18"), INDIRECT("'" &amp; AG$16 &amp; "'!$B$20:$BC$219"),"XXXXX",0,1),    "XX",    0,    1)</f>
        <v>15</v>
      </c>
      <c r="AH38" s="8" cm="1">
        <f t="array" aca="1" ref="AH38" ca="1">_xlfn.XLOOKUP($A38,    INDIRECT("'" &amp; AH$16 &amp; "'!$A$20:$A$219"),    _xlfn.XLOOKUP(AH$18,INDIRECT("'" &amp; AH$16 &amp; "'!$B$18:$BC$18"), INDIRECT("'" &amp; AH$16 &amp; "'!$B$20:$BC$219"),"XXXXX",0,1),    "XX",    0,    1)</f>
        <v>19</v>
      </c>
      <c r="AI38" s="8" cm="1">
        <f t="array" aca="1" ref="AI38" ca="1">_xlfn.XLOOKUP($A38,    INDIRECT("'" &amp; AI$16 &amp; "'!$A$20:$A$219"),    _xlfn.XLOOKUP(AI$18,INDIRECT("'" &amp; AI$16 &amp; "'!$B$18:$BC$18"), INDIRECT("'" &amp; AI$16 &amp; "'!$B$20:$BC$219"),"XXXXX",0,1),    "XX",    0,    1)</f>
        <v>19</v>
      </c>
      <c r="AJ38" s="8" cm="1">
        <f t="array" aca="1" ref="AJ38" ca="1">_xlfn.XLOOKUP($A38,    INDIRECT("'" &amp; AJ$16 &amp; "'!$A$20:$A$219"),    _xlfn.XLOOKUP(AJ$18,INDIRECT("'" &amp; AJ$16 &amp; "'!$B$18:$BC$18"), INDIRECT("'" &amp; AJ$16 &amp; "'!$B$20:$BC$219"),"XXXXX",0,1),    "XX",    0,    1)</f>
        <v>21</v>
      </c>
      <c r="AK38" s="8" cm="1">
        <f t="array" aca="1" ref="AK38" ca="1">_xlfn.XLOOKUP($A38,    INDIRECT("'" &amp; AK$16 &amp; "'!$A$20:$A$219"),    _xlfn.XLOOKUP(AK$18,INDIRECT("'" &amp; AK$16 &amp; "'!$B$18:$BC$18"), INDIRECT("'" &amp; AK$16 &amp; "'!$B$20:$BC$219"),"XXXXX",0,1),    "XX",    0,    1)</f>
        <v>21</v>
      </c>
      <c r="AM38" s="16"/>
      <c r="AW38" s="8">
        <v>1</v>
      </c>
      <c r="AX38" s="8">
        <f t="shared" ca="1" si="24"/>
        <v>1.5</v>
      </c>
      <c r="AY38" s="8">
        <f t="shared" ca="1" si="25"/>
        <v>1.5</v>
      </c>
      <c r="AZ38" s="8">
        <f t="shared" ca="1" si="20"/>
        <v>1.9</v>
      </c>
      <c r="BA38" s="8">
        <f t="shared" ca="1" si="21"/>
        <v>1.9</v>
      </c>
      <c r="BB38" s="8">
        <f t="shared" ca="1" si="22"/>
        <v>2.1</v>
      </c>
      <c r="BC38" s="8">
        <f t="shared" ca="1" si="23"/>
        <v>2.1</v>
      </c>
      <c r="BE38" s="8">
        <f t="shared" ca="1" si="26"/>
        <v>0</v>
      </c>
      <c r="BF38" s="8">
        <f t="shared" ca="1" si="27"/>
        <v>0</v>
      </c>
      <c r="BG38" s="8">
        <f t="shared" ca="1" si="28"/>
        <v>0</v>
      </c>
    </row>
    <row r="39" spans="1:59" x14ac:dyDescent="0.2">
      <c r="A39" s="8" t="s">
        <v>29</v>
      </c>
      <c r="B39" s="8" t="s">
        <v>265</v>
      </c>
      <c r="C39" s="8">
        <v>-34.4</v>
      </c>
      <c r="D39" s="8">
        <v>482774.7</v>
      </c>
      <c r="E39" s="8">
        <v>5965224.7999999998</v>
      </c>
      <c r="F39" s="8">
        <v>0</v>
      </c>
      <c r="G39" s="8">
        <v>-0.7</v>
      </c>
      <c r="H39" s="8">
        <v>0</v>
      </c>
      <c r="I39" s="8">
        <v>2</v>
      </c>
      <c r="J39" s="8">
        <v>0</v>
      </c>
      <c r="K39" s="8">
        <v>-66.599999999999994</v>
      </c>
      <c r="L39" s="8">
        <v>32.200000000000003</v>
      </c>
      <c r="M39" s="8">
        <v>1672.625</v>
      </c>
      <c r="N39" s="8">
        <v>92</v>
      </c>
      <c r="O39" s="8">
        <v>8</v>
      </c>
      <c r="P39" s="8">
        <v>10</v>
      </c>
      <c r="Q39" s="8">
        <v>3.15</v>
      </c>
      <c r="R39" s="8">
        <v>68</v>
      </c>
      <c r="S39" s="8">
        <v>110</v>
      </c>
      <c r="T39" s="3">
        <v>147</v>
      </c>
      <c r="U39" s="8">
        <v>1357.8589999999999</v>
      </c>
      <c r="V39" s="8">
        <v>609.04200000000003</v>
      </c>
      <c r="W39" s="8">
        <v>752.85199999999998</v>
      </c>
      <c r="X39" s="8">
        <v>132.18100000000001</v>
      </c>
      <c r="Y39" s="8">
        <v>4.9400000000000004</v>
      </c>
      <c r="Z39" s="8">
        <v>8.0150000000000006</v>
      </c>
      <c r="AA39" s="8">
        <v>21.7</v>
      </c>
      <c r="AB39" s="8">
        <v>290.5</v>
      </c>
      <c r="AC39" s="8">
        <v>12710</v>
      </c>
      <c r="AD39" s="8">
        <v>3148</v>
      </c>
      <c r="AE39" s="8">
        <v>268</v>
      </c>
      <c r="AF39" s="8" cm="1">
        <f t="array" aca="1" ref="AF39" ca="1">_xlfn.XLOOKUP($A39,    INDIRECT("'" &amp; AF$16 &amp; "'!$A$20:$A$219"),    _xlfn.XLOOKUP(AF$18,INDIRECT("'" &amp; AF$16 &amp; "'!$B$18:$BC$18"), INDIRECT("'" &amp; AF$16 &amp; "'!$B$20:$BC$219"),"XXXXX",0,1),    "XX",    0,    1)</f>
        <v>17</v>
      </c>
      <c r="AG39" s="8" cm="1">
        <f t="array" aca="1" ref="AG39" ca="1">_xlfn.XLOOKUP($A39,    INDIRECT("'" &amp; AG$16 &amp; "'!$A$20:$A$219"),    _xlfn.XLOOKUP(AG$18,INDIRECT("'" &amp; AG$16 &amp; "'!$B$18:$BC$18"), INDIRECT("'" &amp; AG$16 &amp; "'!$B$20:$BC$219"),"XXXXX",0,1),    "XX",    0,    1)</f>
        <v>17</v>
      </c>
      <c r="AH39" s="8" cm="1">
        <f t="array" aca="1" ref="AH39" ca="1">_xlfn.XLOOKUP($A39,    INDIRECT("'" &amp; AH$16 &amp; "'!$A$20:$A$219"),    _xlfn.XLOOKUP(AH$18,INDIRECT("'" &amp; AH$16 &amp; "'!$B$18:$BC$18"), INDIRECT("'" &amp; AH$16 &amp; "'!$B$20:$BC$219"),"XXXXX",0,1),    "XX",    0,    1)</f>
        <v>21</v>
      </c>
      <c r="AI39" s="8" cm="1">
        <f t="array" aca="1" ref="AI39" ca="1">_xlfn.XLOOKUP($A39,    INDIRECT("'" &amp; AI$16 &amp; "'!$A$20:$A$219"),    _xlfn.XLOOKUP(AI$18,INDIRECT("'" &amp; AI$16 &amp; "'!$B$18:$BC$18"), INDIRECT("'" &amp; AI$16 &amp; "'!$B$20:$BC$219"),"XXXXX",0,1),    "XX",    0,    1)</f>
        <v>21</v>
      </c>
      <c r="AJ39" s="8" cm="1">
        <f t="array" aca="1" ref="AJ39" ca="1">_xlfn.XLOOKUP($A39,    INDIRECT("'" &amp; AJ$16 &amp; "'!$A$20:$A$219"),    _xlfn.XLOOKUP(AJ$18,INDIRECT("'" &amp; AJ$16 &amp; "'!$B$18:$BC$18"), INDIRECT("'" &amp; AJ$16 &amp; "'!$B$20:$BC$219"),"XXXXX",0,1),    "XX",    0,    1)</f>
        <v>23</v>
      </c>
      <c r="AK39" s="8" cm="1">
        <f t="array" aca="1" ref="AK39" ca="1">_xlfn.XLOOKUP($A39,    INDIRECT("'" &amp; AK$16 &amp; "'!$A$20:$A$219"),    _xlfn.XLOOKUP(AK$18,INDIRECT("'" &amp; AK$16 &amp; "'!$B$18:$BC$18"), INDIRECT("'" &amp; AK$16 &amp; "'!$B$20:$BC$219"),"XXXXX",0,1),    "XX",    0,    1)</f>
        <v>23</v>
      </c>
      <c r="AM39" s="16"/>
      <c r="AW39" s="8">
        <v>1</v>
      </c>
      <c r="AX39" s="8">
        <f t="shared" ca="1" si="24"/>
        <v>1.7</v>
      </c>
      <c r="AY39" s="8">
        <f t="shared" ca="1" si="25"/>
        <v>1.7</v>
      </c>
      <c r="AZ39" s="8">
        <f t="shared" ca="1" si="20"/>
        <v>2.1</v>
      </c>
      <c r="BA39" s="8">
        <f t="shared" ca="1" si="21"/>
        <v>2.1</v>
      </c>
      <c r="BB39" s="8">
        <f t="shared" ca="1" si="22"/>
        <v>2.2999999999999998</v>
      </c>
      <c r="BC39" s="8">
        <f t="shared" ca="1" si="23"/>
        <v>2.2999999999999998</v>
      </c>
      <c r="BE39" s="8">
        <f t="shared" ca="1" si="26"/>
        <v>0</v>
      </c>
      <c r="BF39" s="8">
        <f t="shared" ca="1" si="27"/>
        <v>0</v>
      </c>
      <c r="BG39" s="8">
        <f t="shared" ca="1" si="28"/>
        <v>0</v>
      </c>
    </row>
    <row r="40" spans="1:59" x14ac:dyDescent="0.2">
      <c r="A40" s="8" t="s">
        <v>11</v>
      </c>
      <c r="B40" s="8" t="s">
        <v>271</v>
      </c>
      <c r="C40" s="8">
        <v>-30.9</v>
      </c>
      <c r="D40" s="8">
        <v>481884</v>
      </c>
      <c r="E40" s="8">
        <v>5969460</v>
      </c>
      <c r="F40" s="8">
        <v>0</v>
      </c>
      <c r="G40" s="8">
        <v>-0.6</v>
      </c>
      <c r="H40" s="8">
        <v>0</v>
      </c>
      <c r="I40" s="8">
        <v>2</v>
      </c>
      <c r="J40" s="8">
        <v>0</v>
      </c>
      <c r="K40" s="8">
        <v>-59.3</v>
      </c>
      <c r="L40" s="8">
        <v>28.4</v>
      </c>
      <c r="M40" s="8">
        <v>1517.1890000000001</v>
      </c>
      <c r="N40" s="8">
        <v>84.7</v>
      </c>
      <c r="O40" s="8">
        <v>8</v>
      </c>
      <c r="P40" s="8">
        <v>10</v>
      </c>
      <c r="Q40" s="8">
        <v>2.78</v>
      </c>
      <c r="R40" s="8">
        <v>64</v>
      </c>
      <c r="S40" s="8">
        <v>110</v>
      </c>
      <c r="T40" s="3">
        <v>147</v>
      </c>
      <c r="U40" s="8">
        <v>1358.06</v>
      </c>
      <c r="V40" s="8">
        <v>399.46</v>
      </c>
      <c r="W40" s="8">
        <v>752.85199999999998</v>
      </c>
      <c r="X40" s="8">
        <v>132.18100000000001</v>
      </c>
      <c r="Y40" s="8">
        <v>4.9400000000000004</v>
      </c>
      <c r="Z40" s="8">
        <v>8.0150000000000006</v>
      </c>
      <c r="AA40" s="8">
        <v>21.7</v>
      </c>
      <c r="AB40" s="8">
        <v>290.5</v>
      </c>
      <c r="AC40" s="8">
        <v>12255</v>
      </c>
      <c r="AD40" s="8">
        <v>2932</v>
      </c>
      <c r="AE40" s="8">
        <v>268</v>
      </c>
      <c r="AF40" s="8" cm="1">
        <f t="array" aca="1" ref="AF40" ca="1">_xlfn.XLOOKUP($A40,    INDIRECT("'" &amp; AF$16 &amp; "'!$A$20:$A$219"),    _xlfn.XLOOKUP(AF$18,INDIRECT("'" &amp; AF$16 &amp; "'!$B$18:$BC$18"), INDIRECT("'" &amp; AF$16 &amp; "'!$B$20:$BC$219"),"XXXXX",0,1),    "XX",    0,    1)</f>
        <v>15</v>
      </c>
      <c r="AG40" s="8" cm="1">
        <f t="array" aca="1" ref="AG40" ca="1">_xlfn.XLOOKUP($A40,    INDIRECT("'" &amp; AG$16 &amp; "'!$A$20:$A$219"),    _xlfn.XLOOKUP(AG$18,INDIRECT("'" &amp; AG$16 &amp; "'!$B$18:$BC$18"), INDIRECT("'" &amp; AG$16 &amp; "'!$B$20:$BC$219"),"XXXXX",0,1),    "XX",    0,    1)</f>
        <v>15</v>
      </c>
      <c r="AH40" s="8" cm="1">
        <f t="array" aca="1" ref="AH40" ca="1">_xlfn.XLOOKUP($A40,    INDIRECT("'" &amp; AH$16 &amp; "'!$A$20:$A$219"),    _xlfn.XLOOKUP(AH$18,INDIRECT("'" &amp; AH$16 &amp; "'!$B$18:$BC$18"), INDIRECT("'" &amp; AH$16 &amp; "'!$B$20:$BC$219"),"XXXXX",0,1),    "XX",    0,    1)</f>
        <v>17</v>
      </c>
      <c r="AI40" s="8" cm="1">
        <f t="array" aca="1" ref="AI40" ca="1">_xlfn.XLOOKUP($A40,    INDIRECT("'" &amp; AI$16 &amp; "'!$A$20:$A$219"),    _xlfn.XLOOKUP(AI$18,INDIRECT("'" &amp; AI$16 &amp; "'!$B$18:$BC$18"), INDIRECT("'" &amp; AI$16 &amp; "'!$B$20:$BC$219"),"XXXXX",0,1),    "XX",    0,    1)</f>
        <v>17</v>
      </c>
      <c r="AJ40" s="8" cm="1">
        <f t="array" aca="1" ref="AJ40" ca="1">_xlfn.XLOOKUP($A40,    INDIRECT("'" &amp; AJ$16 &amp; "'!$A$20:$A$219"),    _xlfn.XLOOKUP(AJ$18,INDIRECT("'" &amp; AJ$16 &amp; "'!$B$18:$BC$18"), INDIRECT("'" &amp; AJ$16 &amp; "'!$B$20:$BC$219"),"XXXXX",0,1),    "XX",    0,    1)</f>
        <v>19</v>
      </c>
      <c r="AK40" s="8" cm="1">
        <f t="array" aca="1" ref="AK40" ca="1">_xlfn.XLOOKUP($A40,    INDIRECT("'" &amp; AK$16 &amp; "'!$A$20:$A$219"),    _xlfn.XLOOKUP(AK$18,INDIRECT("'" &amp; AK$16 &amp; "'!$B$18:$BC$18"), INDIRECT("'" &amp; AK$16 &amp; "'!$B$20:$BC$219"),"XXXXX",0,1),    "XX",    0,    1)</f>
        <v>19</v>
      </c>
      <c r="AM40" s="16"/>
      <c r="AW40" s="8">
        <v>1</v>
      </c>
      <c r="AX40" s="8">
        <f t="shared" ca="1" si="24"/>
        <v>1.5</v>
      </c>
      <c r="AY40" s="8">
        <f t="shared" ca="1" si="25"/>
        <v>1.5</v>
      </c>
      <c r="AZ40" s="8">
        <f t="shared" ca="1" si="20"/>
        <v>1.7</v>
      </c>
      <c r="BA40" s="8">
        <f t="shared" ca="1" si="21"/>
        <v>1.7</v>
      </c>
      <c r="BB40" s="8">
        <f t="shared" ca="1" si="22"/>
        <v>1.9</v>
      </c>
      <c r="BC40" s="8">
        <f t="shared" ca="1" si="23"/>
        <v>1.9</v>
      </c>
      <c r="BE40" s="8">
        <f t="shared" ca="1" si="26"/>
        <v>0</v>
      </c>
      <c r="BF40" s="8">
        <f t="shared" ca="1" si="27"/>
        <v>0</v>
      </c>
      <c r="BG40" s="8">
        <f t="shared" ca="1" si="28"/>
        <v>0</v>
      </c>
    </row>
    <row r="41" spans="1:59" x14ac:dyDescent="0.2">
      <c r="A41" s="8" t="s">
        <v>79</v>
      </c>
      <c r="B41" s="8" t="s">
        <v>265</v>
      </c>
      <c r="C41" s="8">
        <v>-33.299999999999997</v>
      </c>
      <c r="D41" s="8">
        <v>459408</v>
      </c>
      <c r="E41" s="8">
        <v>5963900</v>
      </c>
      <c r="F41" s="8">
        <v>0</v>
      </c>
      <c r="G41" s="8">
        <v>-0.6</v>
      </c>
      <c r="H41" s="8">
        <v>0</v>
      </c>
      <c r="I41" s="8">
        <v>2</v>
      </c>
      <c r="J41" s="8">
        <v>0</v>
      </c>
      <c r="K41" s="8">
        <v>-64</v>
      </c>
      <c r="L41" s="8">
        <v>30.7</v>
      </c>
      <c r="M41" s="8">
        <v>1611.4169999999999</v>
      </c>
      <c r="N41" s="8">
        <v>89.4</v>
      </c>
      <c r="O41" s="8">
        <v>8</v>
      </c>
      <c r="P41" s="8">
        <v>10</v>
      </c>
      <c r="Q41" s="8">
        <v>3.01</v>
      </c>
      <c r="R41" s="8">
        <v>68</v>
      </c>
      <c r="S41" s="8">
        <v>110</v>
      </c>
      <c r="T41" s="3">
        <v>147</v>
      </c>
      <c r="U41" s="8">
        <v>1357.9469999999999</v>
      </c>
      <c r="V41" s="8">
        <v>490.17599999999999</v>
      </c>
      <c r="W41" s="8">
        <v>752.85199999999998</v>
      </c>
      <c r="X41" s="8">
        <v>132.18100000000001</v>
      </c>
      <c r="Y41" s="8">
        <v>4.9400000000000004</v>
      </c>
      <c r="Z41" s="8">
        <v>8.0150000000000006</v>
      </c>
      <c r="AA41" s="8">
        <v>21.7</v>
      </c>
      <c r="AB41" s="8">
        <v>290.5</v>
      </c>
      <c r="AC41" s="8">
        <v>12548</v>
      </c>
      <c r="AD41" s="8">
        <v>3080</v>
      </c>
      <c r="AE41" s="8">
        <v>268</v>
      </c>
      <c r="AF41" s="8" cm="1">
        <f t="array" aca="1" ref="AF41" ca="1">_xlfn.XLOOKUP($A41,    INDIRECT("'" &amp; AF$16 &amp; "'!$A$20:$A$219"),    _xlfn.XLOOKUP(AF$18,INDIRECT("'" &amp; AF$16 &amp; "'!$B$18:$BC$18"), INDIRECT("'" &amp; AF$16 &amp; "'!$B$20:$BC$219"),"XXXXX",0,1),    "XX",    0,    1)</f>
        <v>17</v>
      </c>
      <c r="AG41" s="8" cm="1">
        <f t="array" aca="1" ref="AG41" ca="1">_xlfn.XLOOKUP($A41,    INDIRECT("'" &amp; AG$16 &amp; "'!$A$20:$A$219"),    _xlfn.XLOOKUP(AG$18,INDIRECT("'" &amp; AG$16 &amp; "'!$B$18:$BC$18"), INDIRECT("'" &amp; AG$16 &amp; "'!$B$20:$BC$219"),"XXXXX",0,1),    "XX",    0,    1)</f>
        <v>17</v>
      </c>
      <c r="AH41" s="8" cm="1">
        <f t="array" aca="1" ref="AH41" ca="1">_xlfn.XLOOKUP($A41,    INDIRECT("'" &amp; AH$16 &amp; "'!$A$20:$A$219"),    _xlfn.XLOOKUP(AH$18,INDIRECT("'" &amp; AH$16 &amp; "'!$B$18:$BC$18"), INDIRECT("'" &amp; AH$16 &amp; "'!$B$20:$BC$219"),"XXXXX",0,1),    "XX",    0,    1)</f>
        <v>21</v>
      </c>
      <c r="AI41" s="8" cm="1">
        <f t="array" aca="1" ref="AI41" ca="1">_xlfn.XLOOKUP($A41,    INDIRECT("'" &amp; AI$16 &amp; "'!$A$20:$A$219"),    _xlfn.XLOOKUP(AI$18,INDIRECT("'" &amp; AI$16 &amp; "'!$B$18:$BC$18"), INDIRECT("'" &amp; AI$16 &amp; "'!$B$20:$BC$219"),"XXXXX",0,1),    "XX",    0,    1)</f>
        <v>21</v>
      </c>
      <c r="AJ41" s="8" cm="1">
        <f t="array" aca="1" ref="AJ41" ca="1">_xlfn.XLOOKUP($A41,    INDIRECT("'" &amp; AJ$16 &amp; "'!$A$20:$A$219"),    _xlfn.XLOOKUP(AJ$18,INDIRECT("'" &amp; AJ$16 &amp; "'!$B$18:$BC$18"), INDIRECT("'" &amp; AJ$16 &amp; "'!$B$20:$BC$219"),"XXXXX",0,1),    "XX",    0,    1)</f>
        <v>21</v>
      </c>
      <c r="AK41" s="8" cm="1">
        <f t="array" aca="1" ref="AK41" ca="1">_xlfn.XLOOKUP($A41,    INDIRECT("'" &amp; AK$16 &amp; "'!$A$20:$A$219"),    _xlfn.XLOOKUP(AK$18,INDIRECT("'" &amp; AK$16 &amp; "'!$B$18:$BC$18"), INDIRECT("'" &amp; AK$16 &amp; "'!$B$20:$BC$219"),"XXXXX",0,1),    "XX",    0,    1)</f>
        <v>21</v>
      </c>
      <c r="AM41" s="16"/>
      <c r="AW41" s="8">
        <v>1</v>
      </c>
      <c r="AX41" s="8">
        <f t="shared" ca="1" si="24"/>
        <v>1.7</v>
      </c>
      <c r="AY41" s="8">
        <f t="shared" ca="1" si="25"/>
        <v>1.7</v>
      </c>
      <c r="AZ41" s="8">
        <f t="shared" ca="1" si="20"/>
        <v>2.1</v>
      </c>
      <c r="BA41" s="8">
        <f t="shared" ca="1" si="21"/>
        <v>2.1</v>
      </c>
      <c r="BB41" s="8">
        <f t="shared" ca="1" si="22"/>
        <v>2.1</v>
      </c>
      <c r="BC41" s="8">
        <f t="shared" ca="1" si="23"/>
        <v>2.1</v>
      </c>
      <c r="BE41" s="8">
        <f t="shared" ca="1" si="26"/>
        <v>0</v>
      </c>
      <c r="BF41" s="8">
        <f t="shared" ca="1" si="27"/>
        <v>0</v>
      </c>
      <c r="BG41" s="8">
        <f t="shared" ca="1" si="28"/>
        <v>0</v>
      </c>
    </row>
    <row r="42" spans="1:59" x14ac:dyDescent="0.2">
      <c r="A42" s="8" t="s">
        <v>110</v>
      </c>
      <c r="B42" s="8" t="s">
        <v>265</v>
      </c>
      <c r="C42" s="8">
        <v>-34.4</v>
      </c>
      <c r="D42" s="8">
        <v>461577.5</v>
      </c>
      <c r="E42" s="8">
        <v>5963523</v>
      </c>
      <c r="F42" s="8">
        <v>0</v>
      </c>
      <c r="G42" s="8">
        <v>-0.6</v>
      </c>
      <c r="H42" s="8">
        <v>0</v>
      </c>
      <c r="I42" s="8">
        <v>2</v>
      </c>
      <c r="J42" s="8">
        <v>0</v>
      </c>
      <c r="K42" s="8">
        <v>-62</v>
      </c>
      <c r="L42" s="8">
        <v>27.6</v>
      </c>
      <c r="M42" s="8">
        <v>1558.5940000000001</v>
      </c>
      <c r="N42" s="8">
        <v>87.4</v>
      </c>
      <c r="O42" s="8">
        <v>8</v>
      </c>
      <c r="P42" s="8">
        <v>10</v>
      </c>
      <c r="Q42" s="8">
        <v>2.7</v>
      </c>
      <c r="R42" s="8">
        <v>68</v>
      </c>
      <c r="S42" s="8">
        <v>110</v>
      </c>
      <c r="T42" s="3">
        <v>147</v>
      </c>
      <c r="U42" s="8">
        <v>1295.693</v>
      </c>
      <c r="V42" s="8">
        <v>521.67999999999995</v>
      </c>
      <c r="W42" s="8">
        <v>752.85199999999998</v>
      </c>
      <c r="X42" s="8">
        <v>132.18100000000001</v>
      </c>
      <c r="Y42" s="8">
        <v>4.9400000000000004</v>
      </c>
      <c r="Z42" s="8">
        <v>8.0150000000000006</v>
      </c>
      <c r="AA42" s="8">
        <v>21.7</v>
      </c>
      <c r="AB42" s="8">
        <v>290.5</v>
      </c>
      <c r="AC42" s="8">
        <v>12424</v>
      </c>
      <c r="AD42" s="8">
        <v>3149</v>
      </c>
      <c r="AE42" s="8">
        <v>268</v>
      </c>
      <c r="AF42" s="8" cm="1">
        <f t="array" aca="1" ref="AF42" ca="1">_xlfn.XLOOKUP($A42,    INDIRECT("'" &amp; AF$16 &amp; "'!$A$20:$A$219"),    _xlfn.XLOOKUP(AF$18,INDIRECT("'" &amp; AF$16 &amp; "'!$B$18:$BC$18"), INDIRECT("'" &amp; AF$16 &amp; "'!$B$20:$BC$219"),"XXXXX",0,1),    "XX",    0,    1)</f>
        <v>15</v>
      </c>
      <c r="AG42" s="8" cm="1">
        <f t="array" aca="1" ref="AG42" ca="1">_xlfn.XLOOKUP($A42,    INDIRECT("'" &amp; AG$16 &amp; "'!$A$20:$A$219"),    _xlfn.XLOOKUP(AG$18,INDIRECT("'" &amp; AG$16 &amp; "'!$B$18:$BC$18"), INDIRECT("'" &amp; AG$16 &amp; "'!$B$20:$BC$219"),"XXXXX",0,1),    "XX",    0,    1)</f>
        <v>15</v>
      </c>
      <c r="AH42" s="8" cm="1">
        <f t="array" aca="1" ref="AH42" ca="1">_xlfn.XLOOKUP($A42,    INDIRECT("'" &amp; AH$16 &amp; "'!$A$20:$A$219"),    _xlfn.XLOOKUP(AH$18,INDIRECT("'" &amp; AH$16 &amp; "'!$B$18:$BC$18"), INDIRECT("'" &amp; AH$16 &amp; "'!$B$20:$BC$219"),"XXXXX",0,1),    "XX",    0,    1)</f>
        <v>17</v>
      </c>
      <c r="AI42" s="8" cm="1">
        <f t="array" aca="1" ref="AI42" ca="1">_xlfn.XLOOKUP($A42,    INDIRECT("'" &amp; AI$16 &amp; "'!$A$20:$A$219"),    _xlfn.XLOOKUP(AI$18,INDIRECT("'" &amp; AI$16 &amp; "'!$B$18:$BC$18"), INDIRECT("'" &amp; AI$16 &amp; "'!$B$20:$BC$219"),"XXXXX",0,1),    "XX",    0,    1)</f>
        <v>17</v>
      </c>
      <c r="AJ42" s="8" cm="1">
        <f t="array" aca="1" ref="AJ42" ca="1">_xlfn.XLOOKUP($A42,    INDIRECT("'" &amp; AJ$16 &amp; "'!$A$20:$A$219"),    _xlfn.XLOOKUP(AJ$18,INDIRECT("'" &amp; AJ$16 &amp; "'!$B$18:$BC$18"), INDIRECT("'" &amp; AJ$16 &amp; "'!$B$20:$BC$219"),"XXXXX",0,1),    "XX",    0,    1)</f>
        <v>19</v>
      </c>
      <c r="AK42" s="8" cm="1">
        <f t="array" aca="1" ref="AK42" ca="1">_xlfn.XLOOKUP($A42,    INDIRECT("'" &amp; AK$16 &amp; "'!$A$20:$A$219"),    _xlfn.XLOOKUP(AK$18,INDIRECT("'" &amp; AK$16 &amp; "'!$B$18:$BC$18"), INDIRECT("'" &amp; AK$16 &amp; "'!$B$20:$BC$219"),"XXXXX",0,1),    "XX",    0,    1)</f>
        <v>19</v>
      </c>
      <c r="AM42" s="16"/>
      <c r="AW42" s="8">
        <v>1</v>
      </c>
      <c r="AX42" s="8">
        <f t="shared" ca="1" si="24"/>
        <v>1.5</v>
      </c>
      <c r="AY42" s="8">
        <f t="shared" ca="1" si="25"/>
        <v>1.5</v>
      </c>
      <c r="AZ42" s="8">
        <f t="shared" ca="1" si="20"/>
        <v>1.7</v>
      </c>
      <c r="BA42" s="8">
        <f t="shared" ca="1" si="21"/>
        <v>1.7</v>
      </c>
      <c r="BB42" s="8">
        <f t="shared" ca="1" si="22"/>
        <v>1.9</v>
      </c>
      <c r="BC42" s="8">
        <f t="shared" ca="1" si="23"/>
        <v>1.9</v>
      </c>
      <c r="BE42" s="8">
        <f t="shared" ca="1" si="26"/>
        <v>0</v>
      </c>
      <c r="BF42" s="8">
        <f t="shared" ca="1" si="27"/>
        <v>0</v>
      </c>
      <c r="BG42" s="8">
        <f t="shared" ca="1" si="28"/>
        <v>0</v>
      </c>
    </row>
    <row r="43" spans="1:59" x14ac:dyDescent="0.2">
      <c r="A43" s="8" t="s">
        <v>112</v>
      </c>
      <c r="B43" s="8" t="s">
        <v>265</v>
      </c>
      <c r="C43" s="8">
        <v>-32.799999999999997</v>
      </c>
      <c r="D43" s="8">
        <v>464508.1</v>
      </c>
      <c r="E43" s="8">
        <v>5962000.0999999996</v>
      </c>
      <c r="F43" s="8">
        <v>0</v>
      </c>
      <c r="G43" s="8">
        <v>-0.6</v>
      </c>
      <c r="H43" s="8">
        <v>0</v>
      </c>
      <c r="I43" s="8">
        <v>2</v>
      </c>
      <c r="J43" s="8">
        <v>0</v>
      </c>
      <c r="K43" s="8">
        <v>-62.2</v>
      </c>
      <c r="L43" s="8">
        <v>29.4</v>
      </c>
      <c r="M43" s="8">
        <v>1547.806</v>
      </c>
      <c r="N43" s="8">
        <v>87.6</v>
      </c>
      <c r="O43" s="8">
        <v>8</v>
      </c>
      <c r="P43" s="8">
        <v>10</v>
      </c>
      <c r="Q43" s="8">
        <v>2.88</v>
      </c>
      <c r="R43" s="8">
        <v>68</v>
      </c>
      <c r="S43" s="8">
        <v>110</v>
      </c>
      <c r="T43" s="3">
        <v>147</v>
      </c>
      <c r="U43" s="8">
        <v>1295.7940000000001</v>
      </c>
      <c r="V43" s="8">
        <v>459.351</v>
      </c>
      <c r="W43" s="8">
        <v>752.85199999999998</v>
      </c>
      <c r="X43" s="8">
        <v>132.18100000000001</v>
      </c>
      <c r="Y43" s="8">
        <v>4.9400000000000004</v>
      </c>
      <c r="Z43" s="8">
        <v>8.0150000000000006</v>
      </c>
      <c r="AA43" s="8">
        <v>21.7</v>
      </c>
      <c r="AB43" s="8">
        <v>290.5</v>
      </c>
      <c r="AC43" s="8">
        <v>12437</v>
      </c>
      <c r="AD43" s="8">
        <v>3050</v>
      </c>
      <c r="AE43" s="8">
        <v>268</v>
      </c>
      <c r="AF43" s="8" cm="1">
        <f t="array" aca="1" ref="AF43" ca="1">_xlfn.XLOOKUP($A43,    INDIRECT("'" &amp; AF$16 &amp; "'!$A$20:$A$219"),    _xlfn.XLOOKUP(AF$18,INDIRECT("'" &amp; AF$16 &amp; "'!$B$18:$BC$18"), INDIRECT("'" &amp; AF$16 &amp; "'!$B$20:$BC$219"),"XXXXX",0,1),    "XX",    0,    1)</f>
        <v>15</v>
      </c>
      <c r="AG43" s="8" cm="1">
        <f t="array" aca="1" ref="AG43" ca="1">_xlfn.XLOOKUP($A43,    INDIRECT("'" &amp; AG$16 &amp; "'!$A$20:$A$219"),    _xlfn.XLOOKUP(AG$18,INDIRECT("'" &amp; AG$16 &amp; "'!$B$18:$BC$18"), INDIRECT("'" &amp; AG$16 &amp; "'!$B$20:$BC$219"),"XXXXX",0,1),    "XX",    0,    1)</f>
        <v>15</v>
      </c>
      <c r="AH43" s="8" cm="1">
        <f t="array" aca="1" ref="AH43" ca="1">_xlfn.XLOOKUP($A43,    INDIRECT("'" &amp; AH$16 &amp; "'!$A$20:$A$219"),    _xlfn.XLOOKUP(AH$18,INDIRECT("'" &amp; AH$16 &amp; "'!$B$18:$BC$18"), INDIRECT("'" &amp; AH$16 &amp; "'!$B$20:$BC$219"),"XXXXX",0,1),    "XX",    0,    1)</f>
        <v>19</v>
      </c>
      <c r="AI43" s="8" cm="1">
        <f t="array" aca="1" ref="AI43" ca="1">_xlfn.XLOOKUP($A43,    INDIRECT("'" &amp; AI$16 &amp; "'!$A$20:$A$219"),    _xlfn.XLOOKUP(AI$18,INDIRECT("'" &amp; AI$16 &amp; "'!$B$18:$BC$18"), INDIRECT("'" &amp; AI$16 &amp; "'!$B$20:$BC$219"),"XXXXX",0,1),    "XX",    0,    1)</f>
        <v>19</v>
      </c>
      <c r="AJ43" s="8" cm="1">
        <f t="array" aca="1" ref="AJ43" ca="1">_xlfn.XLOOKUP($A43,    INDIRECT("'" &amp; AJ$16 &amp; "'!$A$20:$A$219"),    _xlfn.XLOOKUP(AJ$18,INDIRECT("'" &amp; AJ$16 &amp; "'!$B$18:$BC$18"), INDIRECT("'" &amp; AJ$16 &amp; "'!$B$20:$BC$219"),"XXXXX",0,1),    "XX",    0,    1)</f>
        <v>21</v>
      </c>
      <c r="AK43" s="8" cm="1">
        <f t="array" aca="1" ref="AK43" ca="1">_xlfn.XLOOKUP($A43,    INDIRECT("'" &amp; AK$16 &amp; "'!$A$20:$A$219"),    _xlfn.XLOOKUP(AK$18,INDIRECT("'" &amp; AK$16 &amp; "'!$B$18:$BC$18"), INDIRECT("'" &amp; AK$16 &amp; "'!$B$20:$BC$219"),"XXXXX",0,1),    "XX",    0,    1)</f>
        <v>21</v>
      </c>
      <c r="AM43" s="16"/>
      <c r="AW43" s="8">
        <v>1</v>
      </c>
      <c r="AX43" s="8">
        <f t="shared" ca="1" si="24"/>
        <v>1.5</v>
      </c>
      <c r="AY43" s="8">
        <f t="shared" ca="1" si="25"/>
        <v>1.5</v>
      </c>
      <c r="AZ43" s="8">
        <f t="shared" ca="1" si="20"/>
        <v>1.9</v>
      </c>
      <c r="BA43" s="8">
        <f t="shared" ca="1" si="21"/>
        <v>1.9</v>
      </c>
      <c r="BB43" s="8">
        <f t="shared" ca="1" si="22"/>
        <v>2.1</v>
      </c>
      <c r="BC43" s="8">
        <f t="shared" ca="1" si="23"/>
        <v>2.1</v>
      </c>
      <c r="BE43" s="8">
        <f t="shared" ca="1" si="26"/>
        <v>0</v>
      </c>
      <c r="BF43" s="8">
        <f t="shared" ca="1" si="27"/>
        <v>0</v>
      </c>
      <c r="BG43" s="8">
        <f t="shared" ca="1" si="28"/>
        <v>0</v>
      </c>
    </row>
    <row r="44" spans="1:59" x14ac:dyDescent="0.2">
      <c r="A44" s="8" t="s">
        <v>155</v>
      </c>
      <c r="B44" s="8" t="s">
        <v>265</v>
      </c>
      <c r="C44" s="8">
        <v>-29.4</v>
      </c>
      <c r="D44" s="8">
        <v>467528.6</v>
      </c>
      <c r="E44" s="8">
        <v>5960419.7000000002</v>
      </c>
      <c r="F44" s="8">
        <v>0</v>
      </c>
      <c r="G44" s="8">
        <v>-0.6</v>
      </c>
      <c r="H44" s="8">
        <v>0</v>
      </c>
      <c r="I44" s="8">
        <v>2</v>
      </c>
      <c r="J44" s="8">
        <v>0</v>
      </c>
      <c r="K44" s="8">
        <v>-58.6</v>
      </c>
      <c r="L44" s="8">
        <v>29.2</v>
      </c>
      <c r="M44" s="8">
        <v>1432.7070000000001</v>
      </c>
      <c r="N44" s="8">
        <v>84</v>
      </c>
      <c r="O44" s="8">
        <v>8</v>
      </c>
      <c r="P44" s="8">
        <v>10</v>
      </c>
      <c r="Q44" s="8">
        <v>2.86</v>
      </c>
      <c r="R44" s="8">
        <v>64</v>
      </c>
      <c r="S44" s="8">
        <v>110</v>
      </c>
      <c r="T44" s="3">
        <v>147</v>
      </c>
      <c r="U44" s="8">
        <v>1233.8040000000001</v>
      </c>
      <c r="V44" s="8">
        <v>430.87599999999998</v>
      </c>
      <c r="W44" s="8">
        <v>752.85199999999998</v>
      </c>
      <c r="X44" s="8">
        <v>132.18100000000001</v>
      </c>
      <c r="Y44" s="8">
        <v>4.9400000000000004</v>
      </c>
      <c r="Z44" s="8">
        <v>8.0150000000000006</v>
      </c>
      <c r="AA44" s="8">
        <v>21.7</v>
      </c>
      <c r="AB44" s="8">
        <v>290.5</v>
      </c>
      <c r="AC44" s="8">
        <v>12214</v>
      </c>
      <c r="AD44" s="8">
        <v>2839</v>
      </c>
      <c r="AE44" s="8">
        <v>268</v>
      </c>
      <c r="AF44" s="8" cm="1">
        <f t="array" aca="1" ref="AF44" ca="1">_xlfn.XLOOKUP($A44,    INDIRECT("'" &amp; AF$16 &amp; "'!$A$20:$A$219"),    _xlfn.XLOOKUP(AF$18,INDIRECT("'" &amp; AF$16 &amp; "'!$B$18:$BC$18"), INDIRECT("'" &amp; AF$16 &amp; "'!$B$20:$BC$219"),"XXXXX",0,1),    "XX",    0,    1)</f>
        <v>15</v>
      </c>
      <c r="AG44" s="8" cm="1">
        <f t="array" aca="1" ref="AG44" ca="1">_xlfn.XLOOKUP($A44,    INDIRECT("'" &amp; AG$16 &amp; "'!$A$20:$A$219"),    _xlfn.XLOOKUP(AG$18,INDIRECT("'" &amp; AG$16 &amp; "'!$B$18:$BC$18"), INDIRECT("'" &amp; AG$16 &amp; "'!$B$20:$BC$219"),"XXXXX",0,1),    "XX",    0,    1)</f>
        <v>15</v>
      </c>
      <c r="AH44" s="8" cm="1">
        <f t="array" aca="1" ref="AH44" ca="1">_xlfn.XLOOKUP($A44,    INDIRECT("'" &amp; AH$16 &amp; "'!$A$20:$A$219"),    _xlfn.XLOOKUP(AH$18,INDIRECT("'" &amp; AH$16 &amp; "'!$B$18:$BC$18"), INDIRECT("'" &amp; AH$16 &amp; "'!$B$20:$BC$219"),"XXXXX",0,1),    "XX",    0,    1)</f>
        <v>19</v>
      </c>
      <c r="AI44" s="8" cm="1">
        <f t="array" aca="1" ref="AI44" ca="1">_xlfn.XLOOKUP($A44,    INDIRECT("'" &amp; AI$16 &amp; "'!$A$20:$A$219"),    _xlfn.XLOOKUP(AI$18,INDIRECT("'" &amp; AI$16 &amp; "'!$B$18:$BC$18"), INDIRECT("'" &amp; AI$16 &amp; "'!$B$20:$BC$219"),"XXXXX",0,1),    "XX",    0,    1)</f>
        <v>19</v>
      </c>
      <c r="AJ44" s="8" cm="1">
        <f t="array" aca="1" ref="AJ44" ca="1">_xlfn.XLOOKUP($A44,    INDIRECT("'" &amp; AJ$16 &amp; "'!$A$20:$A$219"),    _xlfn.XLOOKUP(AJ$18,INDIRECT("'" &amp; AJ$16 &amp; "'!$B$18:$BC$18"), INDIRECT("'" &amp; AJ$16 &amp; "'!$B$20:$BC$219"),"XXXXX",0,1),    "XX",    0,    1)</f>
        <v>19</v>
      </c>
      <c r="AK44" s="8" cm="1">
        <f t="array" aca="1" ref="AK44" ca="1">_xlfn.XLOOKUP($A44,    INDIRECT("'" &amp; AK$16 &amp; "'!$A$20:$A$219"),    _xlfn.XLOOKUP(AK$18,INDIRECT("'" &amp; AK$16 &amp; "'!$B$18:$BC$18"), INDIRECT("'" &amp; AK$16 &amp; "'!$B$20:$BC$219"),"XXXXX",0,1),    "XX",    0,    1)</f>
        <v>19</v>
      </c>
      <c r="AM44" s="16"/>
      <c r="AW44" s="8">
        <v>1</v>
      </c>
      <c r="AX44" s="8">
        <f t="shared" ca="1" si="24"/>
        <v>1.5</v>
      </c>
      <c r="AY44" s="8">
        <f t="shared" ca="1" si="25"/>
        <v>1.5</v>
      </c>
      <c r="AZ44" s="8">
        <f t="shared" ca="1" si="20"/>
        <v>1.9</v>
      </c>
      <c r="BA44" s="8">
        <f t="shared" ca="1" si="21"/>
        <v>1.9</v>
      </c>
      <c r="BB44" s="8">
        <f t="shared" ca="1" si="22"/>
        <v>1.9</v>
      </c>
      <c r="BC44" s="8">
        <f t="shared" ca="1" si="23"/>
        <v>1.9</v>
      </c>
      <c r="BE44" s="8">
        <f t="shared" ca="1" si="26"/>
        <v>0</v>
      </c>
      <c r="BF44" s="8">
        <f t="shared" ca="1" si="27"/>
        <v>0</v>
      </c>
      <c r="BG44" s="8">
        <f t="shared" ca="1" si="28"/>
        <v>0</v>
      </c>
    </row>
    <row r="45" spans="1:59" x14ac:dyDescent="0.2">
      <c r="A45" s="8" t="s">
        <v>22</v>
      </c>
      <c r="B45" s="8" t="s">
        <v>265</v>
      </c>
      <c r="C45" s="8">
        <v>-37.4</v>
      </c>
      <c r="D45" s="8">
        <v>483031.5</v>
      </c>
      <c r="E45" s="8">
        <v>5952290.2999999998</v>
      </c>
      <c r="F45" s="8">
        <v>0</v>
      </c>
      <c r="G45" s="8">
        <v>-0.6</v>
      </c>
      <c r="H45" s="8">
        <v>0</v>
      </c>
      <c r="I45" s="8">
        <v>2</v>
      </c>
      <c r="J45" s="8">
        <v>0</v>
      </c>
      <c r="K45" s="8">
        <v>-68.2</v>
      </c>
      <c r="L45" s="8">
        <v>30.8</v>
      </c>
      <c r="M45" s="8">
        <v>1764.319</v>
      </c>
      <c r="N45" s="8">
        <v>93.6</v>
      </c>
      <c r="O45" s="8">
        <v>8</v>
      </c>
      <c r="P45" s="8">
        <v>10</v>
      </c>
      <c r="Q45" s="8">
        <v>3.02</v>
      </c>
      <c r="R45" s="8">
        <v>68</v>
      </c>
      <c r="S45" s="8">
        <v>110</v>
      </c>
      <c r="T45" s="3">
        <v>147</v>
      </c>
      <c r="U45" s="8">
        <v>1419.8489999999999</v>
      </c>
      <c r="V45" s="8">
        <v>489.52300000000002</v>
      </c>
      <c r="W45" s="8">
        <v>752.85199999999998</v>
      </c>
      <c r="X45" s="8">
        <v>132.18100000000001</v>
      </c>
      <c r="Y45" s="8">
        <v>4.9400000000000004</v>
      </c>
      <c r="Z45" s="8">
        <v>8.0150000000000006</v>
      </c>
      <c r="AA45" s="8">
        <v>21.7</v>
      </c>
      <c r="AB45" s="8">
        <v>290.5</v>
      </c>
      <c r="AC45" s="8">
        <v>12808</v>
      </c>
      <c r="AD45" s="8">
        <v>3334</v>
      </c>
      <c r="AE45" s="8">
        <v>268</v>
      </c>
      <c r="AF45" s="8" cm="1">
        <f t="array" aca="1" ref="AF45" ca="1">_xlfn.XLOOKUP($A45,    INDIRECT("'" &amp; AF$16 &amp; "'!$A$20:$A$219"),    _xlfn.XLOOKUP(AF$18,INDIRECT("'" &amp; AF$16 &amp; "'!$B$18:$BC$18"), INDIRECT("'" &amp; AF$16 &amp; "'!$B$20:$BC$219"),"XXXXX",0,1),    "XX",    0,    1)</f>
        <v>17</v>
      </c>
      <c r="AG45" s="8" cm="1">
        <f t="array" aca="1" ref="AG45" ca="1">_xlfn.XLOOKUP($A45,    INDIRECT("'" &amp; AG$16 &amp; "'!$A$20:$A$219"),    _xlfn.XLOOKUP(AG$18,INDIRECT("'" &amp; AG$16 &amp; "'!$B$18:$BC$18"), INDIRECT("'" &amp; AG$16 &amp; "'!$B$20:$BC$219"),"XXXXX",0,1),    "XX",    0,    1)</f>
        <v>17</v>
      </c>
      <c r="AH45" s="8" cm="1">
        <f t="array" aca="1" ref="AH45" ca="1">_xlfn.XLOOKUP($A45,    INDIRECT("'" &amp; AH$16 &amp; "'!$A$20:$A$219"),    _xlfn.XLOOKUP(AH$18,INDIRECT("'" &amp; AH$16 &amp; "'!$B$18:$BC$18"), INDIRECT("'" &amp; AH$16 &amp; "'!$B$20:$BC$219"),"XXXXX",0,1),    "XX",    0,    1)</f>
        <v>21</v>
      </c>
      <c r="AI45" s="8" cm="1">
        <f t="array" aca="1" ref="AI45" ca="1">_xlfn.XLOOKUP($A45,    INDIRECT("'" &amp; AI$16 &amp; "'!$A$20:$A$219"),    _xlfn.XLOOKUP(AI$18,INDIRECT("'" &amp; AI$16 &amp; "'!$B$18:$BC$18"), INDIRECT("'" &amp; AI$16 &amp; "'!$B$20:$BC$219"),"XXXXX",0,1),    "XX",    0,    1)</f>
        <v>21</v>
      </c>
      <c r="AJ45" s="8" cm="1">
        <f t="array" aca="1" ref="AJ45" ca="1">_xlfn.XLOOKUP($A45,    INDIRECT("'" &amp; AJ$16 &amp; "'!$A$20:$A$219"),    _xlfn.XLOOKUP(AJ$18,INDIRECT("'" &amp; AJ$16 &amp; "'!$B$18:$BC$18"), INDIRECT("'" &amp; AJ$16 &amp; "'!$B$20:$BC$219"),"XXXXX",0,1),    "XX",    0,    1)</f>
        <v>21</v>
      </c>
      <c r="AK45" s="8" cm="1">
        <f t="array" aca="1" ref="AK45" ca="1">_xlfn.XLOOKUP($A45,    INDIRECT("'" &amp; AK$16 &amp; "'!$A$20:$A$219"),    _xlfn.XLOOKUP(AK$18,INDIRECT("'" &amp; AK$16 &amp; "'!$B$18:$BC$18"), INDIRECT("'" &amp; AK$16 &amp; "'!$B$20:$BC$219"),"XXXXX",0,1),    "XX",    0,    1)</f>
        <v>21</v>
      </c>
      <c r="AM45" s="16"/>
      <c r="AW45" s="8">
        <v>1</v>
      </c>
      <c r="AX45" s="8">
        <f t="shared" ca="1" si="24"/>
        <v>1.7</v>
      </c>
      <c r="AY45" s="8">
        <f t="shared" ca="1" si="25"/>
        <v>1.7</v>
      </c>
      <c r="AZ45" s="8">
        <f t="shared" ca="1" si="20"/>
        <v>2.1</v>
      </c>
      <c r="BA45" s="8">
        <f t="shared" ca="1" si="21"/>
        <v>2.1</v>
      </c>
      <c r="BB45" s="8">
        <f t="shared" ca="1" si="22"/>
        <v>2.1</v>
      </c>
      <c r="BC45" s="8">
        <f t="shared" ca="1" si="23"/>
        <v>2.1</v>
      </c>
      <c r="BE45" s="8">
        <f t="shared" ca="1" si="26"/>
        <v>0</v>
      </c>
      <c r="BF45" s="8">
        <f t="shared" ca="1" si="27"/>
        <v>0</v>
      </c>
      <c r="BG45" s="8">
        <f t="shared" ca="1" si="28"/>
        <v>0</v>
      </c>
    </row>
    <row r="46" spans="1:59" x14ac:dyDescent="0.2">
      <c r="A46" s="8" t="s">
        <v>32</v>
      </c>
      <c r="B46" s="8" t="s">
        <v>265</v>
      </c>
      <c r="C46" s="8">
        <v>-35.700000000000003</v>
      </c>
      <c r="D46" s="8">
        <v>483981.9</v>
      </c>
      <c r="E46" s="8">
        <v>5954052.2999999998</v>
      </c>
      <c r="F46" s="8">
        <v>0</v>
      </c>
      <c r="G46" s="8">
        <v>-0.6</v>
      </c>
      <c r="H46" s="8">
        <v>0</v>
      </c>
      <c r="I46" s="8">
        <v>2</v>
      </c>
      <c r="J46" s="8">
        <v>0</v>
      </c>
      <c r="K46" s="8">
        <v>-66.900000000000006</v>
      </c>
      <c r="L46" s="8">
        <v>31.2</v>
      </c>
      <c r="M46" s="8">
        <v>1704.413</v>
      </c>
      <c r="N46" s="8">
        <v>92.3</v>
      </c>
      <c r="O46" s="8">
        <v>8</v>
      </c>
      <c r="P46" s="8">
        <v>10</v>
      </c>
      <c r="Q46" s="8">
        <v>3.06</v>
      </c>
      <c r="R46" s="8">
        <v>68</v>
      </c>
      <c r="S46" s="8">
        <v>110</v>
      </c>
      <c r="T46" s="3">
        <v>147</v>
      </c>
      <c r="U46" s="8">
        <v>1420.0630000000001</v>
      </c>
      <c r="V46" s="8">
        <v>421.96600000000001</v>
      </c>
      <c r="W46" s="8">
        <v>752.85199999999998</v>
      </c>
      <c r="X46" s="8">
        <v>132.18100000000001</v>
      </c>
      <c r="Y46" s="8">
        <v>4.9400000000000004</v>
      </c>
      <c r="Z46" s="8">
        <v>8.0150000000000006</v>
      </c>
      <c r="AA46" s="8">
        <v>21.7</v>
      </c>
      <c r="AB46" s="8">
        <v>290.5</v>
      </c>
      <c r="AC46" s="8">
        <v>12728</v>
      </c>
      <c r="AD46" s="8">
        <v>3229</v>
      </c>
      <c r="AE46" s="8">
        <v>268</v>
      </c>
      <c r="AF46" s="8" cm="1">
        <f t="array" aca="1" ref="AF46" ca="1">_xlfn.XLOOKUP($A46,    INDIRECT("'" &amp; AF$16 &amp; "'!$A$20:$A$219"),    _xlfn.XLOOKUP(AF$18,INDIRECT("'" &amp; AF$16 &amp; "'!$B$18:$BC$18"), INDIRECT("'" &amp; AF$16 &amp; "'!$B$20:$BC$219"),"XXXXX",0,1),    "XX",    0,    1)</f>
        <v>17</v>
      </c>
      <c r="AG46" s="8" cm="1">
        <f t="array" aca="1" ref="AG46" ca="1">_xlfn.XLOOKUP($A46,    INDIRECT("'" &amp; AG$16 &amp; "'!$A$20:$A$219"),    _xlfn.XLOOKUP(AG$18,INDIRECT("'" &amp; AG$16 &amp; "'!$B$18:$BC$18"), INDIRECT("'" &amp; AG$16 &amp; "'!$B$20:$BC$219"),"XXXXX",0,1),    "XX",    0,    1)</f>
        <v>17</v>
      </c>
      <c r="AH46" s="8" cm="1">
        <f t="array" aca="1" ref="AH46" ca="1">_xlfn.XLOOKUP($A46,    INDIRECT("'" &amp; AH$16 &amp; "'!$A$20:$A$219"),    _xlfn.XLOOKUP(AH$18,INDIRECT("'" &amp; AH$16 &amp; "'!$B$18:$BC$18"), INDIRECT("'" &amp; AH$16 &amp; "'!$B$20:$BC$219"),"XXXXX",0,1),    "XX",    0,    1)</f>
        <v>21</v>
      </c>
      <c r="AI46" s="8" cm="1">
        <f t="array" aca="1" ref="AI46" ca="1">_xlfn.XLOOKUP($A46,    INDIRECT("'" &amp; AI$16 &amp; "'!$A$20:$A$219"),    _xlfn.XLOOKUP(AI$18,INDIRECT("'" &amp; AI$16 &amp; "'!$B$18:$BC$18"), INDIRECT("'" &amp; AI$16 &amp; "'!$B$20:$BC$219"),"XXXXX",0,1),    "XX",    0,    1)</f>
        <v>21</v>
      </c>
      <c r="AJ46" s="8" cm="1">
        <f t="array" aca="1" ref="AJ46" ca="1">_xlfn.XLOOKUP($A46,    INDIRECT("'" &amp; AJ$16 &amp; "'!$A$20:$A$219"),    _xlfn.XLOOKUP(AJ$18,INDIRECT("'" &amp; AJ$16 &amp; "'!$B$18:$BC$18"), INDIRECT("'" &amp; AJ$16 &amp; "'!$B$20:$BC$219"),"XXXXX",0,1),    "XX",    0,    1)</f>
        <v>21</v>
      </c>
      <c r="AK46" s="8" cm="1">
        <f t="array" aca="1" ref="AK46" ca="1">_xlfn.XLOOKUP($A46,    INDIRECT("'" &amp; AK$16 &amp; "'!$A$20:$A$219"),    _xlfn.XLOOKUP(AK$18,INDIRECT("'" &amp; AK$16 &amp; "'!$B$18:$BC$18"), INDIRECT("'" &amp; AK$16 &amp; "'!$B$20:$BC$219"),"XXXXX",0,1),    "XX",    0,    1)</f>
        <v>21</v>
      </c>
      <c r="AM46" s="16"/>
      <c r="AW46" s="8">
        <v>1</v>
      </c>
      <c r="AX46" s="8">
        <f t="shared" ca="1" si="24"/>
        <v>1.7</v>
      </c>
      <c r="AY46" s="8">
        <f t="shared" ca="1" si="25"/>
        <v>1.7</v>
      </c>
      <c r="AZ46" s="8">
        <f t="shared" ca="1" si="20"/>
        <v>2.1</v>
      </c>
      <c r="BA46" s="8">
        <f t="shared" ca="1" si="21"/>
        <v>2.1</v>
      </c>
      <c r="BB46" s="8">
        <f t="shared" ca="1" si="22"/>
        <v>2.1</v>
      </c>
      <c r="BC46" s="8">
        <f t="shared" ca="1" si="23"/>
        <v>2.1</v>
      </c>
      <c r="BE46" s="8">
        <f t="shared" ca="1" si="26"/>
        <v>0</v>
      </c>
      <c r="BF46" s="8">
        <f t="shared" ca="1" si="27"/>
        <v>0</v>
      </c>
      <c r="BG46" s="8">
        <f t="shared" ca="1" si="28"/>
        <v>0</v>
      </c>
    </row>
    <row r="47" spans="1:59" x14ac:dyDescent="0.2">
      <c r="A47" s="8" t="s">
        <v>101</v>
      </c>
      <c r="B47" s="8" t="s">
        <v>265</v>
      </c>
      <c r="C47" s="8">
        <v>-34.200000000000003</v>
      </c>
      <c r="D47" s="8">
        <v>483871</v>
      </c>
      <c r="E47" s="8">
        <v>5957410</v>
      </c>
      <c r="F47" s="8">
        <v>0</v>
      </c>
      <c r="G47" s="8">
        <v>-0.6</v>
      </c>
      <c r="H47" s="8">
        <v>0</v>
      </c>
      <c r="I47" s="8">
        <v>2</v>
      </c>
      <c r="J47" s="8">
        <v>0</v>
      </c>
      <c r="K47" s="8">
        <v>-62.5</v>
      </c>
      <c r="L47" s="8">
        <v>28.3</v>
      </c>
      <c r="M47" s="8">
        <v>1565.038</v>
      </c>
      <c r="N47" s="8">
        <v>87.9</v>
      </c>
      <c r="O47" s="8">
        <v>8</v>
      </c>
      <c r="P47" s="8">
        <v>10</v>
      </c>
      <c r="Q47" s="8">
        <v>2.77</v>
      </c>
      <c r="R47" s="8">
        <v>68</v>
      </c>
      <c r="S47" s="8">
        <v>110</v>
      </c>
      <c r="T47" s="3">
        <v>147</v>
      </c>
      <c r="U47" s="8">
        <v>1295.7180000000001</v>
      </c>
      <c r="V47" s="8">
        <v>542.25099999999998</v>
      </c>
      <c r="W47" s="8">
        <v>752.85199999999998</v>
      </c>
      <c r="X47" s="8">
        <v>132.18100000000001</v>
      </c>
      <c r="Y47" s="8">
        <v>4.9400000000000004</v>
      </c>
      <c r="Z47" s="8">
        <v>8.0150000000000006</v>
      </c>
      <c r="AA47" s="8">
        <v>21.7</v>
      </c>
      <c r="AB47" s="8">
        <v>290.5</v>
      </c>
      <c r="AC47" s="8">
        <v>12455</v>
      </c>
      <c r="AD47" s="8">
        <v>3137</v>
      </c>
      <c r="AE47" s="8">
        <v>268</v>
      </c>
      <c r="AF47" s="8" cm="1">
        <f t="array" aca="1" ref="AF47" ca="1">_xlfn.XLOOKUP($A47,    INDIRECT("'" &amp; AF$16 &amp; "'!$A$20:$A$219"),    _xlfn.XLOOKUP(AF$18,INDIRECT("'" &amp; AF$16 &amp; "'!$B$18:$BC$18"), INDIRECT("'" &amp; AF$16 &amp; "'!$B$20:$BC$219"),"XXXXX",0,1),    "XX",    0,    1)</f>
        <v>15</v>
      </c>
      <c r="AG47" s="8" cm="1">
        <f t="array" aca="1" ref="AG47" ca="1">_xlfn.XLOOKUP($A47,    INDIRECT("'" &amp; AG$16 &amp; "'!$A$20:$A$219"),    _xlfn.XLOOKUP(AG$18,INDIRECT("'" &amp; AG$16 &amp; "'!$B$18:$BC$18"), INDIRECT("'" &amp; AG$16 &amp; "'!$B$20:$BC$219"),"XXXXX",0,1),    "XX",    0,    1)</f>
        <v>15</v>
      </c>
      <c r="AH47" s="8" cm="1">
        <f t="array" aca="1" ref="AH47" ca="1">_xlfn.XLOOKUP($A47,    INDIRECT("'" &amp; AH$16 &amp; "'!$A$20:$A$219"),    _xlfn.XLOOKUP(AH$18,INDIRECT("'" &amp; AH$16 &amp; "'!$B$18:$BC$18"), INDIRECT("'" &amp; AH$16 &amp; "'!$B$20:$BC$219"),"XXXXX",0,1),    "XX",    0,    1)</f>
        <v>17</v>
      </c>
      <c r="AI47" s="8" cm="1">
        <f t="array" aca="1" ref="AI47" ca="1">_xlfn.XLOOKUP($A47,    INDIRECT("'" &amp; AI$16 &amp; "'!$A$20:$A$219"),    _xlfn.XLOOKUP(AI$18,INDIRECT("'" &amp; AI$16 &amp; "'!$B$18:$BC$18"), INDIRECT("'" &amp; AI$16 &amp; "'!$B$20:$BC$219"),"XXXXX",0,1),    "XX",    0,    1)</f>
        <v>17</v>
      </c>
      <c r="AJ47" s="8" cm="1">
        <f t="array" aca="1" ref="AJ47" ca="1">_xlfn.XLOOKUP($A47,    INDIRECT("'" &amp; AJ$16 &amp; "'!$A$20:$A$219"),    _xlfn.XLOOKUP(AJ$18,INDIRECT("'" &amp; AJ$16 &amp; "'!$B$18:$BC$18"), INDIRECT("'" &amp; AJ$16 &amp; "'!$B$20:$BC$219"),"XXXXX",0,1),    "XX",    0,    1)</f>
        <v>19</v>
      </c>
      <c r="AK47" s="8" cm="1">
        <f t="array" aca="1" ref="AK47" ca="1">_xlfn.XLOOKUP($A47,    INDIRECT("'" &amp; AK$16 &amp; "'!$A$20:$A$219"),    _xlfn.XLOOKUP(AK$18,INDIRECT("'" &amp; AK$16 &amp; "'!$B$18:$BC$18"), INDIRECT("'" &amp; AK$16 &amp; "'!$B$20:$BC$219"),"XXXXX",0,1),    "XX",    0,    1)</f>
        <v>19</v>
      </c>
      <c r="AM47" s="16"/>
      <c r="AW47" s="8">
        <v>1</v>
      </c>
      <c r="AX47" s="8">
        <f t="shared" ca="1" si="24"/>
        <v>1.5</v>
      </c>
      <c r="AY47" s="8">
        <f t="shared" ca="1" si="25"/>
        <v>1.5</v>
      </c>
      <c r="AZ47" s="8">
        <f t="shared" ca="1" si="20"/>
        <v>1.7</v>
      </c>
      <c r="BA47" s="8">
        <f t="shared" ca="1" si="21"/>
        <v>1.7</v>
      </c>
      <c r="BB47" s="8">
        <f t="shared" ca="1" si="22"/>
        <v>1.9</v>
      </c>
      <c r="BC47" s="8">
        <f t="shared" ca="1" si="23"/>
        <v>1.9</v>
      </c>
      <c r="BE47" s="8">
        <f t="shared" ca="1" si="26"/>
        <v>0</v>
      </c>
      <c r="BF47" s="8">
        <f t="shared" ca="1" si="27"/>
        <v>0</v>
      </c>
      <c r="BG47" s="8">
        <f t="shared" ca="1" si="28"/>
        <v>0</v>
      </c>
    </row>
    <row r="48" spans="1:59" x14ac:dyDescent="0.2">
      <c r="A48" s="8" t="s">
        <v>192</v>
      </c>
      <c r="B48" s="8" t="s">
        <v>271</v>
      </c>
      <c r="C48" s="8">
        <v>-48.7</v>
      </c>
      <c r="D48" s="8">
        <v>483074</v>
      </c>
      <c r="E48" s="8">
        <v>5961784</v>
      </c>
      <c r="F48" s="8">
        <v>0</v>
      </c>
      <c r="G48" s="8">
        <v>-0.7</v>
      </c>
      <c r="H48" s="8">
        <v>0</v>
      </c>
      <c r="I48" s="8">
        <v>2</v>
      </c>
      <c r="J48" s="8">
        <v>0</v>
      </c>
      <c r="K48" s="8">
        <v>-80.5</v>
      </c>
      <c r="L48" s="8">
        <v>31.8</v>
      </c>
      <c r="M48" s="8">
        <v>2316.0819999999999</v>
      </c>
      <c r="N48" s="8">
        <v>105.9</v>
      </c>
      <c r="O48" s="8">
        <v>8</v>
      </c>
      <c r="P48" s="8">
        <v>11</v>
      </c>
      <c r="Q48" s="8">
        <v>2.8273000000000001</v>
      </c>
      <c r="R48" s="8">
        <v>70</v>
      </c>
      <c r="S48" s="8">
        <v>117</v>
      </c>
      <c r="T48" s="3">
        <v>149</v>
      </c>
      <c r="U48" s="8">
        <v>1711.489</v>
      </c>
      <c r="V48" s="8">
        <v>335.19499999999999</v>
      </c>
      <c r="W48" s="8">
        <v>752.85199999999998</v>
      </c>
      <c r="X48" s="8">
        <v>132.18100000000001</v>
      </c>
      <c r="Y48" s="8">
        <v>4.9400000000000004</v>
      </c>
      <c r="Z48" s="8">
        <v>8.0150000000000006</v>
      </c>
      <c r="AA48" s="8">
        <v>21.7</v>
      </c>
      <c r="AB48" s="8">
        <v>290.5</v>
      </c>
      <c r="AC48" s="8">
        <v>13946</v>
      </c>
      <c r="AD48" s="8">
        <v>4229</v>
      </c>
      <c r="AE48" s="8">
        <v>268</v>
      </c>
      <c r="AF48" s="8" cm="1">
        <f t="array" aca="1" ref="AF48" ca="1">_xlfn.XLOOKUP($A48,    INDIRECT("'" &amp; AF$16 &amp; "'!$A$20:$A$219"),    _xlfn.XLOOKUP(AF$18,INDIRECT("'" &amp; AF$16 &amp; "'!$B$18:$BC$18"), INDIRECT("'" &amp; AF$16 &amp; "'!$B$20:$BC$219"),"XXXXX",0,1),    "XX",    0,    1)</f>
        <v>17</v>
      </c>
      <c r="AG48" s="8" cm="1">
        <f t="array" aca="1" ref="AG48" ca="1">_xlfn.XLOOKUP($A48,    INDIRECT("'" &amp; AG$16 &amp; "'!$A$20:$A$219"),    _xlfn.XLOOKUP(AG$18,INDIRECT("'" &amp; AG$16 &amp; "'!$B$18:$BC$18"), INDIRECT("'" &amp; AG$16 &amp; "'!$B$20:$BC$219"),"XXXXX",0,1),    "XX",    0,    1)</f>
        <v>17</v>
      </c>
      <c r="AH48" s="8" cm="1">
        <f t="array" aca="1" ref="AH48" ca="1">_xlfn.XLOOKUP($A48,    INDIRECT("'" &amp; AH$16 &amp; "'!$A$20:$A$219"),    _xlfn.XLOOKUP(AH$18,INDIRECT("'" &amp; AH$16 &amp; "'!$B$18:$BC$18"), INDIRECT("'" &amp; AH$16 &amp; "'!$B$20:$BC$219"),"XXXXX",0,1),    "XX",    0,    1)</f>
        <v>21</v>
      </c>
      <c r="AI48" s="8" cm="1">
        <f t="array" aca="1" ref="AI48" ca="1">_xlfn.XLOOKUP($A48,    INDIRECT("'" &amp; AI$16 &amp; "'!$A$20:$A$219"),    _xlfn.XLOOKUP(AI$18,INDIRECT("'" &amp; AI$16 &amp; "'!$B$18:$BC$18"), INDIRECT("'" &amp; AI$16 &amp; "'!$B$20:$BC$219"),"XXXXX",0,1),    "XX",    0,    1)</f>
        <v>21</v>
      </c>
      <c r="AJ48" s="8" cm="1">
        <f t="array" aca="1" ref="AJ48" ca="1">_xlfn.XLOOKUP($A48,    INDIRECT("'" &amp; AJ$16 &amp; "'!$A$20:$A$219"),    _xlfn.XLOOKUP(AJ$18,INDIRECT("'" &amp; AJ$16 &amp; "'!$B$18:$BC$18"), INDIRECT("'" &amp; AJ$16 &amp; "'!$B$20:$BC$219"),"XXXXX",0,1),    "XX",    0,    1)</f>
        <v>23</v>
      </c>
      <c r="AK48" s="8" cm="1">
        <f t="array" aca="1" ref="AK48" ca="1">_xlfn.XLOOKUP($A48,    INDIRECT("'" &amp; AK$16 &amp; "'!$A$20:$A$219"),    _xlfn.XLOOKUP(AK$18,INDIRECT("'" &amp; AK$16 &amp; "'!$B$18:$BC$18"), INDIRECT("'" &amp; AK$16 &amp; "'!$B$20:$BC$219"),"XXXXX",0,1),    "XX",    0,    1)</f>
        <v>23</v>
      </c>
      <c r="AM48" s="16"/>
      <c r="AW48" s="8">
        <v>1</v>
      </c>
      <c r="AX48" s="8">
        <f t="shared" ca="1" si="24"/>
        <v>1.5454545454545454</v>
      </c>
      <c r="AY48" s="8">
        <f t="shared" ca="1" si="25"/>
        <v>1.5454545454545454</v>
      </c>
      <c r="AZ48" s="8">
        <f t="shared" ca="1" si="20"/>
        <v>1.9090909090909092</v>
      </c>
      <c r="BA48" s="8">
        <f t="shared" ca="1" si="21"/>
        <v>1.9090909090909092</v>
      </c>
      <c r="BB48" s="8">
        <f t="shared" ca="1" si="22"/>
        <v>2.0909090909090908</v>
      </c>
      <c r="BC48" s="8">
        <f t="shared" ca="1" si="23"/>
        <v>2.0909090909090908</v>
      </c>
      <c r="BE48" s="8">
        <f t="shared" ca="1" si="26"/>
        <v>0</v>
      </c>
      <c r="BF48" s="8">
        <f t="shared" ca="1" si="27"/>
        <v>0</v>
      </c>
      <c r="BG48" s="8">
        <f t="shared" ca="1" si="28"/>
        <v>0</v>
      </c>
    </row>
    <row r="49" spans="1:59" x14ac:dyDescent="0.2">
      <c r="A49" s="8" t="s">
        <v>130</v>
      </c>
      <c r="B49" s="8" t="s">
        <v>271</v>
      </c>
      <c r="C49" s="8">
        <v>-31.9</v>
      </c>
      <c r="D49" s="8">
        <v>481864.2</v>
      </c>
      <c r="E49" s="8">
        <v>5966688</v>
      </c>
      <c r="F49" s="8">
        <v>0</v>
      </c>
      <c r="G49" s="8">
        <v>-0.6</v>
      </c>
      <c r="H49" s="8">
        <v>0</v>
      </c>
      <c r="I49" s="8">
        <v>2</v>
      </c>
      <c r="J49" s="8">
        <v>0</v>
      </c>
      <c r="K49" s="8">
        <v>-60.7</v>
      </c>
      <c r="L49" s="8">
        <v>28.8</v>
      </c>
      <c r="M49" s="8">
        <v>1486.3489999999999</v>
      </c>
      <c r="N49" s="8">
        <v>86.1</v>
      </c>
      <c r="O49" s="8">
        <v>8</v>
      </c>
      <c r="P49" s="8">
        <v>10</v>
      </c>
      <c r="Q49" s="8">
        <v>2.82</v>
      </c>
      <c r="R49" s="8">
        <v>68</v>
      </c>
      <c r="S49" s="8">
        <v>110</v>
      </c>
      <c r="T49" s="3">
        <v>147</v>
      </c>
      <c r="U49" s="8">
        <v>1296.0329999999999</v>
      </c>
      <c r="V49" s="8">
        <v>555.572</v>
      </c>
      <c r="W49" s="8">
        <v>752.85199999999998</v>
      </c>
      <c r="X49" s="8">
        <v>132.18100000000001</v>
      </c>
      <c r="Y49" s="8">
        <v>4.9400000000000004</v>
      </c>
      <c r="Z49" s="8">
        <v>8.0150000000000006</v>
      </c>
      <c r="AA49" s="8">
        <v>21.7</v>
      </c>
      <c r="AB49" s="8">
        <v>290.5</v>
      </c>
      <c r="AC49" s="8">
        <v>12344</v>
      </c>
      <c r="AD49" s="8">
        <v>2994</v>
      </c>
      <c r="AE49" s="8">
        <v>268</v>
      </c>
      <c r="AF49" s="8" cm="1">
        <f t="array" aca="1" ref="AF49" ca="1">_xlfn.XLOOKUP($A49,    INDIRECT("'" &amp; AF$16 &amp; "'!$A$20:$A$219"),    _xlfn.XLOOKUP(AF$18,INDIRECT("'" &amp; AF$16 &amp; "'!$B$18:$BC$18"), INDIRECT("'" &amp; AF$16 &amp; "'!$B$20:$BC$219"),"XXXXX",0,1),    "XX",    0,    1)</f>
        <v>15</v>
      </c>
      <c r="AG49" s="8" cm="1">
        <f t="array" aca="1" ref="AG49" ca="1">_xlfn.XLOOKUP($A49,    INDIRECT("'" &amp; AG$16 &amp; "'!$A$20:$A$219"),    _xlfn.XLOOKUP(AG$18,INDIRECT("'" &amp; AG$16 &amp; "'!$B$18:$BC$18"), INDIRECT("'" &amp; AG$16 &amp; "'!$B$20:$BC$219"),"XXXXX",0,1),    "XX",    0,    1)</f>
        <v>15</v>
      </c>
      <c r="AH49" s="8" cm="1">
        <f t="array" aca="1" ref="AH49" ca="1">_xlfn.XLOOKUP($A49,    INDIRECT("'" &amp; AH$16 &amp; "'!$A$20:$A$219"),    _xlfn.XLOOKUP(AH$18,INDIRECT("'" &amp; AH$16 &amp; "'!$B$18:$BC$18"), INDIRECT("'" &amp; AH$16 &amp; "'!$B$20:$BC$219"),"XXXXX",0,1),    "XX",    0,    1)</f>
        <v>19</v>
      </c>
      <c r="AI49" s="8" cm="1">
        <f t="array" aca="1" ref="AI49" ca="1">_xlfn.XLOOKUP($A49,    INDIRECT("'" &amp; AI$16 &amp; "'!$A$20:$A$219"),    _xlfn.XLOOKUP(AI$18,INDIRECT("'" &amp; AI$16 &amp; "'!$B$18:$BC$18"), INDIRECT("'" &amp; AI$16 &amp; "'!$B$20:$BC$219"),"XXXXX",0,1),    "XX",    0,    1)</f>
        <v>19</v>
      </c>
      <c r="AJ49" s="8" cm="1">
        <f t="array" aca="1" ref="AJ49" ca="1">_xlfn.XLOOKUP($A49,    INDIRECT("'" &amp; AJ$16 &amp; "'!$A$20:$A$219"),    _xlfn.XLOOKUP(AJ$18,INDIRECT("'" &amp; AJ$16 &amp; "'!$B$18:$BC$18"), INDIRECT("'" &amp; AJ$16 &amp; "'!$B$20:$BC$219"),"XXXXX",0,1),    "XX",    0,    1)</f>
        <v>19</v>
      </c>
      <c r="AK49" s="8" cm="1">
        <f t="array" aca="1" ref="AK49" ca="1">_xlfn.XLOOKUP($A49,    INDIRECT("'" &amp; AK$16 &amp; "'!$A$20:$A$219"),    _xlfn.XLOOKUP(AK$18,INDIRECT("'" &amp; AK$16 &amp; "'!$B$18:$BC$18"), INDIRECT("'" &amp; AK$16 &amp; "'!$B$20:$BC$219"),"XXXXX",0,1),    "XX",    0,    1)</f>
        <v>19</v>
      </c>
      <c r="AM49" s="16"/>
      <c r="AW49" s="8">
        <v>1</v>
      </c>
      <c r="AX49" s="8">
        <f t="shared" ca="1" si="24"/>
        <v>1.5</v>
      </c>
      <c r="AY49" s="8">
        <f t="shared" ca="1" si="25"/>
        <v>1.5</v>
      </c>
      <c r="AZ49" s="8">
        <f t="shared" ca="1" si="20"/>
        <v>1.9</v>
      </c>
      <c r="BA49" s="8">
        <f t="shared" ca="1" si="21"/>
        <v>1.9</v>
      </c>
      <c r="BB49" s="8">
        <f t="shared" ca="1" si="22"/>
        <v>1.9</v>
      </c>
      <c r="BC49" s="8">
        <f t="shared" ca="1" si="23"/>
        <v>1.9</v>
      </c>
      <c r="BE49" s="8">
        <f t="shared" ca="1" si="26"/>
        <v>0</v>
      </c>
      <c r="BF49" s="8">
        <f t="shared" ca="1" si="27"/>
        <v>0</v>
      </c>
      <c r="BG49" s="8">
        <f t="shared" ca="1" si="28"/>
        <v>0</v>
      </c>
    </row>
    <row r="50" spans="1:59" x14ac:dyDescent="0.2">
      <c r="A50" s="8" t="s">
        <v>92</v>
      </c>
      <c r="B50" s="8" t="s">
        <v>265</v>
      </c>
      <c r="C50" s="8">
        <v>-34.4</v>
      </c>
      <c r="D50" s="8">
        <v>480966.6</v>
      </c>
      <c r="E50" s="8">
        <v>5970941.2999999998</v>
      </c>
      <c r="F50" s="8">
        <v>0</v>
      </c>
      <c r="G50" s="8">
        <v>-0.7</v>
      </c>
      <c r="H50" s="8">
        <v>0</v>
      </c>
      <c r="I50" s="8">
        <v>2</v>
      </c>
      <c r="J50" s="8">
        <v>0</v>
      </c>
      <c r="K50" s="8">
        <v>-63.3</v>
      </c>
      <c r="L50" s="8">
        <v>28.9</v>
      </c>
      <c r="M50" s="8">
        <v>1604.5740000000001</v>
      </c>
      <c r="N50" s="8">
        <v>88.7</v>
      </c>
      <c r="O50" s="8">
        <v>8</v>
      </c>
      <c r="P50" s="8">
        <v>10</v>
      </c>
      <c r="Q50" s="8">
        <v>2.82</v>
      </c>
      <c r="R50" s="8">
        <v>68</v>
      </c>
      <c r="S50" s="8">
        <v>110</v>
      </c>
      <c r="T50" s="3">
        <v>147</v>
      </c>
      <c r="U50" s="8">
        <v>1295.5930000000001</v>
      </c>
      <c r="V50" s="8">
        <v>546.76300000000003</v>
      </c>
      <c r="W50" s="8">
        <v>752.85199999999998</v>
      </c>
      <c r="X50" s="8">
        <v>132.18100000000001</v>
      </c>
      <c r="Y50" s="8">
        <v>4.9400000000000004</v>
      </c>
      <c r="Z50" s="8">
        <v>8.0150000000000006</v>
      </c>
      <c r="AA50" s="8">
        <v>21.7</v>
      </c>
      <c r="AB50" s="8">
        <v>290.5</v>
      </c>
      <c r="AC50" s="8">
        <v>12504</v>
      </c>
      <c r="AD50" s="8">
        <v>3149</v>
      </c>
      <c r="AE50" s="8">
        <v>268</v>
      </c>
      <c r="AF50" s="8" cm="1">
        <f t="array" aca="1" ref="AF50" ca="1">_xlfn.XLOOKUP($A50,    INDIRECT("'" &amp; AF$16 &amp; "'!$A$20:$A$219"),    _xlfn.XLOOKUP(AF$18,INDIRECT("'" &amp; AF$16 &amp; "'!$B$18:$BC$18"), INDIRECT("'" &amp; AF$16 &amp; "'!$B$20:$BC$219"),"XXXXX",0,1),    "XX",    0,    1)</f>
        <v>15</v>
      </c>
      <c r="AG50" s="8" cm="1">
        <f t="array" aca="1" ref="AG50" ca="1">_xlfn.XLOOKUP($A50,    INDIRECT("'" &amp; AG$16 &amp; "'!$A$20:$A$219"),    _xlfn.XLOOKUP(AG$18,INDIRECT("'" &amp; AG$16 &amp; "'!$B$18:$BC$18"), INDIRECT("'" &amp; AG$16 &amp; "'!$B$20:$BC$219"),"XXXXX",0,1),    "XX",    0,    1)</f>
        <v>15</v>
      </c>
      <c r="AH50" s="8" cm="1">
        <f t="array" aca="1" ref="AH50" ca="1">_xlfn.XLOOKUP($A50,    INDIRECT("'" &amp; AH$16 &amp; "'!$A$20:$A$219"),    _xlfn.XLOOKUP(AH$18,INDIRECT("'" &amp; AH$16 &amp; "'!$B$18:$BC$18"), INDIRECT("'" &amp; AH$16 &amp; "'!$B$20:$BC$219"),"XXXXX",0,1),    "XX",    0,    1)</f>
        <v>19</v>
      </c>
      <c r="AI50" s="8" cm="1">
        <f t="array" aca="1" ref="AI50" ca="1">_xlfn.XLOOKUP($A50,    INDIRECT("'" &amp; AI$16 &amp; "'!$A$20:$A$219"),    _xlfn.XLOOKUP(AI$18,INDIRECT("'" &amp; AI$16 &amp; "'!$B$18:$BC$18"), INDIRECT("'" &amp; AI$16 &amp; "'!$B$20:$BC$219"),"XXXXX",0,1),    "XX",    0,    1)</f>
        <v>19</v>
      </c>
      <c r="AJ50" s="8" cm="1">
        <f t="array" aca="1" ref="AJ50" ca="1">_xlfn.XLOOKUP($A50,    INDIRECT("'" &amp; AJ$16 &amp; "'!$A$20:$A$219"),    _xlfn.XLOOKUP(AJ$18,INDIRECT("'" &amp; AJ$16 &amp; "'!$B$18:$BC$18"), INDIRECT("'" &amp; AJ$16 &amp; "'!$B$20:$BC$219"),"XXXXX",0,1),    "XX",    0,    1)</f>
        <v>19</v>
      </c>
      <c r="AK50" s="8" cm="1">
        <f t="array" aca="1" ref="AK50" ca="1">_xlfn.XLOOKUP($A50,    INDIRECT("'" &amp; AK$16 &amp; "'!$A$20:$A$219"),    _xlfn.XLOOKUP(AK$18,INDIRECT("'" &amp; AK$16 &amp; "'!$B$18:$BC$18"), INDIRECT("'" &amp; AK$16 &amp; "'!$B$20:$BC$219"),"XXXXX",0,1),    "XX",    0,    1)</f>
        <v>19</v>
      </c>
      <c r="AM50" s="16"/>
      <c r="AW50" s="8">
        <v>1</v>
      </c>
      <c r="AX50" s="8">
        <f t="shared" ca="1" si="24"/>
        <v>1.5</v>
      </c>
      <c r="AY50" s="8">
        <f t="shared" ca="1" si="25"/>
        <v>1.5</v>
      </c>
      <c r="AZ50" s="8">
        <f t="shared" ca="1" si="20"/>
        <v>1.9</v>
      </c>
      <c r="BA50" s="8">
        <f t="shared" ca="1" si="21"/>
        <v>1.9</v>
      </c>
      <c r="BB50" s="8">
        <f t="shared" ca="1" si="22"/>
        <v>1.9</v>
      </c>
      <c r="BC50" s="8">
        <f t="shared" ca="1" si="23"/>
        <v>1.9</v>
      </c>
      <c r="BE50" s="8">
        <f t="shared" ca="1" si="26"/>
        <v>0</v>
      </c>
      <c r="BF50" s="8">
        <f t="shared" ca="1" si="27"/>
        <v>0</v>
      </c>
      <c r="BG50" s="8">
        <f t="shared" ca="1" si="28"/>
        <v>0</v>
      </c>
    </row>
    <row r="51" spans="1:59" x14ac:dyDescent="0.2">
      <c r="A51" s="8" t="s">
        <v>83</v>
      </c>
      <c r="B51" s="8" t="s">
        <v>269</v>
      </c>
      <c r="C51" s="8">
        <v>-35.700000000000003</v>
      </c>
      <c r="D51" s="8">
        <v>458281.5</v>
      </c>
      <c r="E51" s="8">
        <v>5965690.2000000002</v>
      </c>
      <c r="F51" s="8">
        <v>0</v>
      </c>
      <c r="G51" s="8">
        <v>-0.7</v>
      </c>
      <c r="H51" s="8">
        <v>0</v>
      </c>
      <c r="I51" s="8">
        <v>2</v>
      </c>
      <c r="J51" s="8">
        <v>0</v>
      </c>
      <c r="K51" s="8">
        <v>-63.2</v>
      </c>
      <c r="L51" s="8">
        <v>27.5</v>
      </c>
      <c r="M51" s="8">
        <v>1633.6990000000001</v>
      </c>
      <c r="N51" s="8">
        <v>88.6</v>
      </c>
      <c r="O51" s="8">
        <v>8</v>
      </c>
      <c r="P51" s="8">
        <v>10</v>
      </c>
      <c r="Q51" s="8">
        <v>2.68</v>
      </c>
      <c r="R51" s="8">
        <v>68</v>
      </c>
      <c r="S51" s="8">
        <v>110</v>
      </c>
      <c r="T51" s="3">
        <v>147</v>
      </c>
      <c r="U51" s="8">
        <v>1295.4169999999999</v>
      </c>
      <c r="V51" s="8">
        <v>490.12599999999998</v>
      </c>
      <c r="W51" s="8">
        <v>752.85199999999998</v>
      </c>
      <c r="X51" s="8">
        <v>132.18100000000001</v>
      </c>
      <c r="Y51" s="8">
        <v>4.9400000000000004</v>
      </c>
      <c r="Z51" s="8">
        <v>8.0150000000000006</v>
      </c>
      <c r="AA51" s="8">
        <v>21.7</v>
      </c>
      <c r="AB51" s="8">
        <v>290.5</v>
      </c>
      <c r="AC51" s="8">
        <v>12497</v>
      </c>
      <c r="AD51" s="8">
        <v>3229</v>
      </c>
      <c r="AE51" s="8">
        <v>268</v>
      </c>
      <c r="AF51" s="8" cm="1">
        <f t="array" aca="1" ref="AF51" ca="1">_xlfn.XLOOKUP($A51,    INDIRECT("'" &amp; AF$16 &amp; "'!$A$20:$A$219"),    _xlfn.XLOOKUP(AF$18,INDIRECT("'" &amp; AF$16 &amp; "'!$B$18:$BC$18"), INDIRECT("'" &amp; AF$16 &amp; "'!$B$20:$BC$219"),"XXXXX",0,1),    "XX",    0,    1)</f>
        <v>15</v>
      </c>
      <c r="AG51" s="8" cm="1">
        <f t="array" aca="1" ref="AG51" ca="1">_xlfn.XLOOKUP($A51,    INDIRECT("'" &amp; AG$16 &amp; "'!$A$20:$A$219"),    _xlfn.XLOOKUP(AG$18,INDIRECT("'" &amp; AG$16 &amp; "'!$B$18:$BC$18"), INDIRECT("'" &amp; AG$16 &amp; "'!$B$20:$BC$219"),"XXXXX",0,1),    "XX",    0,    1)</f>
        <v>15</v>
      </c>
      <c r="AH51" s="8" cm="1">
        <f t="array" aca="1" ref="AH51" ca="1">_xlfn.XLOOKUP($A51,    INDIRECT("'" &amp; AH$16 &amp; "'!$A$20:$A$219"),    _xlfn.XLOOKUP(AH$18,INDIRECT("'" &amp; AH$16 &amp; "'!$B$18:$BC$18"), INDIRECT("'" &amp; AH$16 &amp; "'!$B$20:$BC$219"),"XXXXX",0,1),    "XX",    0,    1)</f>
        <v>17</v>
      </c>
      <c r="AI51" s="8" cm="1">
        <f t="array" aca="1" ref="AI51" ca="1">_xlfn.XLOOKUP($A51,    INDIRECT("'" &amp; AI$16 &amp; "'!$A$20:$A$219"),    _xlfn.XLOOKUP(AI$18,INDIRECT("'" &amp; AI$16 &amp; "'!$B$18:$BC$18"), INDIRECT("'" &amp; AI$16 &amp; "'!$B$20:$BC$219"),"XXXXX",0,1),    "XX",    0,    1)</f>
        <v>17</v>
      </c>
      <c r="AJ51" s="8" cm="1">
        <f t="array" aca="1" ref="AJ51" ca="1">_xlfn.XLOOKUP($A51,    INDIRECT("'" &amp; AJ$16 &amp; "'!$A$20:$A$219"),    _xlfn.XLOOKUP(AJ$18,INDIRECT("'" &amp; AJ$16 &amp; "'!$B$18:$BC$18"), INDIRECT("'" &amp; AJ$16 &amp; "'!$B$20:$BC$219"),"XXXXX",0,1),    "XX",    0,    1)</f>
        <v>19</v>
      </c>
      <c r="AK51" s="8" cm="1">
        <f t="array" aca="1" ref="AK51" ca="1">_xlfn.XLOOKUP($A51,    INDIRECT("'" &amp; AK$16 &amp; "'!$A$20:$A$219"),    _xlfn.XLOOKUP(AK$18,INDIRECT("'" &amp; AK$16 &amp; "'!$B$18:$BC$18"), INDIRECT("'" &amp; AK$16 &amp; "'!$B$20:$BC$219"),"XXXXX",0,1),    "XX",    0,    1)</f>
        <v>19</v>
      </c>
      <c r="AM51" s="16"/>
      <c r="AW51" s="8">
        <v>1</v>
      </c>
      <c r="AX51" s="8">
        <f t="shared" ca="1" si="24"/>
        <v>1.5</v>
      </c>
      <c r="AY51" s="8">
        <f t="shared" ca="1" si="25"/>
        <v>1.5</v>
      </c>
      <c r="AZ51" s="8">
        <f t="shared" ca="1" si="20"/>
        <v>1.7</v>
      </c>
      <c r="BA51" s="8">
        <f t="shared" ca="1" si="21"/>
        <v>1.7</v>
      </c>
      <c r="BB51" s="8">
        <f t="shared" ca="1" si="22"/>
        <v>1.9</v>
      </c>
      <c r="BC51" s="8">
        <f t="shared" ca="1" si="23"/>
        <v>1.9</v>
      </c>
      <c r="BE51" s="8">
        <f t="shared" ca="1" si="26"/>
        <v>0</v>
      </c>
      <c r="BF51" s="8">
        <f t="shared" ca="1" si="27"/>
        <v>0</v>
      </c>
      <c r="BG51" s="8">
        <f t="shared" ca="1" si="28"/>
        <v>0</v>
      </c>
    </row>
    <row r="52" spans="1:59" x14ac:dyDescent="0.2">
      <c r="A52" s="8" t="s">
        <v>178</v>
      </c>
      <c r="B52" s="8" t="s">
        <v>265</v>
      </c>
      <c r="C52" s="8">
        <v>-36.5</v>
      </c>
      <c r="D52" s="8">
        <v>460741</v>
      </c>
      <c r="E52" s="8">
        <v>5964870</v>
      </c>
      <c r="F52" s="8">
        <v>0</v>
      </c>
      <c r="G52" s="8">
        <v>-0.7</v>
      </c>
      <c r="H52" s="8">
        <v>0</v>
      </c>
      <c r="I52" s="8">
        <v>2</v>
      </c>
      <c r="J52" s="8">
        <v>0</v>
      </c>
      <c r="K52" s="8">
        <v>-69.2</v>
      </c>
      <c r="L52" s="8">
        <v>32.700000000000003</v>
      </c>
      <c r="M52" s="8">
        <v>1737.62</v>
      </c>
      <c r="N52" s="8">
        <v>94.6</v>
      </c>
      <c r="O52" s="8">
        <v>8</v>
      </c>
      <c r="P52" s="8">
        <v>10.5</v>
      </c>
      <c r="Q52" s="8">
        <v>3.0476000000000001</v>
      </c>
      <c r="R52" s="8">
        <v>70</v>
      </c>
      <c r="S52" s="8">
        <v>112</v>
      </c>
      <c r="T52" s="3">
        <v>146</v>
      </c>
      <c r="U52" s="8">
        <v>1406.46</v>
      </c>
      <c r="V52" s="8">
        <v>388.72800000000001</v>
      </c>
      <c r="W52" s="8">
        <v>752.85199999999998</v>
      </c>
      <c r="X52" s="8">
        <v>132.18100000000001</v>
      </c>
      <c r="Y52" s="8">
        <v>4.9400000000000004</v>
      </c>
      <c r="Z52" s="8">
        <v>8.0150000000000006</v>
      </c>
      <c r="AA52" s="8">
        <v>21.7</v>
      </c>
      <c r="AB52" s="8">
        <v>290.5</v>
      </c>
      <c r="AC52" s="8">
        <v>13030</v>
      </c>
      <c r="AD52" s="8">
        <v>3343</v>
      </c>
      <c r="AE52" s="8">
        <v>268</v>
      </c>
      <c r="AF52" s="8" cm="1">
        <f t="array" aca="1" ref="AF52" ca="1">_xlfn.XLOOKUP($A52,    INDIRECT("'" &amp; AF$16 &amp; "'!$A$20:$A$219"),    _xlfn.XLOOKUP(AF$18,INDIRECT("'" &amp; AF$16 &amp; "'!$B$18:$BC$18"), INDIRECT("'" &amp; AF$16 &amp; "'!$B$20:$BC$219"),"XXXXX",0,1),    "XX",    0,    1)</f>
        <v>19</v>
      </c>
      <c r="AG52" s="8" cm="1">
        <f t="array" aca="1" ref="AG52" ca="1">_xlfn.XLOOKUP($A52,    INDIRECT("'" &amp; AG$16 &amp; "'!$A$20:$A$219"),    _xlfn.XLOOKUP(AG$18,INDIRECT("'" &amp; AG$16 &amp; "'!$B$18:$BC$18"), INDIRECT("'" &amp; AG$16 &amp; "'!$B$20:$BC$219"),"XXXXX",0,1),    "XX",    0,    1)</f>
        <v>19</v>
      </c>
      <c r="AH52" s="8" cm="1">
        <f t="array" aca="1" ref="AH52" ca="1">_xlfn.XLOOKUP($A52,    INDIRECT("'" &amp; AH$16 &amp; "'!$A$20:$A$219"),    _xlfn.XLOOKUP(AH$18,INDIRECT("'" &amp; AH$16 &amp; "'!$B$18:$BC$18"), INDIRECT("'" &amp; AH$16 &amp; "'!$B$20:$BC$219"),"XXXXX",0,1),    "XX",    0,    1)</f>
        <v>23</v>
      </c>
      <c r="AI52" s="8" cm="1">
        <f t="array" aca="1" ref="AI52" ca="1">_xlfn.XLOOKUP($A52,    INDIRECT("'" &amp; AI$16 &amp; "'!$A$20:$A$219"),    _xlfn.XLOOKUP(AI$18,INDIRECT("'" &amp; AI$16 &amp; "'!$B$18:$BC$18"), INDIRECT("'" &amp; AI$16 &amp; "'!$B$20:$BC$219"),"XXXXX",0,1),    "XX",    0,    1)</f>
        <v>23</v>
      </c>
      <c r="AJ52" s="8" cm="1">
        <f t="array" aca="1" ref="AJ52" ca="1">_xlfn.XLOOKUP($A52,    INDIRECT("'" &amp; AJ$16 &amp; "'!$A$20:$A$219"),    _xlfn.XLOOKUP(AJ$18,INDIRECT("'" &amp; AJ$16 &amp; "'!$B$18:$BC$18"), INDIRECT("'" &amp; AJ$16 &amp; "'!$B$20:$BC$219"),"XXXXX",0,1),    "XX",    0,    1)</f>
        <v>23</v>
      </c>
      <c r="AK52" s="8" cm="1">
        <f t="array" aca="1" ref="AK52" ca="1">_xlfn.XLOOKUP($A52,    INDIRECT("'" &amp; AK$16 &amp; "'!$A$20:$A$219"),    _xlfn.XLOOKUP(AK$18,INDIRECT("'" &amp; AK$16 &amp; "'!$B$18:$BC$18"), INDIRECT("'" &amp; AK$16 &amp; "'!$B$20:$BC$219"),"XXXXX",0,1),    "XX",    0,    1)</f>
        <v>23</v>
      </c>
      <c r="AM52" s="16"/>
      <c r="AW52" s="8">
        <v>1</v>
      </c>
      <c r="AX52" s="8">
        <f t="shared" ca="1" si="24"/>
        <v>1.8095238095238095</v>
      </c>
      <c r="AY52" s="8">
        <f t="shared" ref="AY52:AY83" ca="1" si="29">AG52/$P52</f>
        <v>1.8095238095238095</v>
      </c>
      <c r="AZ52" s="8">
        <f t="shared" ref="AZ52:AZ83" ca="1" si="30">AH52/$P52</f>
        <v>2.1904761904761907</v>
      </c>
      <c r="BA52" s="8">
        <f t="shared" ref="BA52:BA83" ca="1" si="31">AI52/$P52</f>
        <v>2.1904761904761907</v>
      </c>
      <c r="BB52" s="8">
        <f t="shared" ref="BB52:BB83" ca="1" si="32">AJ52/$P52</f>
        <v>2.1904761904761907</v>
      </c>
      <c r="BC52" s="8">
        <f t="shared" ref="BC52:BC83" ca="1" si="33">AK52/$P52</f>
        <v>2.1904761904761907</v>
      </c>
      <c r="BE52" s="8">
        <f t="shared" ca="1" si="26"/>
        <v>0</v>
      </c>
      <c r="BF52" s="8">
        <f t="shared" ca="1" si="27"/>
        <v>0</v>
      </c>
      <c r="BG52" s="8">
        <f t="shared" ca="1" si="28"/>
        <v>0</v>
      </c>
    </row>
    <row r="53" spans="1:59" x14ac:dyDescent="0.2">
      <c r="A53" s="8" t="s">
        <v>47</v>
      </c>
      <c r="B53" s="8" t="s">
        <v>269</v>
      </c>
      <c r="C53" s="8">
        <v>-35</v>
      </c>
      <c r="D53" s="8">
        <v>463727.4</v>
      </c>
      <c r="E53" s="8">
        <v>5963253.4000000004</v>
      </c>
      <c r="F53" s="8">
        <v>0</v>
      </c>
      <c r="G53" s="8">
        <v>-0.6</v>
      </c>
      <c r="H53" s="8">
        <v>0</v>
      </c>
      <c r="I53" s="8">
        <v>2</v>
      </c>
      <c r="J53" s="8">
        <v>0</v>
      </c>
      <c r="K53" s="8">
        <v>-66.099999999999994</v>
      </c>
      <c r="L53" s="8">
        <v>31.1</v>
      </c>
      <c r="M53" s="8">
        <v>1664.336</v>
      </c>
      <c r="N53" s="8">
        <v>91.5</v>
      </c>
      <c r="O53" s="8">
        <v>8</v>
      </c>
      <c r="P53" s="8">
        <v>10</v>
      </c>
      <c r="Q53" s="8">
        <v>3.05</v>
      </c>
      <c r="R53" s="8">
        <v>68</v>
      </c>
      <c r="S53" s="8">
        <v>110</v>
      </c>
      <c r="T53" s="3">
        <v>147</v>
      </c>
      <c r="U53" s="8">
        <v>1420.2260000000001</v>
      </c>
      <c r="V53" s="8">
        <v>453.43200000000002</v>
      </c>
      <c r="W53" s="8">
        <v>752.85199999999998</v>
      </c>
      <c r="X53" s="8">
        <v>132.18100000000001</v>
      </c>
      <c r="Y53" s="8">
        <v>4.9400000000000004</v>
      </c>
      <c r="Z53" s="8">
        <v>8.0150000000000006</v>
      </c>
      <c r="AA53" s="8">
        <v>21.7</v>
      </c>
      <c r="AB53" s="8">
        <v>290.5</v>
      </c>
      <c r="AC53" s="8">
        <v>12679</v>
      </c>
      <c r="AD53" s="8">
        <v>3186</v>
      </c>
      <c r="AE53" s="8">
        <v>268</v>
      </c>
      <c r="AF53" s="8" cm="1">
        <f t="array" aca="1" ref="AF53" ca="1">_xlfn.XLOOKUP($A53,    INDIRECT("'" &amp; AF$16 &amp; "'!$A$20:$A$219"),    _xlfn.XLOOKUP(AF$18,INDIRECT("'" &amp; AF$16 &amp; "'!$B$18:$BC$18"), INDIRECT("'" &amp; AF$16 &amp; "'!$B$20:$BC$219"),"XXXXX",0,1),    "XX",    0,    1)</f>
        <v>17</v>
      </c>
      <c r="AG53" s="8" cm="1">
        <f t="array" aca="1" ref="AG53" ca="1">_xlfn.XLOOKUP($A53,    INDIRECT("'" &amp; AG$16 &amp; "'!$A$20:$A$219"),    _xlfn.XLOOKUP(AG$18,INDIRECT("'" &amp; AG$16 &amp; "'!$B$18:$BC$18"), INDIRECT("'" &amp; AG$16 &amp; "'!$B$20:$BC$219"),"XXXXX",0,1),    "XX",    0,    1)</f>
        <v>17</v>
      </c>
      <c r="AH53" s="8" cm="1">
        <f t="array" aca="1" ref="AH53" ca="1">_xlfn.XLOOKUP($A53,    INDIRECT("'" &amp; AH$16 &amp; "'!$A$20:$A$219"),    _xlfn.XLOOKUP(AH$18,INDIRECT("'" &amp; AH$16 &amp; "'!$B$18:$BC$18"), INDIRECT("'" &amp; AH$16 &amp; "'!$B$20:$BC$219"),"XXXXX",0,1),    "XX",    0,    1)</f>
        <v>21</v>
      </c>
      <c r="AI53" s="8" cm="1">
        <f t="array" aca="1" ref="AI53" ca="1">_xlfn.XLOOKUP($A53,    INDIRECT("'" &amp; AI$16 &amp; "'!$A$20:$A$219"),    _xlfn.XLOOKUP(AI$18,INDIRECT("'" &amp; AI$16 &amp; "'!$B$18:$BC$18"), INDIRECT("'" &amp; AI$16 &amp; "'!$B$20:$BC$219"),"XXXXX",0,1),    "XX",    0,    1)</f>
        <v>21</v>
      </c>
      <c r="AJ53" s="8" cm="1">
        <f t="array" aca="1" ref="AJ53" ca="1">_xlfn.XLOOKUP($A53,    INDIRECT("'" &amp; AJ$16 &amp; "'!$A$20:$A$219"),    _xlfn.XLOOKUP(AJ$18,INDIRECT("'" &amp; AJ$16 &amp; "'!$B$18:$BC$18"), INDIRECT("'" &amp; AJ$16 &amp; "'!$B$20:$BC$219"),"XXXXX",0,1),    "XX",    0,    1)</f>
        <v>21</v>
      </c>
      <c r="AK53" s="8" cm="1">
        <f t="array" aca="1" ref="AK53" ca="1">_xlfn.XLOOKUP($A53,    INDIRECT("'" &amp; AK$16 &amp; "'!$A$20:$A$219"),    _xlfn.XLOOKUP(AK$18,INDIRECT("'" &amp; AK$16 &amp; "'!$B$18:$BC$18"), INDIRECT("'" &amp; AK$16 &amp; "'!$B$20:$BC$219"),"XXXXX",0,1),    "XX",    0,    1)</f>
        <v>21</v>
      </c>
      <c r="AM53" s="16"/>
      <c r="AW53" s="8">
        <v>1</v>
      </c>
      <c r="AX53" s="8">
        <f t="shared" ca="1" si="24"/>
        <v>1.7</v>
      </c>
      <c r="AY53" s="8">
        <f t="shared" ca="1" si="29"/>
        <v>1.7</v>
      </c>
      <c r="AZ53" s="8">
        <f t="shared" ca="1" si="30"/>
        <v>2.1</v>
      </c>
      <c r="BA53" s="8">
        <f t="shared" ca="1" si="31"/>
        <v>2.1</v>
      </c>
      <c r="BB53" s="8">
        <f t="shared" ca="1" si="32"/>
        <v>2.1</v>
      </c>
      <c r="BC53" s="8">
        <f t="shared" ca="1" si="33"/>
        <v>2.1</v>
      </c>
      <c r="BE53" s="8">
        <f t="shared" ca="1" si="26"/>
        <v>0</v>
      </c>
      <c r="BF53" s="8">
        <f t="shared" ca="1" si="27"/>
        <v>0</v>
      </c>
      <c r="BG53" s="8">
        <f t="shared" ca="1" si="28"/>
        <v>0</v>
      </c>
    </row>
    <row r="54" spans="1:59" x14ac:dyDescent="0.2">
      <c r="A54" s="8" t="s">
        <v>138</v>
      </c>
      <c r="B54" s="8" t="s">
        <v>269</v>
      </c>
      <c r="C54" s="8">
        <v>-31.1</v>
      </c>
      <c r="D54" s="8">
        <v>466748.9</v>
      </c>
      <c r="E54" s="8">
        <v>5961671.7999999998</v>
      </c>
      <c r="F54" s="8">
        <v>0</v>
      </c>
      <c r="G54" s="8">
        <v>-0.7</v>
      </c>
      <c r="H54" s="8">
        <v>0</v>
      </c>
      <c r="I54" s="8">
        <v>2</v>
      </c>
      <c r="J54" s="8">
        <v>0</v>
      </c>
      <c r="K54" s="8">
        <v>-60.7</v>
      </c>
      <c r="L54" s="8">
        <v>29.6</v>
      </c>
      <c r="M54" s="8">
        <v>1474.922</v>
      </c>
      <c r="N54" s="8">
        <v>86.1</v>
      </c>
      <c r="O54" s="8">
        <v>8</v>
      </c>
      <c r="P54" s="8">
        <v>10</v>
      </c>
      <c r="Q54" s="8">
        <v>2.89</v>
      </c>
      <c r="R54" s="8">
        <v>68</v>
      </c>
      <c r="S54" s="8">
        <v>110</v>
      </c>
      <c r="T54" s="3">
        <v>147</v>
      </c>
      <c r="U54" s="8">
        <v>1296.1210000000001</v>
      </c>
      <c r="V54" s="8">
        <v>549.351</v>
      </c>
      <c r="W54" s="8">
        <v>752.85199999999998</v>
      </c>
      <c r="X54" s="8">
        <v>132.18100000000001</v>
      </c>
      <c r="Y54" s="8">
        <v>4.9400000000000004</v>
      </c>
      <c r="Z54" s="8">
        <v>8.0150000000000006</v>
      </c>
      <c r="AA54" s="8">
        <v>21.7</v>
      </c>
      <c r="AB54" s="8">
        <v>290.5</v>
      </c>
      <c r="AC54" s="8">
        <v>12344</v>
      </c>
      <c r="AD54" s="8">
        <v>2945</v>
      </c>
      <c r="AE54" s="8">
        <v>268</v>
      </c>
      <c r="AF54" s="8" cm="1">
        <f t="array" aca="1" ref="AF54" ca="1">_xlfn.XLOOKUP($A54,    INDIRECT("'" &amp; AF$16 &amp; "'!$A$20:$A$219"),    _xlfn.XLOOKUP(AF$18,INDIRECT("'" &amp; AF$16 &amp; "'!$B$18:$BC$18"), INDIRECT("'" &amp; AF$16 &amp; "'!$B$20:$BC$219"),"XXXXX",0,1),    "XX",    0,    1)</f>
        <v>15</v>
      </c>
      <c r="AG54" s="8" cm="1">
        <f t="array" aca="1" ref="AG54" ca="1">_xlfn.XLOOKUP($A54,    INDIRECT("'" &amp; AG$16 &amp; "'!$A$20:$A$219"),    _xlfn.XLOOKUP(AG$18,INDIRECT("'" &amp; AG$16 &amp; "'!$B$18:$BC$18"), INDIRECT("'" &amp; AG$16 &amp; "'!$B$20:$BC$219"),"XXXXX",0,1),    "XX",    0,    1)</f>
        <v>15</v>
      </c>
      <c r="AH54" s="8" cm="1">
        <f t="array" aca="1" ref="AH54" ca="1">_xlfn.XLOOKUP($A54,    INDIRECT("'" &amp; AH$16 &amp; "'!$A$20:$A$219"),    _xlfn.XLOOKUP(AH$18,INDIRECT("'" &amp; AH$16 &amp; "'!$B$18:$BC$18"), INDIRECT("'" &amp; AH$16 &amp; "'!$B$20:$BC$219"),"XXXXX",0,1),    "XX",    0,    1)</f>
        <v>19</v>
      </c>
      <c r="AI54" s="8" cm="1">
        <f t="array" aca="1" ref="AI54" ca="1">_xlfn.XLOOKUP($A54,    INDIRECT("'" &amp; AI$16 &amp; "'!$A$20:$A$219"),    _xlfn.XLOOKUP(AI$18,INDIRECT("'" &amp; AI$16 &amp; "'!$B$18:$BC$18"), INDIRECT("'" &amp; AI$16 &amp; "'!$B$20:$BC$219"),"XXXXX",0,1),    "XX",    0,    1)</f>
        <v>19</v>
      </c>
      <c r="AJ54" s="8" cm="1">
        <f t="array" aca="1" ref="AJ54" ca="1">_xlfn.XLOOKUP($A54,    INDIRECT("'" &amp; AJ$16 &amp; "'!$A$20:$A$219"),    _xlfn.XLOOKUP(AJ$18,INDIRECT("'" &amp; AJ$16 &amp; "'!$B$18:$BC$18"), INDIRECT("'" &amp; AJ$16 &amp; "'!$B$20:$BC$219"),"XXXXX",0,1),    "XX",    0,    1)</f>
        <v>21</v>
      </c>
      <c r="AK54" s="8" cm="1">
        <f t="array" aca="1" ref="AK54" ca="1">_xlfn.XLOOKUP($A54,    INDIRECT("'" &amp; AK$16 &amp; "'!$A$20:$A$219"),    _xlfn.XLOOKUP(AK$18,INDIRECT("'" &amp; AK$16 &amp; "'!$B$18:$BC$18"), INDIRECT("'" &amp; AK$16 &amp; "'!$B$20:$BC$219"),"XXXXX",0,1),    "XX",    0,    1)</f>
        <v>21</v>
      </c>
      <c r="AM54" s="16"/>
      <c r="AW54" s="8">
        <v>1</v>
      </c>
      <c r="AX54" s="8">
        <f t="shared" ca="1" si="24"/>
        <v>1.5</v>
      </c>
      <c r="AY54" s="8">
        <f t="shared" ca="1" si="29"/>
        <v>1.5</v>
      </c>
      <c r="AZ54" s="8">
        <f t="shared" ca="1" si="30"/>
        <v>1.9</v>
      </c>
      <c r="BA54" s="8">
        <f t="shared" ca="1" si="31"/>
        <v>1.9</v>
      </c>
      <c r="BB54" s="8">
        <f t="shared" ca="1" si="32"/>
        <v>2.1</v>
      </c>
      <c r="BC54" s="8">
        <f t="shared" ca="1" si="33"/>
        <v>2.1</v>
      </c>
      <c r="BE54" s="8">
        <f t="shared" ca="1" si="26"/>
        <v>0</v>
      </c>
      <c r="BF54" s="8">
        <f t="shared" ca="1" si="27"/>
        <v>0</v>
      </c>
      <c r="BG54" s="8">
        <f t="shared" ca="1" si="28"/>
        <v>0</v>
      </c>
    </row>
    <row r="55" spans="1:59" x14ac:dyDescent="0.2">
      <c r="A55" s="8" t="s">
        <v>161</v>
      </c>
      <c r="B55" s="8" t="s">
        <v>265</v>
      </c>
      <c r="C55" s="8">
        <v>-28.9</v>
      </c>
      <c r="D55" s="8">
        <v>470584.2</v>
      </c>
      <c r="E55" s="8">
        <v>5958839.5999999996</v>
      </c>
      <c r="F55" s="8">
        <v>0</v>
      </c>
      <c r="G55" s="8">
        <v>-0.7</v>
      </c>
      <c r="H55" s="8">
        <v>0</v>
      </c>
      <c r="I55" s="8">
        <v>2</v>
      </c>
      <c r="J55" s="8">
        <v>0</v>
      </c>
      <c r="K55" s="8">
        <v>-57.8</v>
      </c>
      <c r="L55" s="8">
        <v>28.9</v>
      </c>
      <c r="M55" s="8">
        <v>1416.875</v>
      </c>
      <c r="N55" s="8">
        <v>83.2</v>
      </c>
      <c r="O55" s="8">
        <v>8</v>
      </c>
      <c r="P55" s="8">
        <v>10</v>
      </c>
      <c r="Q55" s="8">
        <v>2.82</v>
      </c>
      <c r="R55" s="8">
        <v>64</v>
      </c>
      <c r="S55" s="8">
        <v>110</v>
      </c>
      <c r="T55" s="3">
        <v>147</v>
      </c>
      <c r="U55" s="8">
        <v>1233.7909999999999</v>
      </c>
      <c r="V55" s="8">
        <v>430.87599999999998</v>
      </c>
      <c r="W55" s="8">
        <v>752.85199999999998</v>
      </c>
      <c r="X55" s="8">
        <v>132.18100000000001</v>
      </c>
      <c r="Y55" s="8">
        <v>4.9400000000000004</v>
      </c>
      <c r="Z55" s="8">
        <v>8.0150000000000006</v>
      </c>
      <c r="AA55" s="8">
        <v>21.7</v>
      </c>
      <c r="AB55" s="8">
        <v>290.5</v>
      </c>
      <c r="AC55" s="8">
        <v>12164</v>
      </c>
      <c r="AD55" s="8">
        <v>2808</v>
      </c>
      <c r="AE55" s="8">
        <v>268</v>
      </c>
      <c r="AF55" s="8" cm="1">
        <f t="array" aca="1" ref="AF55" ca="1">_xlfn.XLOOKUP($A55,    INDIRECT("'" &amp; AF$16 &amp; "'!$A$20:$A$219"),    _xlfn.XLOOKUP(AF$18,INDIRECT("'" &amp; AF$16 &amp; "'!$B$18:$BC$18"), INDIRECT("'" &amp; AF$16 &amp; "'!$B$20:$BC$219"),"XXXXX",0,1),    "XX",    0,    1)</f>
        <v>15</v>
      </c>
      <c r="AG55" s="8" cm="1">
        <f t="array" aca="1" ref="AG55" ca="1">_xlfn.XLOOKUP($A55,    INDIRECT("'" &amp; AG$16 &amp; "'!$A$20:$A$219"),    _xlfn.XLOOKUP(AG$18,INDIRECT("'" &amp; AG$16 &amp; "'!$B$18:$BC$18"), INDIRECT("'" &amp; AG$16 &amp; "'!$B$20:$BC$219"),"XXXXX",0,1),    "XX",    0,    1)</f>
        <v>15</v>
      </c>
      <c r="AH55" s="8" cm="1">
        <f t="array" aca="1" ref="AH55" ca="1">_xlfn.XLOOKUP($A55,    INDIRECT("'" &amp; AH$16 &amp; "'!$A$20:$A$219"),    _xlfn.XLOOKUP(AH$18,INDIRECT("'" &amp; AH$16 &amp; "'!$B$18:$BC$18"), INDIRECT("'" &amp; AH$16 &amp; "'!$B$20:$BC$219"),"XXXXX",0,1),    "XX",    0,    1)</f>
        <v>19</v>
      </c>
      <c r="AI55" s="8" cm="1">
        <f t="array" aca="1" ref="AI55" ca="1">_xlfn.XLOOKUP($A55,    INDIRECT("'" &amp; AI$16 &amp; "'!$A$20:$A$219"),    _xlfn.XLOOKUP(AI$18,INDIRECT("'" &amp; AI$16 &amp; "'!$B$18:$BC$18"), INDIRECT("'" &amp; AI$16 &amp; "'!$B$20:$BC$219"),"XXXXX",0,1),    "XX",    0,    1)</f>
        <v>19</v>
      </c>
      <c r="AJ55" s="8" cm="1">
        <f t="array" aca="1" ref="AJ55" ca="1">_xlfn.XLOOKUP($A55,    INDIRECT("'" &amp; AJ$16 &amp; "'!$A$20:$A$219"),    _xlfn.XLOOKUP(AJ$18,INDIRECT("'" &amp; AJ$16 &amp; "'!$B$18:$BC$18"), INDIRECT("'" &amp; AJ$16 &amp; "'!$B$20:$BC$219"),"XXXXX",0,1),    "XX",    0,    1)</f>
        <v>19</v>
      </c>
      <c r="AK55" s="8" cm="1">
        <f t="array" aca="1" ref="AK55" ca="1">_xlfn.XLOOKUP($A55,    INDIRECT("'" &amp; AK$16 &amp; "'!$A$20:$A$219"),    _xlfn.XLOOKUP(AK$18,INDIRECT("'" &amp; AK$16 &amp; "'!$B$18:$BC$18"), INDIRECT("'" &amp; AK$16 &amp; "'!$B$20:$BC$219"),"XXXXX",0,1),    "XX",    0,    1)</f>
        <v>19</v>
      </c>
      <c r="AM55" s="16"/>
      <c r="AW55" s="8">
        <v>1</v>
      </c>
      <c r="AX55" s="8">
        <f t="shared" ca="1" si="24"/>
        <v>1.5</v>
      </c>
      <c r="AY55" s="8">
        <f t="shared" ca="1" si="29"/>
        <v>1.5</v>
      </c>
      <c r="AZ55" s="8">
        <f t="shared" ca="1" si="30"/>
        <v>1.9</v>
      </c>
      <c r="BA55" s="8">
        <f t="shared" ca="1" si="31"/>
        <v>1.9</v>
      </c>
      <c r="BB55" s="8">
        <f t="shared" ca="1" si="32"/>
        <v>1.9</v>
      </c>
      <c r="BC55" s="8">
        <f t="shared" ca="1" si="33"/>
        <v>1.9</v>
      </c>
      <c r="BE55" s="8">
        <f t="shared" ca="1" si="26"/>
        <v>0</v>
      </c>
      <c r="BF55" s="8">
        <f t="shared" ca="1" si="27"/>
        <v>0</v>
      </c>
      <c r="BG55" s="8">
        <f t="shared" ca="1" si="28"/>
        <v>0</v>
      </c>
    </row>
    <row r="56" spans="1:59" x14ac:dyDescent="0.2">
      <c r="A56" s="8" t="s">
        <v>124</v>
      </c>
      <c r="B56" s="8" t="s">
        <v>265</v>
      </c>
      <c r="C56" s="8">
        <v>-31</v>
      </c>
      <c r="D56" s="8">
        <v>473709.7</v>
      </c>
      <c r="E56" s="8">
        <v>5957180.4000000004</v>
      </c>
      <c r="F56" s="8">
        <v>0</v>
      </c>
      <c r="G56" s="8">
        <v>-0.7</v>
      </c>
      <c r="H56" s="8">
        <v>0</v>
      </c>
      <c r="I56" s="8">
        <v>2</v>
      </c>
      <c r="J56" s="8">
        <v>0</v>
      </c>
      <c r="K56" s="8">
        <v>-61.4</v>
      </c>
      <c r="L56" s="8">
        <v>30.4</v>
      </c>
      <c r="M56" s="8">
        <v>1497.2449999999999</v>
      </c>
      <c r="N56" s="8">
        <v>86.8</v>
      </c>
      <c r="O56" s="8">
        <v>8</v>
      </c>
      <c r="P56" s="8">
        <v>10</v>
      </c>
      <c r="Q56" s="8">
        <v>2.97</v>
      </c>
      <c r="R56" s="8">
        <v>68</v>
      </c>
      <c r="S56" s="8">
        <v>110</v>
      </c>
      <c r="T56" s="3">
        <v>147</v>
      </c>
      <c r="U56" s="8">
        <v>1296.1210000000001</v>
      </c>
      <c r="V56" s="8">
        <v>611.75599999999997</v>
      </c>
      <c r="W56" s="8">
        <v>752.85199999999998</v>
      </c>
      <c r="X56" s="8">
        <v>132.18100000000001</v>
      </c>
      <c r="Y56" s="8">
        <v>4.9400000000000004</v>
      </c>
      <c r="Z56" s="8">
        <v>8.0150000000000006</v>
      </c>
      <c r="AA56" s="8">
        <v>21.7</v>
      </c>
      <c r="AB56" s="8">
        <v>290.5</v>
      </c>
      <c r="AC56" s="8">
        <v>12388</v>
      </c>
      <c r="AD56" s="8">
        <v>2938</v>
      </c>
      <c r="AE56" s="8">
        <v>268</v>
      </c>
      <c r="AF56" s="8" cm="1">
        <f t="array" aca="1" ref="AF56" ca="1">_xlfn.XLOOKUP($A56,    INDIRECT("'" &amp; AF$16 &amp; "'!$A$20:$A$219"),    _xlfn.XLOOKUP(AF$18,INDIRECT("'" &amp; AF$16 &amp; "'!$B$18:$BC$18"), INDIRECT("'" &amp; AF$16 &amp; "'!$B$20:$BC$219"),"XXXXX",0,1),    "XX",    0,    1)</f>
        <v>15</v>
      </c>
      <c r="AG56" s="8" cm="1">
        <f t="array" aca="1" ref="AG56" ca="1">_xlfn.XLOOKUP($A56,    INDIRECT("'" &amp; AG$16 &amp; "'!$A$20:$A$219"),    _xlfn.XLOOKUP(AG$18,INDIRECT("'" &amp; AG$16 &amp; "'!$B$18:$BC$18"), INDIRECT("'" &amp; AG$16 &amp; "'!$B$20:$BC$219"),"XXXXX",0,1),    "XX",    0,    1)</f>
        <v>15</v>
      </c>
      <c r="AH56" s="8" cm="1">
        <f t="array" aca="1" ref="AH56" ca="1">_xlfn.XLOOKUP($A56,    INDIRECT("'" &amp; AH$16 &amp; "'!$A$20:$A$219"),    _xlfn.XLOOKUP(AH$18,INDIRECT("'" &amp; AH$16 &amp; "'!$B$18:$BC$18"), INDIRECT("'" &amp; AH$16 &amp; "'!$B$20:$BC$219"),"XXXXX",0,1),    "XX",    0,    1)</f>
        <v>19</v>
      </c>
      <c r="AI56" s="8" cm="1">
        <f t="array" aca="1" ref="AI56" ca="1">_xlfn.XLOOKUP($A56,    INDIRECT("'" &amp; AI$16 &amp; "'!$A$20:$A$219"),    _xlfn.XLOOKUP(AI$18,INDIRECT("'" &amp; AI$16 &amp; "'!$B$18:$BC$18"), INDIRECT("'" &amp; AI$16 &amp; "'!$B$20:$BC$219"),"XXXXX",0,1),    "XX",    0,    1)</f>
        <v>19</v>
      </c>
      <c r="AJ56" s="8" cm="1">
        <f t="array" aca="1" ref="AJ56" ca="1">_xlfn.XLOOKUP($A56,    INDIRECT("'" &amp; AJ$16 &amp; "'!$A$20:$A$219"),    _xlfn.XLOOKUP(AJ$18,INDIRECT("'" &amp; AJ$16 &amp; "'!$B$18:$BC$18"), INDIRECT("'" &amp; AJ$16 &amp; "'!$B$20:$BC$219"),"XXXXX",0,1),    "XX",    0,    1)</f>
        <v>21</v>
      </c>
      <c r="AK56" s="8" cm="1">
        <f t="array" aca="1" ref="AK56" ca="1">_xlfn.XLOOKUP($A56,    INDIRECT("'" &amp; AK$16 &amp; "'!$A$20:$A$219"),    _xlfn.XLOOKUP(AK$18,INDIRECT("'" &amp; AK$16 &amp; "'!$B$18:$BC$18"), INDIRECT("'" &amp; AK$16 &amp; "'!$B$20:$BC$219"),"XXXXX",0,1),    "XX",    0,    1)</f>
        <v>21</v>
      </c>
      <c r="AM56" s="16"/>
      <c r="AW56" s="8">
        <v>1</v>
      </c>
      <c r="AX56" s="8">
        <f t="shared" ca="1" si="24"/>
        <v>1.5</v>
      </c>
      <c r="AY56" s="8">
        <f t="shared" ca="1" si="29"/>
        <v>1.5</v>
      </c>
      <c r="AZ56" s="8">
        <f t="shared" ca="1" si="30"/>
        <v>1.9</v>
      </c>
      <c r="BA56" s="8">
        <f t="shared" ca="1" si="31"/>
        <v>1.9</v>
      </c>
      <c r="BB56" s="8">
        <f t="shared" ca="1" si="32"/>
        <v>2.1</v>
      </c>
      <c r="BC56" s="8">
        <f t="shared" ca="1" si="33"/>
        <v>2.1</v>
      </c>
      <c r="BE56" s="8">
        <f t="shared" ca="1" si="26"/>
        <v>0</v>
      </c>
      <c r="BF56" s="8">
        <f t="shared" ca="1" si="27"/>
        <v>0</v>
      </c>
      <c r="BG56" s="8">
        <f t="shared" ca="1" si="28"/>
        <v>0</v>
      </c>
    </row>
    <row r="57" spans="1:59" x14ac:dyDescent="0.2">
      <c r="A57" s="8" t="s">
        <v>30</v>
      </c>
      <c r="B57" s="8" t="s">
        <v>265</v>
      </c>
      <c r="C57" s="8">
        <v>-36.4</v>
      </c>
      <c r="D57" s="8">
        <v>476832.1</v>
      </c>
      <c r="E57" s="8">
        <v>5955548.2000000002</v>
      </c>
      <c r="F57" s="8">
        <v>0</v>
      </c>
      <c r="G57" s="8">
        <v>-0.6</v>
      </c>
      <c r="H57" s="8">
        <v>0</v>
      </c>
      <c r="I57" s="8">
        <v>2</v>
      </c>
      <c r="J57" s="8">
        <v>0</v>
      </c>
      <c r="K57" s="8">
        <v>-65.400000000000006</v>
      </c>
      <c r="L57" s="8">
        <v>29</v>
      </c>
      <c r="M57" s="8">
        <v>1700.2819999999999</v>
      </c>
      <c r="N57" s="8">
        <v>90.8</v>
      </c>
      <c r="O57" s="8">
        <v>8</v>
      </c>
      <c r="P57" s="8">
        <v>10</v>
      </c>
      <c r="Q57" s="8">
        <v>2.84</v>
      </c>
      <c r="R57" s="8">
        <v>68</v>
      </c>
      <c r="S57" s="8">
        <v>110</v>
      </c>
      <c r="T57" s="3">
        <v>147</v>
      </c>
      <c r="U57" s="8">
        <v>1357.5450000000001</v>
      </c>
      <c r="V57" s="8">
        <v>483.642</v>
      </c>
      <c r="W57" s="8">
        <v>752.85199999999998</v>
      </c>
      <c r="X57" s="8">
        <v>132.18100000000001</v>
      </c>
      <c r="Y57" s="8">
        <v>4.9400000000000004</v>
      </c>
      <c r="Z57" s="8">
        <v>8.0150000000000006</v>
      </c>
      <c r="AA57" s="8">
        <v>21.7</v>
      </c>
      <c r="AB57" s="8">
        <v>290.5</v>
      </c>
      <c r="AC57" s="8">
        <v>12634</v>
      </c>
      <c r="AD57" s="8">
        <v>3272</v>
      </c>
      <c r="AE57" s="8">
        <v>268</v>
      </c>
      <c r="AF57" s="8" cm="1">
        <f t="array" aca="1" ref="AF57" ca="1">_xlfn.XLOOKUP($A57,    INDIRECT("'" &amp; AF$16 &amp; "'!$A$20:$A$219"),    _xlfn.XLOOKUP(AF$18,INDIRECT("'" &amp; AF$16 &amp; "'!$B$18:$BC$18"), INDIRECT("'" &amp; AF$16 &amp; "'!$B$20:$BC$219"),"XXXXX",0,1),    "XX",    0,    1)</f>
        <v>15</v>
      </c>
      <c r="AG57" s="8" cm="1">
        <f t="array" aca="1" ref="AG57" ca="1">_xlfn.XLOOKUP($A57,    INDIRECT("'" &amp; AG$16 &amp; "'!$A$20:$A$219"),    _xlfn.XLOOKUP(AG$18,INDIRECT("'" &amp; AG$16 &amp; "'!$B$18:$BC$18"), INDIRECT("'" &amp; AG$16 &amp; "'!$B$20:$BC$219"),"XXXXX",0,1),    "XX",    0,    1)</f>
        <v>15</v>
      </c>
      <c r="AH57" s="8" cm="1">
        <f t="array" aca="1" ref="AH57" ca="1">_xlfn.XLOOKUP($A57,    INDIRECT("'" &amp; AH$16 &amp; "'!$A$20:$A$219"),    _xlfn.XLOOKUP(AH$18,INDIRECT("'" &amp; AH$16 &amp; "'!$B$18:$BC$18"), INDIRECT("'" &amp; AH$16 &amp; "'!$B$20:$BC$219"),"XXXXX",0,1),    "XX",    0,    1)</f>
        <v>19</v>
      </c>
      <c r="AI57" s="8" cm="1">
        <f t="array" aca="1" ref="AI57" ca="1">_xlfn.XLOOKUP($A57,    INDIRECT("'" &amp; AI$16 &amp; "'!$A$20:$A$219"),    _xlfn.XLOOKUP(AI$18,INDIRECT("'" &amp; AI$16 &amp; "'!$B$18:$BC$18"), INDIRECT("'" &amp; AI$16 &amp; "'!$B$20:$BC$219"),"XXXXX",0,1),    "XX",    0,    1)</f>
        <v>19</v>
      </c>
      <c r="AJ57" s="8" cm="1">
        <f t="array" aca="1" ref="AJ57" ca="1">_xlfn.XLOOKUP($A57,    INDIRECT("'" &amp; AJ$16 &amp; "'!$A$20:$A$219"),    _xlfn.XLOOKUP(AJ$18,INDIRECT("'" &amp; AJ$16 &amp; "'!$B$18:$BC$18"), INDIRECT("'" &amp; AJ$16 &amp; "'!$B$20:$BC$219"),"XXXXX",0,1),    "XX",    0,    1)</f>
        <v>19</v>
      </c>
      <c r="AK57" s="8" cm="1">
        <f t="array" aca="1" ref="AK57" ca="1">_xlfn.XLOOKUP($A57,    INDIRECT("'" &amp; AK$16 &amp; "'!$A$20:$A$219"),    _xlfn.XLOOKUP(AK$18,INDIRECT("'" &amp; AK$16 &amp; "'!$B$18:$BC$18"), INDIRECT("'" &amp; AK$16 &amp; "'!$B$20:$BC$219"),"XXXXX",0,1),    "XX",    0,    1)</f>
        <v>19</v>
      </c>
      <c r="AM57" s="16"/>
      <c r="AW57" s="8">
        <v>1</v>
      </c>
      <c r="AX57" s="8">
        <f t="shared" ca="1" si="24"/>
        <v>1.5</v>
      </c>
      <c r="AY57" s="8">
        <f t="shared" ca="1" si="29"/>
        <v>1.5</v>
      </c>
      <c r="AZ57" s="8">
        <f t="shared" ca="1" si="30"/>
        <v>1.9</v>
      </c>
      <c r="BA57" s="8">
        <f t="shared" ca="1" si="31"/>
        <v>1.9</v>
      </c>
      <c r="BB57" s="8">
        <f t="shared" ca="1" si="32"/>
        <v>1.9</v>
      </c>
      <c r="BC57" s="8">
        <f t="shared" ca="1" si="33"/>
        <v>1.9</v>
      </c>
      <c r="BE57" s="8">
        <f t="shared" ca="1" si="26"/>
        <v>0</v>
      </c>
      <c r="BF57" s="8">
        <f t="shared" ca="1" si="27"/>
        <v>0</v>
      </c>
      <c r="BG57" s="8">
        <f t="shared" ca="1" si="28"/>
        <v>0</v>
      </c>
    </row>
    <row r="58" spans="1:59" x14ac:dyDescent="0.2">
      <c r="A58" s="8" t="s">
        <v>58</v>
      </c>
      <c r="B58" s="8" t="s">
        <v>265</v>
      </c>
      <c r="C58" s="8">
        <v>-36</v>
      </c>
      <c r="D58" s="8">
        <v>479945.7</v>
      </c>
      <c r="E58" s="8">
        <v>5953911</v>
      </c>
      <c r="F58" s="8">
        <v>0</v>
      </c>
      <c r="G58" s="8">
        <v>-0.6</v>
      </c>
      <c r="H58" s="8">
        <v>0</v>
      </c>
      <c r="I58" s="8">
        <v>2</v>
      </c>
      <c r="J58" s="8">
        <v>0</v>
      </c>
      <c r="K58" s="8">
        <v>-65.3</v>
      </c>
      <c r="L58" s="8">
        <v>29.3</v>
      </c>
      <c r="M58" s="8">
        <v>1652.8969999999999</v>
      </c>
      <c r="N58" s="8">
        <v>90.7</v>
      </c>
      <c r="O58" s="8">
        <v>8</v>
      </c>
      <c r="P58" s="8">
        <v>10</v>
      </c>
      <c r="Q58" s="8">
        <v>2.87</v>
      </c>
      <c r="R58" s="8">
        <v>68</v>
      </c>
      <c r="S58" s="8">
        <v>110</v>
      </c>
      <c r="T58" s="3">
        <v>147</v>
      </c>
      <c r="U58" s="8">
        <v>1357.8340000000001</v>
      </c>
      <c r="V58" s="8">
        <v>459.22500000000002</v>
      </c>
      <c r="W58" s="8">
        <v>752.85199999999998</v>
      </c>
      <c r="X58" s="8">
        <v>132.18100000000001</v>
      </c>
      <c r="Y58" s="8">
        <v>4.9400000000000004</v>
      </c>
      <c r="Z58" s="8">
        <v>8.0150000000000006</v>
      </c>
      <c r="AA58" s="8">
        <v>21.7</v>
      </c>
      <c r="AB58" s="8">
        <v>290.5</v>
      </c>
      <c r="AC58" s="8">
        <v>12629</v>
      </c>
      <c r="AD58" s="8">
        <v>3248</v>
      </c>
      <c r="AE58" s="8">
        <v>268</v>
      </c>
      <c r="AF58" s="8" cm="1">
        <f t="array" aca="1" ref="AF58" ca="1">_xlfn.XLOOKUP($A58,    INDIRECT("'" &amp; AF$16 &amp; "'!$A$20:$A$219"),    _xlfn.XLOOKUP(AF$18,INDIRECT("'" &amp; AF$16 &amp; "'!$B$18:$BC$18"), INDIRECT("'" &amp; AF$16 &amp; "'!$B$20:$BC$219"),"XXXXX",0,1),    "XX",    0,    1)</f>
        <v>15</v>
      </c>
      <c r="AG58" s="8" cm="1">
        <f t="array" aca="1" ref="AG58" ca="1">_xlfn.XLOOKUP($A58,    INDIRECT("'" &amp; AG$16 &amp; "'!$A$20:$A$219"),    _xlfn.XLOOKUP(AG$18,INDIRECT("'" &amp; AG$16 &amp; "'!$B$18:$BC$18"), INDIRECT("'" &amp; AG$16 &amp; "'!$B$20:$BC$219"),"XXXXX",0,1),    "XX",    0,    1)</f>
        <v>15</v>
      </c>
      <c r="AH58" s="8" cm="1">
        <f t="array" aca="1" ref="AH58" ca="1">_xlfn.XLOOKUP($A58,    INDIRECT("'" &amp; AH$16 &amp; "'!$A$20:$A$219"),    _xlfn.XLOOKUP(AH$18,INDIRECT("'" &amp; AH$16 &amp; "'!$B$18:$BC$18"), INDIRECT("'" &amp; AH$16 &amp; "'!$B$20:$BC$219"),"XXXXX",0,1),    "XX",    0,    1)</f>
        <v>19</v>
      </c>
      <c r="AI58" s="8" cm="1">
        <f t="array" aca="1" ref="AI58" ca="1">_xlfn.XLOOKUP($A58,    INDIRECT("'" &amp; AI$16 &amp; "'!$A$20:$A$219"),    _xlfn.XLOOKUP(AI$18,INDIRECT("'" &amp; AI$16 &amp; "'!$B$18:$BC$18"), INDIRECT("'" &amp; AI$16 &amp; "'!$B$20:$BC$219"),"XXXXX",0,1),    "XX",    0,    1)</f>
        <v>19</v>
      </c>
      <c r="AJ58" s="8" cm="1">
        <f t="array" aca="1" ref="AJ58" ca="1">_xlfn.XLOOKUP($A58,    INDIRECT("'" &amp; AJ$16 &amp; "'!$A$20:$A$219"),    _xlfn.XLOOKUP(AJ$18,INDIRECT("'" &amp; AJ$16 &amp; "'!$B$18:$BC$18"), INDIRECT("'" &amp; AJ$16 &amp; "'!$B$20:$BC$219"),"XXXXX",0,1),    "XX",    0,    1)</f>
        <v>19</v>
      </c>
      <c r="AK58" s="8" cm="1">
        <f t="array" aca="1" ref="AK58" ca="1">_xlfn.XLOOKUP($A58,    INDIRECT("'" &amp; AK$16 &amp; "'!$A$20:$A$219"),    _xlfn.XLOOKUP(AK$18,INDIRECT("'" &amp; AK$16 &amp; "'!$B$18:$BC$18"), INDIRECT("'" &amp; AK$16 &amp; "'!$B$20:$BC$219"),"XXXXX",0,1),    "XX",    0,    1)</f>
        <v>19</v>
      </c>
      <c r="AM58" s="16"/>
      <c r="AW58" s="8">
        <v>1</v>
      </c>
      <c r="AX58" s="8">
        <f t="shared" ca="1" si="24"/>
        <v>1.5</v>
      </c>
      <c r="AY58" s="8">
        <f t="shared" ca="1" si="29"/>
        <v>1.5</v>
      </c>
      <c r="AZ58" s="8">
        <f t="shared" ca="1" si="30"/>
        <v>1.9</v>
      </c>
      <c r="BA58" s="8">
        <f t="shared" ca="1" si="31"/>
        <v>1.9</v>
      </c>
      <c r="BB58" s="8">
        <f t="shared" ca="1" si="32"/>
        <v>1.9</v>
      </c>
      <c r="BC58" s="8">
        <f t="shared" ca="1" si="33"/>
        <v>1.9</v>
      </c>
      <c r="BE58" s="8">
        <f t="shared" ca="1" si="26"/>
        <v>0</v>
      </c>
      <c r="BF58" s="8">
        <f t="shared" ca="1" si="27"/>
        <v>0</v>
      </c>
      <c r="BG58" s="8">
        <f t="shared" ca="1" si="28"/>
        <v>0</v>
      </c>
    </row>
    <row r="59" spans="1:59" x14ac:dyDescent="0.2">
      <c r="A59" s="8" t="s">
        <v>38</v>
      </c>
      <c r="B59" s="8" t="s">
        <v>265</v>
      </c>
      <c r="C59" s="8">
        <v>-35.700000000000003</v>
      </c>
      <c r="D59" s="8">
        <v>482214.3</v>
      </c>
      <c r="E59" s="8">
        <v>5953603.5999999996</v>
      </c>
      <c r="F59" s="8">
        <v>0</v>
      </c>
      <c r="G59" s="8">
        <v>-0.6</v>
      </c>
      <c r="H59" s="8">
        <v>0</v>
      </c>
      <c r="I59" s="8">
        <v>2</v>
      </c>
      <c r="J59" s="8">
        <v>0</v>
      </c>
      <c r="K59" s="8">
        <v>-66.400000000000006</v>
      </c>
      <c r="L59" s="8">
        <v>30.7</v>
      </c>
      <c r="M59" s="8">
        <v>1699.905</v>
      </c>
      <c r="N59" s="8">
        <v>91.8</v>
      </c>
      <c r="O59" s="8">
        <v>8</v>
      </c>
      <c r="P59" s="8">
        <v>10</v>
      </c>
      <c r="Q59" s="8">
        <v>3.01</v>
      </c>
      <c r="R59" s="8">
        <v>68</v>
      </c>
      <c r="S59" s="8">
        <v>110</v>
      </c>
      <c r="T59" s="3">
        <v>147</v>
      </c>
      <c r="U59" s="8">
        <v>1420.05</v>
      </c>
      <c r="V59" s="8">
        <v>427.84699999999998</v>
      </c>
      <c r="W59" s="8">
        <v>752.85199999999998</v>
      </c>
      <c r="X59" s="8">
        <v>132.18100000000001</v>
      </c>
      <c r="Y59" s="8">
        <v>4.9400000000000004</v>
      </c>
      <c r="Z59" s="8">
        <v>8.0150000000000006</v>
      </c>
      <c r="AA59" s="8">
        <v>21.7</v>
      </c>
      <c r="AB59" s="8">
        <v>290.5</v>
      </c>
      <c r="AC59" s="8">
        <v>12697</v>
      </c>
      <c r="AD59" s="8">
        <v>3229</v>
      </c>
      <c r="AE59" s="8">
        <v>268</v>
      </c>
      <c r="AF59" s="8" cm="1">
        <f t="array" aca="1" ref="AF59" ca="1">_xlfn.XLOOKUP($A59,    INDIRECT("'" &amp; AF$16 &amp; "'!$A$20:$A$219"),    _xlfn.XLOOKUP(AF$18,INDIRECT("'" &amp; AF$16 &amp; "'!$B$18:$BC$18"), INDIRECT("'" &amp; AF$16 &amp; "'!$B$20:$BC$219"),"XXXXX",0,1),    "XX",    0,    1)</f>
        <v>17</v>
      </c>
      <c r="AG59" s="8" cm="1">
        <f t="array" aca="1" ref="AG59" ca="1">_xlfn.XLOOKUP($A59,    INDIRECT("'" &amp; AG$16 &amp; "'!$A$20:$A$219"),    _xlfn.XLOOKUP(AG$18,INDIRECT("'" &amp; AG$16 &amp; "'!$B$18:$BC$18"), INDIRECT("'" &amp; AG$16 &amp; "'!$B$20:$BC$219"),"XXXXX",0,1),    "XX",    0,    1)</f>
        <v>17</v>
      </c>
      <c r="AH59" s="8" cm="1">
        <f t="array" aca="1" ref="AH59" ca="1">_xlfn.XLOOKUP($A59,    INDIRECT("'" &amp; AH$16 &amp; "'!$A$20:$A$219"),    _xlfn.XLOOKUP(AH$18,INDIRECT("'" &amp; AH$16 &amp; "'!$B$18:$BC$18"), INDIRECT("'" &amp; AH$16 &amp; "'!$B$20:$BC$219"),"XXXXX",0,1),    "XX",    0,    1)</f>
        <v>21</v>
      </c>
      <c r="AI59" s="8" cm="1">
        <f t="array" aca="1" ref="AI59" ca="1">_xlfn.XLOOKUP($A59,    INDIRECT("'" &amp; AI$16 &amp; "'!$A$20:$A$219"),    _xlfn.XLOOKUP(AI$18,INDIRECT("'" &amp; AI$16 &amp; "'!$B$18:$BC$18"), INDIRECT("'" &amp; AI$16 &amp; "'!$B$20:$BC$219"),"XXXXX",0,1),    "XX",    0,    1)</f>
        <v>21</v>
      </c>
      <c r="AJ59" s="8" cm="1">
        <f t="array" aca="1" ref="AJ59" ca="1">_xlfn.XLOOKUP($A59,    INDIRECT("'" &amp; AJ$16 &amp; "'!$A$20:$A$219"),    _xlfn.XLOOKUP(AJ$18,INDIRECT("'" &amp; AJ$16 &amp; "'!$B$18:$BC$18"), INDIRECT("'" &amp; AJ$16 &amp; "'!$B$20:$BC$219"),"XXXXX",0,1),    "XX",    0,    1)</f>
        <v>21</v>
      </c>
      <c r="AK59" s="8" cm="1">
        <f t="array" aca="1" ref="AK59" ca="1">_xlfn.XLOOKUP($A59,    INDIRECT("'" &amp; AK$16 &amp; "'!$A$20:$A$219"),    _xlfn.XLOOKUP(AK$18,INDIRECT("'" &amp; AK$16 &amp; "'!$B$18:$BC$18"), INDIRECT("'" &amp; AK$16 &amp; "'!$B$20:$BC$219"),"XXXXX",0,1),    "XX",    0,    1)</f>
        <v>21</v>
      </c>
      <c r="AM59" s="16"/>
      <c r="AW59" s="8">
        <v>1</v>
      </c>
      <c r="AX59" s="8">
        <f t="shared" ca="1" si="24"/>
        <v>1.7</v>
      </c>
      <c r="AY59" s="8">
        <f t="shared" ca="1" si="29"/>
        <v>1.7</v>
      </c>
      <c r="AZ59" s="8">
        <f t="shared" ca="1" si="30"/>
        <v>2.1</v>
      </c>
      <c r="BA59" s="8">
        <f t="shared" ca="1" si="31"/>
        <v>2.1</v>
      </c>
      <c r="BB59" s="8">
        <f t="shared" ca="1" si="32"/>
        <v>2.1</v>
      </c>
      <c r="BC59" s="8">
        <f t="shared" ca="1" si="33"/>
        <v>2.1</v>
      </c>
      <c r="BE59" s="8">
        <f t="shared" ca="1" si="26"/>
        <v>0</v>
      </c>
      <c r="BF59" s="8">
        <f t="shared" ca="1" si="27"/>
        <v>0</v>
      </c>
      <c r="BG59" s="8">
        <f t="shared" ca="1" si="28"/>
        <v>0</v>
      </c>
    </row>
    <row r="60" spans="1:59" x14ac:dyDescent="0.2">
      <c r="A60" s="8" t="s">
        <v>82</v>
      </c>
      <c r="B60" s="8" t="s">
        <v>269</v>
      </c>
      <c r="C60" s="8">
        <v>-33.799999999999997</v>
      </c>
      <c r="D60" s="8">
        <v>483010</v>
      </c>
      <c r="E60" s="8">
        <v>5955625</v>
      </c>
      <c r="F60" s="8">
        <v>0</v>
      </c>
      <c r="G60" s="8">
        <v>-0.6</v>
      </c>
      <c r="H60" s="8">
        <v>0</v>
      </c>
      <c r="I60" s="8">
        <v>2</v>
      </c>
      <c r="J60" s="8">
        <v>0</v>
      </c>
      <c r="K60" s="8">
        <v>-64</v>
      </c>
      <c r="L60" s="8">
        <v>30.2</v>
      </c>
      <c r="M60" s="8">
        <v>1592.0340000000001</v>
      </c>
      <c r="N60" s="8">
        <v>89.4</v>
      </c>
      <c r="O60" s="8">
        <v>8</v>
      </c>
      <c r="P60" s="8">
        <v>10</v>
      </c>
      <c r="Q60" s="8">
        <v>2.96</v>
      </c>
      <c r="R60" s="8">
        <v>68</v>
      </c>
      <c r="S60" s="8">
        <v>110</v>
      </c>
      <c r="T60" s="3">
        <v>147</v>
      </c>
      <c r="U60" s="8">
        <v>1358.085</v>
      </c>
      <c r="V60" s="8">
        <v>484.43400000000003</v>
      </c>
      <c r="W60" s="8">
        <v>752.85199999999998</v>
      </c>
      <c r="X60" s="8">
        <v>132.18100000000001</v>
      </c>
      <c r="Y60" s="8">
        <v>4.9400000000000004</v>
      </c>
      <c r="Z60" s="8">
        <v>8.0150000000000006</v>
      </c>
      <c r="AA60" s="8">
        <v>21.7</v>
      </c>
      <c r="AB60" s="8">
        <v>290.5</v>
      </c>
      <c r="AC60" s="8">
        <v>12549</v>
      </c>
      <c r="AD60" s="8">
        <v>3111</v>
      </c>
      <c r="AE60" s="8">
        <v>268</v>
      </c>
      <c r="AF60" s="8" cm="1">
        <f t="array" aca="1" ref="AF60" ca="1">_xlfn.XLOOKUP($A60,    INDIRECT("'" &amp; AF$16 &amp; "'!$A$20:$A$219"),    _xlfn.XLOOKUP(AF$18,INDIRECT("'" &amp; AF$16 &amp; "'!$B$18:$BC$18"), INDIRECT("'" &amp; AF$16 &amp; "'!$B$20:$BC$219"),"XXXXX",0,1),    "XX",    0,    1)</f>
        <v>15</v>
      </c>
      <c r="AG60" s="8" cm="1">
        <f t="array" aca="1" ref="AG60" ca="1">_xlfn.XLOOKUP($A60,    INDIRECT("'" &amp; AG$16 &amp; "'!$A$20:$A$219"),    _xlfn.XLOOKUP(AG$18,INDIRECT("'" &amp; AG$16 &amp; "'!$B$18:$BC$18"), INDIRECT("'" &amp; AG$16 &amp; "'!$B$20:$BC$219"),"XXXXX",0,1),    "XX",    0,    1)</f>
        <v>15</v>
      </c>
      <c r="AH60" s="8" cm="1">
        <f t="array" aca="1" ref="AH60" ca="1">_xlfn.XLOOKUP($A60,    INDIRECT("'" &amp; AH$16 &amp; "'!$A$20:$A$219"),    _xlfn.XLOOKUP(AH$18,INDIRECT("'" &amp; AH$16 &amp; "'!$B$18:$BC$18"), INDIRECT("'" &amp; AH$16 &amp; "'!$B$20:$BC$219"),"XXXXX",0,1),    "XX",    0,    1)</f>
        <v>19</v>
      </c>
      <c r="AI60" s="8" cm="1">
        <f t="array" aca="1" ref="AI60" ca="1">_xlfn.XLOOKUP($A60,    INDIRECT("'" &amp; AI$16 &amp; "'!$A$20:$A$219"),    _xlfn.XLOOKUP(AI$18,INDIRECT("'" &amp; AI$16 &amp; "'!$B$18:$BC$18"), INDIRECT("'" &amp; AI$16 &amp; "'!$B$20:$BC$219"),"XXXXX",0,1),    "XX",    0,    1)</f>
        <v>19</v>
      </c>
      <c r="AJ60" s="8" cm="1">
        <f t="array" aca="1" ref="AJ60" ca="1">_xlfn.XLOOKUP($A60,    INDIRECT("'" &amp; AJ$16 &amp; "'!$A$20:$A$219"),    _xlfn.XLOOKUP(AJ$18,INDIRECT("'" &amp; AJ$16 &amp; "'!$B$18:$BC$18"), INDIRECT("'" &amp; AJ$16 &amp; "'!$B$20:$BC$219"),"XXXXX",0,1),    "XX",    0,    1)</f>
        <v>21</v>
      </c>
      <c r="AK60" s="8" cm="1">
        <f t="array" aca="1" ref="AK60" ca="1">_xlfn.XLOOKUP($A60,    INDIRECT("'" &amp; AK$16 &amp; "'!$A$20:$A$219"),    _xlfn.XLOOKUP(AK$18,INDIRECT("'" &amp; AK$16 &amp; "'!$B$18:$BC$18"), INDIRECT("'" &amp; AK$16 &amp; "'!$B$20:$BC$219"),"XXXXX",0,1),    "XX",    0,    1)</f>
        <v>21</v>
      </c>
      <c r="AM60" s="16"/>
      <c r="AW60" s="8">
        <v>1</v>
      </c>
      <c r="AX60" s="8">
        <f t="shared" ca="1" si="24"/>
        <v>1.5</v>
      </c>
      <c r="AY60" s="8">
        <f t="shared" ca="1" si="29"/>
        <v>1.5</v>
      </c>
      <c r="AZ60" s="8">
        <f t="shared" ca="1" si="30"/>
        <v>1.9</v>
      </c>
      <c r="BA60" s="8">
        <f t="shared" ca="1" si="31"/>
        <v>1.9</v>
      </c>
      <c r="BB60" s="8">
        <f t="shared" ca="1" si="32"/>
        <v>2.1</v>
      </c>
      <c r="BC60" s="8">
        <f t="shared" ca="1" si="33"/>
        <v>2.1</v>
      </c>
      <c r="BE60" s="8">
        <f t="shared" ca="1" si="26"/>
        <v>0</v>
      </c>
      <c r="BF60" s="8">
        <f t="shared" ca="1" si="27"/>
        <v>0</v>
      </c>
      <c r="BG60" s="8">
        <f t="shared" ca="1" si="28"/>
        <v>0</v>
      </c>
    </row>
    <row r="61" spans="1:59" x14ac:dyDescent="0.2">
      <c r="A61" s="8" t="s">
        <v>118</v>
      </c>
      <c r="B61" s="8" t="s">
        <v>271</v>
      </c>
      <c r="C61" s="8">
        <v>-31.7</v>
      </c>
      <c r="D61" s="8">
        <v>483080</v>
      </c>
      <c r="E61" s="8">
        <v>5958680</v>
      </c>
      <c r="F61" s="8">
        <v>0</v>
      </c>
      <c r="G61" s="8">
        <v>-0.7</v>
      </c>
      <c r="H61" s="8">
        <v>0</v>
      </c>
      <c r="I61" s="8">
        <v>2</v>
      </c>
      <c r="J61" s="8">
        <v>0</v>
      </c>
      <c r="K61" s="8">
        <v>-61.6</v>
      </c>
      <c r="L61" s="8">
        <v>29.9</v>
      </c>
      <c r="M61" s="8">
        <v>1505.12</v>
      </c>
      <c r="N61" s="8">
        <v>87</v>
      </c>
      <c r="O61" s="8">
        <v>8</v>
      </c>
      <c r="P61" s="8">
        <v>10</v>
      </c>
      <c r="Q61" s="8">
        <v>2.92</v>
      </c>
      <c r="R61" s="8">
        <v>68</v>
      </c>
      <c r="S61" s="8">
        <v>110</v>
      </c>
      <c r="T61" s="3">
        <v>147</v>
      </c>
      <c r="U61" s="8">
        <v>1296.02</v>
      </c>
      <c r="V61" s="8">
        <v>555.572</v>
      </c>
      <c r="W61" s="8">
        <v>752.85199999999998</v>
      </c>
      <c r="X61" s="8">
        <v>132.18100000000001</v>
      </c>
      <c r="Y61" s="8">
        <v>4.9400000000000004</v>
      </c>
      <c r="Z61" s="8">
        <v>8.0150000000000006</v>
      </c>
      <c r="AA61" s="8">
        <v>21.7</v>
      </c>
      <c r="AB61" s="8">
        <v>290.5</v>
      </c>
      <c r="AC61" s="8">
        <v>12400</v>
      </c>
      <c r="AD61" s="8">
        <v>2982</v>
      </c>
      <c r="AE61" s="8">
        <v>268</v>
      </c>
      <c r="AF61" s="8" cm="1">
        <f t="array" aca="1" ref="AF61" ca="1">_xlfn.XLOOKUP($A61,    INDIRECT("'" &amp; AF$16 &amp; "'!$A$20:$A$219"),    _xlfn.XLOOKUP(AF$18,INDIRECT("'" &amp; AF$16 &amp; "'!$B$18:$BC$18"), INDIRECT("'" &amp; AF$16 &amp; "'!$B$20:$BC$219"),"XXXXX",0,1),    "XX",    0,    1)</f>
        <v>15</v>
      </c>
      <c r="AG61" s="8" cm="1">
        <f t="array" aca="1" ref="AG61" ca="1">_xlfn.XLOOKUP($A61,    INDIRECT("'" &amp; AG$16 &amp; "'!$A$20:$A$219"),    _xlfn.XLOOKUP(AG$18,INDIRECT("'" &amp; AG$16 &amp; "'!$B$18:$BC$18"), INDIRECT("'" &amp; AG$16 &amp; "'!$B$20:$BC$219"),"XXXXX",0,1),    "XX",    0,    1)</f>
        <v>15</v>
      </c>
      <c r="AH61" s="8" cm="1">
        <f t="array" aca="1" ref="AH61" ca="1">_xlfn.XLOOKUP($A61,    INDIRECT("'" &amp; AH$16 &amp; "'!$A$20:$A$219"),    _xlfn.XLOOKUP(AH$18,INDIRECT("'" &amp; AH$16 &amp; "'!$B$18:$BC$18"), INDIRECT("'" &amp; AH$16 &amp; "'!$B$20:$BC$219"),"XXXXX",0,1),    "XX",    0,    1)</f>
        <v>19</v>
      </c>
      <c r="AI61" s="8" cm="1">
        <f t="array" aca="1" ref="AI61" ca="1">_xlfn.XLOOKUP($A61,    INDIRECT("'" &amp; AI$16 &amp; "'!$A$20:$A$219"),    _xlfn.XLOOKUP(AI$18,INDIRECT("'" &amp; AI$16 &amp; "'!$B$18:$BC$18"), INDIRECT("'" &amp; AI$16 &amp; "'!$B$20:$BC$219"),"XXXXX",0,1),    "XX",    0,    1)</f>
        <v>19</v>
      </c>
      <c r="AJ61" s="8" cm="1">
        <f t="array" aca="1" ref="AJ61" ca="1">_xlfn.XLOOKUP($A61,    INDIRECT("'" &amp; AJ$16 &amp; "'!$A$20:$A$219"),    _xlfn.XLOOKUP(AJ$18,INDIRECT("'" &amp; AJ$16 &amp; "'!$B$18:$BC$18"), INDIRECT("'" &amp; AJ$16 &amp; "'!$B$20:$BC$219"),"XXXXX",0,1),    "XX",    0,    1)</f>
        <v>21</v>
      </c>
      <c r="AK61" s="8" cm="1">
        <f t="array" aca="1" ref="AK61" ca="1">_xlfn.XLOOKUP($A61,    INDIRECT("'" &amp; AK$16 &amp; "'!$A$20:$A$219"),    _xlfn.XLOOKUP(AK$18,INDIRECT("'" &amp; AK$16 &amp; "'!$B$18:$BC$18"), INDIRECT("'" &amp; AK$16 &amp; "'!$B$20:$BC$219"),"XXXXX",0,1),    "XX",    0,    1)</f>
        <v>21</v>
      </c>
      <c r="AM61" s="16"/>
      <c r="AW61" s="8">
        <v>1</v>
      </c>
      <c r="AX61" s="8">
        <f t="shared" ca="1" si="24"/>
        <v>1.5</v>
      </c>
      <c r="AY61" s="8">
        <f t="shared" ca="1" si="29"/>
        <v>1.5</v>
      </c>
      <c r="AZ61" s="8">
        <f t="shared" ca="1" si="30"/>
        <v>1.9</v>
      </c>
      <c r="BA61" s="8">
        <f t="shared" ca="1" si="31"/>
        <v>1.9</v>
      </c>
      <c r="BB61" s="8">
        <f t="shared" ca="1" si="32"/>
        <v>2.1</v>
      </c>
      <c r="BC61" s="8">
        <f t="shared" ca="1" si="33"/>
        <v>2.1</v>
      </c>
      <c r="BE61" s="8">
        <f t="shared" ca="1" si="26"/>
        <v>0</v>
      </c>
      <c r="BF61" s="8">
        <f t="shared" ca="1" si="27"/>
        <v>0</v>
      </c>
      <c r="BG61" s="8">
        <f t="shared" ca="1" si="28"/>
        <v>0</v>
      </c>
    </row>
    <row r="62" spans="1:59" x14ac:dyDescent="0.2">
      <c r="A62" s="8" t="s">
        <v>74</v>
      </c>
      <c r="B62" s="8" t="s">
        <v>271</v>
      </c>
      <c r="C62" s="8">
        <v>-35.4</v>
      </c>
      <c r="D62" s="8">
        <v>481215.8</v>
      </c>
      <c r="E62" s="8">
        <v>5964770</v>
      </c>
      <c r="F62" s="8">
        <v>0</v>
      </c>
      <c r="G62" s="8">
        <v>-0.6</v>
      </c>
      <c r="H62" s="8">
        <v>0</v>
      </c>
      <c r="I62" s="8">
        <v>2</v>
      </c>
      <c r="J62" s="8">
        <v>0</v>
      </c>
      <c r="K62" s="8">
        <v>-64</v>
      </c>
      <c r="L62" s="8">
        <v>28.6</v>
      </c>
      <c r="M62" s="8">
        <v>1620.414</v>
      </c>
      <c r="N62" s="8">
        <v>89.4</v>
      </c>
      <c r="O62" s="8">
        <v>8</v>
      </c>
      <c r="P62" s="8">
        <v>10</v>
      </c>
      <c r="Q62" s="8">
        <v>2.8</v>
      </c>
      <c r="R62" s="8">
        <v>68</v>
      </c>
      <c r="S62" s="8">
        <v>110</v>
      </c>
      <c r="T62" s="3">
        <v>147</v>
      </c>
      <c r="U62" s="8">
        <v>1357.884</v>
      </c>
      <c r="V62" s="8">
        <v>521.59199999999998</v>
      </c>
      <c r="W62" s="8">
        <v>752.85199999999998</v>
      </c>
      <c r="X62" s="8">
        <v>132.18100000000001</v>
      </c>
      <c r="Y62" s="8">
        <v>4.9400000000000004</v>
      </c>
      <c r="Z62" s="8">
        <v>8.0150000000000006</v>
      </c>
      <c r="AA62" s="8">
        <v>21.7</v>
      </c>
      <c r="AB62" s="8">
        <v>290.5</v>
      </c>
      <c r="AC62" s="8">
        <v>12548</v>
      </c>
      <c r="AD62" s="8">
        <v>3211</v>
      </c>
      <c r="AE62" s="8">
        <v>268</v>
      </c>
      <c r="AF62" s="8" cm="1">
        <f t="array" aca="1" ref="AF62" ca="1">_xlfn.XLOOKUP($A62,    INDIRECT("'" &amp; AF$16 &amp; "'!$A$20:$A$219"),    _xlfn.XLOOKUP(AF$18,INDIRECT("'" &amp; AF$16 &amp; "'!$B$18:$BC$18"), INDIRECT("'" &amp; AF$16 &amp; "'!$B$20:$BC$219"),"XXXXX",0,1),    "XX",    0,    1)</f>
        <v>15</v>
      </c>
      <c r="AG62" s="8" cm="1">
        <f t="array" aca="1" ref="AG62" ca="1">_xlfn.XLOOKUP($A62,    INDIRECT("'" &amp; AG$16 &amp; "'!$A$20:$A$219"),    _xlfn.XLOOKUP(AG$18,INDIRECT("'" &amp; AG$16 &amp; "'!$B$18:$BC$18"), INDIRECT("'" &amp; AG$16 &amp; "'!$B$20:$BC$219"),"XXXXX",0,1),    "XX",    0,    1)</f>
        <v>15</v>
      </c>
      <c r="AH62" s="8" cm="1">
        <f t="array" aca="1" ref="AH62" ca="1">_xlfn.XLOOKUP($A62,    INDIRECT("'" &amp; AH$16 &amp; "'!$A$20:$A$219"),    _xlfn.XLOOKUP(AH$18,INDIRECT("'" &amp; AH$16 &amp; "'!$B$18:$BC$18"), INDIRECT("'" &amp; AH$16 &amp; "'!$B$20:$BC$219"),"XXXXX",0,1),    "XX",    0,    1)</f>
        <v>19</v>
      </c>
      <c r="AI62" s="8" cm="1">
        <f t="array" aca="1" ref="AI62" ca="1">_xlfn.XLOOKUP($A62,    INDIRECT("'" &amp; AI$16 &amp; "'!$A$20:$A$219"),    _xlfn.XLOOKUP(AI$18,INDIRECT("'" &amp; AI$16 &amp; "'!$B$18:$BC$18"), INDIRECT("'" &amp; AI$16 &amp; "'!$B$20:$BC$219"),"XXXXX",0,1),    "XX",    0,    1)</f>
        <v>19</v>
      </c>
      <c r="AJ62" s="8" cm="1">
        <f t="array" aca="1" ref="AJ62" ca="1">_xlfn.XLOOKUP($A62,    INDIRECT("'" &amp; AJ$16 &amp; "'!$A$20:$A$219"),    _xlfn.XLOOKUP(AJ$18,INDIRECT("'" &amp; AJ$16 &amp; "'!$B$18:$BC$18"), INDIRECT("'" &amp; AJ$16 &amp; "'!$B$20:$BC$219"),"XXXXX",0,1),    "XX",    0,    1)</f>
        <v>19</v>
      </c>
      <c r="AK62" s="8" cm="1">
        <f t="array" aca="1" ref="AK62" ca="1">_xlfn.XLOOKUP($A62,    INDIRECT("'" &amp; AK$16 &amp; "'!$A$20:$A$219"),    _xlfn.XLOOKUP(AK$18,INDIRECT("'" &amp; AK$16 &amp; "'!$B$18:$BC$18"), INDIRECT("'" &amp; AK$16 &amp; "'!$B$20:$BC$219"),"XXXXX",0,1),    "XX",    0,    1)</f>
        <v>19</v>
      </c>
      <c r="AM62" s="16"/>
      <c r="AW62" s="8">
        <v>1</v>
      </c>
      <c r="AX62" s="8">
        <f t="shared" ca="1" si="24"/>
        <v>1.5</v>
      </c>
      <c r="AY62" s="8">
        <f t="shared" ca="1" si="29"/>
        <v>1.5</v>
      </c>
      <c r="AZ62" s="8">
        <f t="shared" ca="1" si="30"/>
        <v>1.9</v>
      </c>
      <c r="BA62" s="8">
        <f t="shared" ca="1" si="31"/>
        <v>1.9</v>
      </c>
      <c r="BB62" s="8">
        <f t="shared" ca="1" si="32"/>
        <v>1.9</v>
      </c>
      <c r="BC62" s="8">
        <f t="shared" ca="1" si="33"/>
        <v>1.9</v>
      </c>
      <c r="BE62" s="8">
        <f t="shared" ca="1" si="26"/>
        <v>0</v>
      </c>
      <c r="BF62" s="8">
        <f t="shared" ca="1" si="27"/>
        <v>0</v>
      </c>
      <c r="BG62" s="8">
        <f t="shared" ca="1" si="28"/>
        <v>0</v>
      </c>
    </row>
    <row r="63" spans="1:59" x14ac:dyDescent="0.2">
      <c r="A63" s="8" t="s">
        <v>141</v>
      </c>
      <c r="B63" s="8" t="s">
        <v>265</v>
      </c>
      <c r="C63" s="8">
        <v>-30.1</v>
      </c>
      <c r="D63" s="8">
        <v>480956.4</v>
      </c>
      <c r="E63" s="8">
        <v>5968146</v>
      </c>
      <c r="F63" s="8">
        <v>0</v>
      </c>
      <c r="G63" s="8">
        <v>-0.6</v>
      </c>
      <c r="H63" s="8">
        <v>0</v>
      </c>
      <c r="I63" s="8">
        <v>2</v>
      </c>
      <c r="J63" s="8">
        <v>0</v>
      </c>
      <c r="K63" s="8">
        <v>-60</v>
      </c>
      <c r="L63" s="8">
        <v>29.9</v>
      </c>
      <c r="M63" s="8">
        <v>1449.6030000000001</v>
      </c>
      <c r="N63" s="8">
        <v>85.4</v>
      </c>
      <c r="O63" s="8">
        <v>8</v>
      </c>
      <c r="P63" s="8">
        <v>10</v>
      </c>
      <c r="Q63" s="8">
        <v>2.93</v>
      </c>
      <c r="R63" s="8">
        <v>64</v>
      </c>
      <c r="S63" s="8">
        <v>110</v>
      </c>
      <c r="T63" s="3">
        <v>147</v>
      </c>
      <c r="U63" s="8">
        <v>1296.2090000000001</v>
      </c>
      <c r="V63" s="8">
        <v>549.82899999999995</v>
      </c>
      <c r="W63" s="8">
        <v>752.85199999999998</v>
      </c>
      <c r="X63" s="8">
        <v>132.18100000000001</v>
      </c>
      <c r="Y63" s="8">
        <v>4.9400000000000004</v>
      </c>
      <c r="Z63" s="8">
        <v>8.0150000000000006</v>
      </c>
      <c r="AA63" s="8">
        <v>21.7</v>
      </c>
      <c r="AB63" s="8">
        <v>290.5</v>
      </c>
      <c r="AC63" s="8">
        <v>12301</v>
      </c>
      <c r="AD63" s="8">
        <v>2883</v>
      </c>
      <c r="AE63" s="8">
        <v>268</v>
      </c>
      <c r="AF63" s="8" cm="1">
        <f t="array" aca="1" ref="AF63" ca="1">_xlfn.XLOOKUP($A63,    INDIRECT("'" &amp; AF$16 &amp; "'!$A$20:$A$219"),    _xlfn.XLOOKUP(AF$18,INDIRECT("'" &amp; AF$16 &amp; "'!$B$18:$BC$18"), INDIRECT("'" &amp; AF$16 &amp; "'!$B$20:$BC$219"),"XXXXX",0,1),    "XX",    0,    1)</f>
        <v>15</v>
      </c>
      <c r="AG63" s="8" cm="1">
        <f t="array" aca="1" ref="AG63" ca="1">_xlfn.XLOOKUP($A63,    INDIRECT("'" &amp; AG$16 &amp; "'!$A$20:$A$219"),    _xlfn.XLOOKUP(AG$18,INDIRECT("'" &amp; AG$16 &amp; "'!$B$18:$BC$18"), INDIRECT("'" &amp; AG$16 &amp; "'!$B$20:$BC$219"),"XXXXX",0,1),    "XX",    0,    1)</f>
        <v>15</v>
      </c>
      <c r="AH63" s="8" cm="1">
        <f t="array" aca="1" ref="AH63" ca="1">_xlfn.XLOOKUP($A63,    INDIRECT("'" &amp; AH$16 &amp; "'!$A$20:$A$219"),    _xlfn.XLOOKUP(AH$18,INDIRECT("'" &amp; AH$16 &amp; "'!$B$18:$BC$18"), INDIRECT("'" &amp; AH$16 &amp; "'!$B$20:$BC$219"),"XXXXX",0,1),    "XX",    0,    1)</f>
        <v>19</v>
      </c>
      <c r="AI63" s="8" cm="1">
        <f t="array" aca="1" ref="AI63" ca="1">_xlfn.XLOOKUP($A63,    INDIRECT("'" &amp; AI$16 &amp; "'!$A$20:$A$219"),    _xlfn.XLOOKUP(AI$18,INDIRECT("'" &amp; AI$16 &amp; "'!$B$18:$BC$18"), INDIRECT("'" &amp; AI$16 &amp; "'!$B$20:$BC$219"),"XXXXX",0,1),    "XX",    0,    1)</f>
        <v>19</v>
      </c>
      <c r="AJ63" s="8" cm="1">
        <f t="array" aca="1" ref="AJ63" ca="1">_xlfn.XLOOKUP($A63,    INDIRECT("'" &amp; AJ$16 &amp; "'!$A$20:$A$219"),    _xlfn.XLOOKUP(AJ$18,INDIRECT("'" &amp; AJ$16 &amp; "'!$B$18:$BC$18"), INDIRECT("'" &amp; AJ$16 &amp; "'!$B$20:$BC$219"),"XXXXX",0,1),    "XX",    0,    1)</f>
        <v>21</v>
      </c>
      <c r="AK63" s="8" cm="1">
        <f t="array" aca="1" ref="AK63" ca="1">_xlfn.XLOOKUP($A63,    INDIRECT("'" &amp; AK$16 &amp; "'!$A$20:$A$219"),    _xlfn.XLOOKUP(AK$18,INDIRECT("'" &amp; AK$16 &amp; "'!$B$18:$BC$18"), INDIRECT("'" &amp; AK$16 &amp; "'!$B$20:$BC$219"),"XXXXX",0,1),    "XX",    0,    1)</f>
        <v>21</v>
      </c>
      <c r="AM63" s="16"/>
      <c r="AW63" s="8">
        <v>1</v>
      </c>
      <c r="AX63" s="8">
        <f t="shared" ca="1" si="24"/>
        <v>1.5</v>
      </c>
      <c r="AY63" s="8">
        <f t="shared" ca="1" si="29"/>
        <v>1.5</v>
      </c>
      <c r="AZ63" s="8">
        <f t="shared" ca="1" si="30"/>
        <v>1.9</v>
      </c>
      <c r="BA63" s="8">
        <f t="shared" ca="1" si="31"/>
        <v>1.9</v>
      </c>
      <c r="BB63" s="8">
        <f t="shared" ca="1" si="32"/>
        <v>2.1</v>
      </c>
      <c r="BC63" s="8">
        <f t="shared" ca="1" si="33"/>
        <v>2.1</v>
      </c>
      <c r="BE63" s="8">
        <f t="shared" ca="1" si="26"/>
        <v>0</v>
      </c>
      <c r="BF63" s="8">
        <f t="shared" ca="1" si="27"/>
        <v>0</v>
      </c>
      <c r="BG63" s="8">
        <f t="shared" ca="1" si="28"/>
        <v>0</v>
      </c>
    </row>
    <row r="64" spans="1:59" x14ac:dyDescent="0.2">
      <c r="A64" s="8" t="s">
        <v>87</v>
      </c>
      <c r="B64" s="8" t="s">
        <v>265</v>
      </c>
      <c r="C64" s="8">
        <v>-37.299999999999997</v>
      </c>
      <c r="D64" s="8">
        <v>480018</v>
      </c>
      <c r="E64" s="8">
        <v>5972470</v>
      </c>
      <c r="F64" s="8">
        <v>0</v>
      </c>
      <c r="G64" s="8">
        <v>-0.6</v>
      </c>
      <c r="H64" s="8">
        <v>0</v>
      </c>
      <c r="I64" s="8">
        <v>2</v>
      </c>
      <c r="J64" s="8">
        <v>0</v>
      </c>
      <c r="K64" s="8">
        <v>-62.8</v>
      </c>
      <c r="L64" s="8">
        <v>25.5</v>
      </c>
      <c r="M64" s="8">
        <v>1623.779</v>
      </c>
      <c r="N64" s="8">
        <v>88.2</v>
      </c>
      <c r="O64" s="8">
        <v>8</v>
      </c>
      <c r="P64" s="8">
        <v>10</v>
      </c>
      <c r="Q64" s="8">
        <v>2.4900000000000002</v>
      </c>
      <c r="R64" s="8">
        <v>68</v>
      </c>
      <c r="S64" s="8">
        <v>110</v>
      </c>
      <c r="T64" s="3">
        <v>147</v>
      </c>
      <c r="U64" s="8">
        <v>1295.3920000000001</v>
      </c>
      <c r="V64" s="8">
        <v>452.86700000000002</v>
      </c>
      <c r="W64" s="8">
        <v>752.85199999999998</v>
      </c>
      <c r="X64" s="8">
        <v>132.18100000000001</v>
      </c>
      <c r="Y64" s="8">
        <v>4.9400000000000004</v>
      </c>
      <c r="Z64" s="8">
        <v>8.0150000000000006</v>
      </c>
      <c r="AA64" s="8">
        <v>21.7</v>
      </c>
      <c r="AB64" s="8">
        <v>290.5</v>
      </c>
      <c r="AC64" s="8">
        <v>12472</v>
      </c>
      <c r="AD64" s="8">
        <v>3329</v>
      </c>
      <c r="AE64" s="8">
        <v>268</v>
      </c>
      <c r="AF64" s="8" cm="1">
        <f t="array" aca="1" ref="AF64" ca="1">_xlfn.XLOOKUP($A64,    INDIRECT("'" &amp; AF$16 &amp; "'!$A$20:$A$219"),    _xlfn.XLOOKUP(AF$18,INDIRECT("'" &amp; AF$16 &amp; "'!$B$18:$BC$18"), INDIRECT("'" &amp; AF$16 &amp; "'!$B$20:$BC$219"),"XXXXX",0,1),    "XX",    0,    1)</f>
        <v>15</v>
      </c>
      <c r="AG64" s="8" cm="1">
        <f t="array" aca="1" ref="AG64" ca="1">_xlfn.XLOOKUP($A64,    INDIRECT("'" &amp; AG$16 &amp; "'!$A$20:$A$219"),    _xlfn.XLOOKUP(AG$18,INDIRECT("'" &amp; AG$16 &amp; "'!$B$18:$BC$18"), INDIRECT("'" &amp; AG$16 &amp; "'!$B$20:$BC$219"),"XXXXX",0,1),    "XX",    0,    1)</f>
        <v>15</v>
      </c>
      <c r="AH64" s="8" cm="1">
        <f t="array" aca="1" ref="AH64" ca="1">_xlfn.XLOOKUP($A64,    INDIRECT("'" &amp; AH$16 &amp; "'!$A$20:$A$219"),    _xlfn.XLOOKUP(AH$18,INDIRECT("'" &amp; AH$16 &amp; "'!$B$18:$BC$18"), INDIRECT("'" &amp; AH$16 &amp; "'!$B$20:$BC$219"),"XXXXX",0,1),    "XX",    0,    1)</f>
        <v>15</v>
      </c>
      <c r="AI64" s="8" cm="1">
        <f t="array" aca="1" ref="AI64" ca="1">_xlfn.XLOOKUP($A64,    INDIRECT("'" &amp; AI$16 &amp; "'!$A$20:$A$219"),    _xlfn.XLOOKUP(AI$18,INDIRECT("'" &amp; AI$16 &amp; "'!$B$18:$BC$18"), INDIRECT("'" &amp; AI$16 &amp; "'!$B$20:$BC$219"),"XXXXX",0,1),    "XX",    0,    1)</f>
        <v>15</v>
      </c>
      <c r="AJ64" s="8" cm="1">
        <f t="array" aca="1" ref="AJ64" ca="1">_xlfn.XLOOKUP($A64,    INDIRECT("'" &amp; AJ$16 &amp; "'!$A$20:$A$219"),    _xlfn.XLOOKUP(AJ$18,INDIRECT("'" &amp; AJ$16 &amp; "'!$B$18:$BC$18"), INDIRECT("'" &amp; AJ$16 &amp; "'!$B$20:$BC$219"),"XXXXX",0,1),    "XX",    0,    1)</f>
        <v>17</v>
      </c>
      <c r="AK64" s="8" cm="1">
        <f t="array" aca="1" ref="AK64" ca="1">_xlfn.XLOOKUP($A64,    INDIRECT("'" &amp; AK$16 &amp; "'!$A$20:$A$219"),    _xlfn.XLOOKUP(AK$18,INDIRECT("'" &amp; AK$16 &amp; "'!$B$18:$BC$18"), INDIRECT("'" &amp; AK$16 &amp; "'!$B$20:$BC$219"),"XXXXX",0,1),    "XX",    0,    1)</f>
        <v>17</v>
      </c>
      <c r="AM64" s="16"/>
      <c r="AW64" s="8">
        <v>1</v>
      </c>
      <c r="AX64" s="8">
        <f t="shared" ca="1" si="24"/>
        <v>1.5</v>
      </c>
      <c r="AY64" s="8">
        <f t="shared" ca="1" si="29"/>
        <v>1.5</v>
      </c>
      <c r="AZ64" s="8">
        <f t="shared" ca="1" si="30"/>
        <v>1.5</v>
      </c>
      <c r="BA64" s="8">
        <f t="shared" ca="1" si="31"/>
        <v>1.5</v>
      </c>
      <c r="BB64" s="8">
        <f t="shared" ca="1" si="32"/>
        <v>1.7</v>
      </c>
      <c r="BC64" s="8">
        <f t="shared" ca="1" si="33"/>
        <v>1.7</v>
      </c>
      <c r="BE64" s="8">
        <f t="shared" ca="1" si="26"/>
        <v>0</v>
      </c>
      <c r="BF64" s="8">
        <f t="shared" ca="1" si="27"/>
        <v>0</v>
      </c>
      <c r="BG64" s="8">
        <f t="shared" ca="1" si="28"/>
        <v>0</v>
      </c>
    </row>
    <row r="65" spans="1:59" x14ac:dyDescent="0.2">
      <c r="A65" s="8" t="s">
        <v>186</v>
      </c>
      <c r="B65" s="8" t="s">
        <v>265</v>
      </c>
      <c r="C65" s="8">
        <v>-36.5</v>
      </c>
      <c r="D65" s="8">
        <v>457556</v>
      </c>
      <c r="E65" s="8">
        <v>5966844.7999999998</v>
      </c>
      <c r="F65" s="8">
        <v>0</v>
      </c>
      <c r="G65" s="8">
        <v>-0.6</v>
      </c>
      <c r="H65" s="8">
        <v>0</v>
      </c>
      <c r="I65" s="8">
        <v>2</v>
      </c>
      <c r="J65" s="8">
        <v>0</v>
      </c>
      <c r="K65" s="8">
        <v>-67</v>
      </c>
      <c r="L65" s="8">
        <v>30.5</v>
      </c>
      <c r="M65" s="8">
        <v>1708.25</v>
      </c>
      <c r="N65" s="8">
        <v>92.4</v>
      </c>
      <c r="O65" s="8">
        <v>8</v>
      </c>
      <c r="P65" s="8">
        <v>10.5</v>
      </c>
      <c r="Q65" s="8">
        <v>2.8475999999999999</v>
      </c>
      <c r="R65" s="8">
        <v>70</v>
      </c>
      <c r="S65" s="8">
        <v>112</v>
      </c>
      <c r="T65" s="3">
        <v>146</v>
      </c>
      <c r="U65" s="8">
        <v>1406.347</v>
      </c>
      <c r="V65" s="8">
        <v>356.14400000000001</v>
      </c>
      <c r="W65" s="8">
        <v>752.85199999999998</v>
      </c>
      <c r="X65" s="8">
        <v>132.18100000000001</v>
      </c>
      <c r="Y65" s="8">
        <v>4.9400000000000004</v>
      </c>
      <c r="Z65" s="8">
        <v>8.0150000000000006</v>
      </c>
      <c r="AA65" s="8">
        <v>21.7</v>
      </c>
      <c r="AB65" s="8">
        <v>290.5</v>
      </c>
      <c r="AC65" s="8">
        <v>12886</v>
      </c>
      <c r="AD65" s="8">
        <v>3342</v>
      </c>
      <c r="AE65" s="8">
        <v>268</v>
      </c>
      <c r="AF65" s="8" cm="1">
        <f t="array" aca="1" ref="AF65" ca="1">_xlfn.XLOOKUP($A65,    INDIRECT("'" &amp; AF$16 &amp; "'!$A$20:$A$219"),    _xlfn.XLOOKUP(AF$18,INDIRECT("'" &amp; AF$16 &amp; "'!$B$18:$BC$18"), INDIRECT("'" &amp; AF$16 &amp; "'!$B$20:$BC$219"),"XXXXX",0,1),    "XX",    0,    1)</f>
        <v>15</v>
      </c>
      <c r="AG65" s="8" cm="1">
        <f t="array" aca="1" ref="AG65" ca="1">_xlfn.XLOOKUP($A65,    INDIRECT("'" &amp; AG$16 &amp; "'!$A$20:$A$219"),    _xlfn.XLOOKUP(AG$18,INDIRECT("'" &amp; AG$16 &amp; "'!$B$18:$BC$18"), INDIRECT("'" &amp; AG$16 &amp; "'!$B$20:$BC$219"),"XXXXX",0,1),    "XX",    0,    1)</f>
        <v>15</v>
      </c>
      <c r="AH65" s="8" cm="1">
        <f t="array" aca="1" ref="AH65" ca="1">_xlfn.XLOOKUP($A65,    INDIRECT("'" &amp; AH$16 &amp; "'!$A$20:$A$219"),    _xlfn.XLOOKUP(AH$18,INDIRECT("'" &amp; AH$16 &amp; "'!$B$18:$BC$18"), INDIRECT("'" &amp; AH$16 &amp; "'!$B$20:$BC$219"),"XXXXX",0,1),    "XX",    0,    1)</f>
        <v>19</v>
      </c>
      <c r="AI65" s="8" cm="1">
        <f t="array" aca="1" ref="AI65" ca="1">_xlfn.XLOOKUP($A65,    INDIRECT("'" &amp; AI$16 &amp; "'!$A$20:$A$219"),    _xlfn.XLOOKUP(AI$18,INDIRECT("'" &amp; AI$16 &amp; "'!$B$18:$BC$18"), INDIRECT("'" &amp; AI$16 &amp; "'!$B$20:$BC$219"),"XXXXX",0,1),    "XX",    0,    1)</f>
        <v>19</v>
      </c>
      <c r="AJ65" s="8" cm="1">
        <f t="array" aca="1" ref="AJ65" ca="1">_xlfn.XLOOKUP($A65,    INDIRECT("'" &amp; AJ$16 &amp; "'!$A$20:$A$219"),    _xlfn.XLOOKUP(AJ$18,INDIRECT("'" &amp; AJ$16 &amp; "'!$B$18:$BC$18"), INDIRECT("'" &amp; AJ$16 &amp; "'!$B$20:$BC$219"),"XXXXX",0,1),    "XX",    0,    1)</f>
        <v>21</v>
      </c>
      <c r="AK65" s="8" cm="1">
        <f t="array" aca="1" ref="AK65" ca="1">_xlfn.XLOOKUP($A65,    INDIRECT("'" &amp; AK$16 &amp; "'!$A$20:$A$219"),    _xlfn.XLOOKUP(AK$18,INDIRECT("'" &amp; AK$16 &amp; "'!$B$18:$BC$18"), INDIRECT("'" &amp; AK$16 &amp; "'!$B$20:$BC$219"),"XXXXX",0,1),    "XX",    0,    1)</f>
        <v>21</v>
      </c>
      <c r="AM65" s="16"/>
      <c r="AW65" s="8">
        <v>1</v>
      </c>
      <c r="AX65" s="8">
        <f t="shared" ca="1" si="24"/>
        <v>1.4285714285714286</v>
      </c>
      <c r="AY65" s="8">
        <f t="shared" ca="1" si="29"/>
        <v>1.4285714285714286</v>
      </c>
      <c r="AZ65" s="8">
        <f t="shared" ca="1" si="30"/>
        <v>1.8095238095238095</v>
      </c>
      <c r="BA65" s="8">
        <f t="shared" ca="1" si="31"/>
        <v>1.8095238095238095</v>
      </c>
      <c r="BB65" s="8">
        <f t="shared" ca="1" si="32"/>
        <v>2</v>
      </c>
      <c r="BC65" s="8">
        <f t="shared" ca="1" si="33"/>
        <v>2</v>
      </c>
      <c r="BE65" s="8">
        <f t="shared" ca="1" si="26"/>
        <v>0</v>
      </c>
      <c r="BF65" s="8">
        <f t="shared" ca="1" si="27"/>
        <v>0</v>
      </c>
      <c r="BG65" s="8">
        <f t="shared" ca="1" si="28"/>
        <v>0</v>
      </c>
    </row>
    <row r="66" spans="1:59" x14ac:dyDescent="0.2">
      <c r="A66" s="8" t="s">
        <v>17</v>
      </c>
      <c r="B66" s="8" t="s">
        <v>269</v>
      </c>
      <c r="C66" s="8">
        <v>-36.6</v>
      </c>
      <c r="D66" s="8">
        <v>462946.7</v>
      </c>
      <c r="E66" s="8">
        <v>5964506.7000000002</v>
      </c>
      <c r="F66" s="8">
        <v>0</v>
      </c>
      <c r="G66" s="8">
        <v>-0.7</v>
      </c>
      <c r="H66" s="8">
        <v>0</v>
      </c>
      <c r="I66" s="8">
        <v>2</v>
      </c>
      <c r="J66" s="8">
        <v>0</v>
      </c>
      <c r="K66" s="8">
        <v>-70.7</v>
      </c>
      <c r="L66" s="8">
        <v>34.1</v>
      </c>
      <c r="M66" s="8">
        <v>1825.818</v>
      </c>
      <c r="N66" s="8">
        <v>96.1</v>
      </c>
      <c r="O66" s="8">
        <v>8</v>
      </c>
      <c r="P66" s="8">
        <v>10</v>
      </c>
      <c r="Q66" s="8">
        <v>3.34</v>
      </c>
      <c r="R66" s="8">
        <v>68</v>
      </c>
      <c r="S66" s="8">
        <v>110</v>
      </c>
      <c r="T66" s="3">
        <v>147</v>
      </c>
      <c r="U66" s="8">
        <v>1419.761</v>
      </c>
      <c r="V66" s="8">
        <v>514.55499999999995</v>
      </c>
      <c r="W66" s="8">
        <v>752.85199999999998</v>
      </c>
      <c r="X66" s="8">
        <v>132.18100000000001</v>
      </c>
      <c r="Y66" s="8">
        <v>4.9400000000000004</v>
      </c>
      <c r="Z66" s="8">
        <v>8.0150000000000006</v>
      </c>
      <c r="AA66" s="8">
        <v>21.7</v>
      </c>
      <c r="AB66" s="8">
        <v>290.5</v>
      </c>
      <c r="AC66" s="8">
        <v>12964</v>
      </c>
      <c r="AD66" s="8">
        <v>3285</v>
      </c>
      <c r="AE66" s="8">
        <v>268</v>
      </c>
      <c r="AF66" s="8" cm="1">
        <f t="array" aca="1" ref="AF66" ca="1">_xlfn.XLOOKUP($A66,    INDIRECT("'" &amp; AF$16 &amp; "'!$A$20:$A$219"),    _xlfn.XLOOKUP(AF$18,INDIRECT("'" &amp; AF$16 &amp; "'!$B$18:$BC$18"), INDIRECT("'" &amp; AF$16 &amp; "'!$B$20:$BC$219"),"XXXXX",0,1),    "XX",    0,    1)</f>
        <v>19</v>
      </c>
      <c r="AG66" s="8" cm="1">
        <f t="array" aca="1" ref="AG66" ca="1">_xlfn.XLOOKUP($A66,    INDIRECT("'" &amp; AG$16 &amp; "'!$A$20:$A$219"),    _xlfn.XLOOKUP(AG$18,INDIRECT("'" &amp; AG$16 &amp; "'!$B$18:$BC$18"), INDIRECT("'" &amp; AG$16 &amp; "'!$B$20:$BC$219"),"XXXXX",0,1),    "XX",    0,    1)</f>
        <v>19</v>
      </c>
      <c r="AH66" s="8" cm="1">
        <f t="array" aca="1" ref="AH66" ca="1">_xlfn.XLOOKUP($A66,    INDIRECT("'" &amp; AH$16 &amp; "'!$A$20:$A$219"),    _xlfn.XLOOKUP(AH$18,INDIRECT("'" &amp; AH$16 &amp; "'!$B$18:$BC$18"), INDIRECT("'" &amp; AH$16 &amp; "'!$B$20:$BC$219"),"XXXXX",0,1),    "XX",    0,    1)</f>
        <v>23</v>
      </c>
      <c r="AI66" s="8" cm="1">
        <f t="array" aca="1" ref="AI66" ca="1">_xlfn.XLOOKUP($A66,    INDIRECT("'" &amp; AI$16 &amp; "'!$A$20:$A$219"),    _xlfn.XLOOKUP(AI$18,INDIRECT("'" &amp; AI$16 &amp; "'!$B$18:$BC$18"), INDIRECT("'" &amp; AI$16 &amp; "'!$B$20:$BC$219"),"XXXXX",0,1),    "XX",    0,    1)</f>
        <v>23</v>
      </c>
      <c r="AJ66" s="8" cm="1">
        <f t="array" aca="1" ref="AJ66" ca="1">_xlfn.XLOOKUP($A66,    INDIRECT("'" &amp; AJ$16 &amp; "'!$A$20:$A$219"),    _xlfn.XLOOKUP(AJ$18,INDIRECT("'" &amp; AJ$16 &amp; "'!$B$18:$BC$18"), INDIRECT("'" &amp; AJ$16 &amp; "'!$B$20:$BC$219"),"XXXXX",0,1),    "XX",    0,    1)</f>
        <v>24.6</v>
      </c>
      <c r="AK66" s="8" cm="1">
        <f t="array" aca="1" ref="AK66" ca="1">_xlfn.XLOOKUP($A66,    INDIRECT("'" &amp; AK$16 &amp; "'!$A$20:$A$219"),    _xlfn.XLOOKUP(AK$18,INDIRECT("'" &amp; AK$16 &amp; "'!$B$18:$BC$18"), INDIRECT("'" &amp; AK$16 &amp; "'!$B$20:$BC$219"),"XXXXX",0,1),    "XX",    0,    1)</f>
        <v>24.6</v>
      </c>
      <c r="AM66" s="16"/>
      <c r="AW66" s="8">
        <v>1</v>
      </c>
      <c r="AX66" s="8">
        <f t="shared" ca="1" si="24"/>
        <v>1.9</v>
      </c>
      <c r="AY66" s="8">
        <f t="shared" ca="1" si="29"/>
        <v>1.9</v>
      </c>
      <c r="AZ66" s="8">
        <f t="shared" ca="1" si="30"/>
        <v>2.2999999999999998</v>
      </c>
      <c r="BA66" s="8">
        <f t="shared" ca="1" si="31"/>
        <v>2.2999999999999998</v>
      </c>
      <c r="BB66" s="8">
        <f t="shared" ca="1" si="32"/>
        <v>2.46</v>
      </c>
      <c r="BC66" s="8">
        <f t="shared" ca="1" si="33"/>
        <v>2.46</v>
      </c>
      <c r="BE66" s="8">
        <f t="shared" ca="1" si="26"/>
        <v>0</v>
      </c>
      <c r="BF66" s="8">
        <f t="shared" ca="1" si="27"/>
        <v>0</v>
      </c>
      <c r="BG66" s="8">
        <f t="shared" ca="1" si="28"/>
        <v>0</v>
      </c>
    </row>
    <row r="67" spans="1:59" x14ac:dyDescent="0.2">
      <c r="A67" s="8" t="s">
        <v>75</v>
      </c>
      <c r="B67" s="8" t="s">
        <v>269</v>
      </c>
      <c r="C67" s="8">
        <v>-33.1</v>
      </c>
      <c r="D67" s="8">
        <v>465969.2</v>
      </c>
      <c r="E67" s="8">
        <v>5962923.9000000004</v>
      </c>
      <c r="F67" s="8">
        <v>0</v>
      </c>
      <c r="G67" s="8">
        <v>-0.7</v>
      </c>
      <c r="H67" s="8">
        <v>0</v>
      </c>
      <c r="I67" s="8">
        <v>2</v>
      </c>
      <c r="J67" s="8">
        <v>0</v>
      </c>
      <c r="K67" s="8">
        <v>-64.099999999999994</v>
      </c>
      <c r="L67" s="8">
        <v>31</v>
      </c>
      <c r="M67" s="8">
        <v>1587.2950000000001</v>
      </c>
      <c r="N67" s="8">
        <v>89.5</v>
      </c>
      <c r="O67" s="8">
        <v>8</v>
      </c>
      <c r="P67" s="8">
        <v>10</v>
      </c>
      <c r="Q67" s="8">
        <v>3.03</v>
      </c>
      <c r="R67" s="8">
        <v>68</v>
      </c>
      <c r="S67" s="8">
        <v>110</v>
      </c>
      <c r="T67" s="3">
        <v>147</v>
      </c>
      <c r="U67" s="8">
        <v>1358.123</v>
      </c>
      <c r="V67" s="8">
        <v>546.82600000000002</v>
      </c>
      <c r="W67" s="8">
        <v>752.85199999999998</v>
      </c>
      <c r="X67" s="8">
        <v>132.18100000000001</v>
      </c>
      <c r="Y67" s="8">
        <v>4.9400000000000004</v>
      </c>
      <c r="Z67" s="8">
        <v>8.0150000000000006</v>
      </c>
      <c r="AA67" s="8">
        <v>21.7</v>
      </c>
      <c r="AB67" s="8">
        <v>290.5</v>
      </c>
      <c r="AC67" s="8">
        <v>12555</v>
      </c>
      <c r="AD67" s="8">
        <v>3068</v>
      </c>
      <c r="AE67" s="8">
        <v>268</v>
      </c>
      <c r="AF67" s="8" cm="1">
        <f t="array" aca="1" ref="AF67" ca="1">_xlfn.XLOOKUP($A67,    INDIRECT("'" &amp; AF$16 &amp; "'!$A$20:$A$219"),    _xlfn.XLOOKUP(AF$18,INDIRECT("'" &amp; AF$16 &amp; "'!$B$18:$BC$18"), INDIRECT("'" &amp; AF$16 &amp; "'!$B$20:$BC$219"),"XXXXX",0,1),    "XX",    0,    1)</f>
        <v>17</v>
      </c>
      <c r="AG67" s="8" cm="1">
        <f t="array" aca="1" ref="AG67" ca="1">_xlfn.XLOOKUP($A67,    INDIRECT("'" &amp; AG$16 &amp; "'!$A$20:$A$219"),    _xlfn.XLOOKUP(AG$18,INDIRECT("'" &amp; AG$16 &amp; "'!$B$18:$BC$18"), INDIRECT("'" &amp; AG$16 &amp; "'!$B$20:$BC$219"),"XXXXX",0,1),    "XX",    0,    1)</f>
        <v>17</v>
      </c>
      <c r="AH67" s="8" cm="1">
        <f t="array" aca="1" ref="AH67" ca="1">_xlfn.XLOOKUP($A67,    INDIRECT("'" &amp; AH$16 &amp; "'!$A$20:$A$219"),    _xlfn.XLOOKUP(AH$18,INDIRECT("'" &amp; AH$16 &amp; "'!$B$18:$BC$18"), INDIRECT("'" &amp; AH$16 &amp; "'!$B$20:$BC$219"),"XXXXX",0,1),    "XX",    0,    1)</f>
        <v>21</v>
      </c>
      <c r="AI67" s="8" cm="1">
        <f t="array" aca="1" ref="AI67" ca="1">_xlfn.XLOOKUP($A67,    INDIRECT("'" &amp; AI$16 &amp; "'!$A$20:$A$219"),    _xlfn.XLOOKUP(AI$18,INDIRECT("'" &amp; AI$16 &amp; "'!$B$18:$BC$18"), INDIRECT("'" &amp; AI$16 &amp; "'!$B$20:$BC$219"),"XXXXX",0,1),    "XX",    0,    1)</f>
        <v>21</v>
      </c>
      <c r="AJ67" s="8" cm="1">
        <f t="array" aca="1" ref="AJ67" ca="1">_xlfn.XLOOKUP($A67,    INDIRECT("'" &amp; AJ$16 &amp; "'!$A$20:$A$219"),    _xlfn.XLOOKUP(AJ$18,INDIRECT("'" &amp; AJ$16 &amp; "'!$B$18:$BC$18"), INDIRECT("'" &amp; AJ$16 &amp; "'!$B$20:$BC$219"),"XXXXX",0,1),    "XX",    0,    1)</f>
        <v>21</v>
      </c>
      <c r="AK67" s="8" cm="1">
        <f t="array" aca="1" ref="AK67" ca="1">_xlfn.XLOOKUP($A67,    INDIRECT("'" &amp; AK$16 &amp; "'!$A$20:$A$219"),    _xlfn.XLOOKUP(AK$18,INDIRECT("'" &amp; AK$16 &amp; "'!$B$18:$BC$18"), INDIRECT("'" &amp; AK$16 &amp; "'!$B$20:$BC$219"),"XXXXX",0,1),    "XX",    0,    1)</f>
        <v>21</v>
      </c>
      <c r="AM67" s="16"/>
      <c r="AW67" s="8">
        <v>1</v>
      </c>
      <c r="AX67" s="8">
        <f t="shared" ca="1" si="24"/>
        <v>1.7</v>
      </c>
      <c r="AY67" s="8">
        <f t="shared" ca="1" si="29"/>
        <v>1.7</v>
      </c>
      <c r="AZ67" s="8">
        <f t="shared" ca="1" si="30"/>
        <v>2.1</v>
      </c>
      <c r="BA67" s="8">
        <f t="shared" ca="1" si="31"/>
        <v>2.1</v>
      </c>
      <c r="BB67" s="8">
        <f t="shared" ca="1" si="32"/>
        <v>2.1</v>
      </c>
      <c r="BC67" s="8">
        <f t="shared" ca="1" si="33"/>
        <v>2.1</v>
      </c>
      <c r="BE67" s="8">
        <f t="shared" ca="1" si="26"/>
        <v>0</v>
      </c>
      <c r="BF67" s="8">
        <f t="shared" ca="1" si="27"/>
        <v>0</v>
      </c>
      <c r="BG67" s="8">
        <f t="shared" ca="1" si="28"/>
        <v>0</v>
      </c>
    </row>
    <row r="68" spans="1:59" x14ac:dyDescent="0.2">
      <c r="A68" s="8" t="s">
        <v>162</v>
      </c>
      <c r="B68" s="8" t="s">
        <v>265</v>
      </c>
      <c r="C68" s="8">
        <v>-29.5</v>
      </c>
      <c r="D68" s="8">
        <v>469781.5</v>
      </c>
      <c r="E68" s="8">
        <v>5960130.0999999996</v>
      </c>
      <c r="F68" s="8">
        <v>0</v>
      </c>
      <c r="G68" s="8">
        <v>-0.7</v>
      </c>
      <c r="H68" s="8">
        <v>0</v>
      </c>
      <c r="I68" s="8">
        <v>2</v>
      </c>
      <c r="J68" s="8">
        <v>0</v>
      </c>
      <c r="K68" s="8">
        <v>-57.7</v>
      </c>
      <c r="L68" s="8">
        <v>28.2</v>
      </c>
      <c r="M68" s="8">
        <v>1412.925</v>
      </c>
      <c r="N68" s="8">
        <v>83.1</v>
      </c>
      <c r="O68" s="8">
        <v>8</v>
      </c>
      <c r="P68" s="8">
        <v>10</v>
      </c>
      <c r="Q68" s="8">
        <v>2.75</v>
      </c>
      <c r="R68" s="8">
        <v>64</v>
      </c>
      <c r="S68" s="8">
        <v>110</v>
      </c>
      <c r="T68" s="3">
        <v>147</v>
      </c>
      <c r="U68" s="8">
        <v>1233.8040000000001</v>
      </c>
      <c r="V68" s="8">
        <v>430.87599999999998</v>
      </c>
      <c r="W68" s="8">
        <v>752.85199999999998</v>
      </c>
      <c r="X68" s="8">
        <v>132.18100000000001</v>
      </c>
      <c r="Y68" s="8">
        <v>4.9400000000000004</v>
      </c>
      <c r="Z68" s="8">
        <v>8.0150000000000006</v>
      </c>
      <c r="AA68" s="8">
        <v>21.7</v>
      </c>
      <c r="AB68" s="8">
        <v>290.5</v>
      </c>
      <c r="AC68" s="8">
        <v>12158</v>
      </c>
      <c r="AD68" s="8">
        <v>2845</v>
      </c>
      <c r="AE68" s="8">
        <v>268</v>
      </c>
      <c r="AF68" s="8" cm="1">
        <f t="array" aca="1" ref="AF68" ca="1">_xlfn.XLOOKUP($A68,    INDIRECT("'" &amp; AF$16 &amp; "'!$A$20:$A$219"),    _xlfn.XLOOKUP(AF$18,INDIRECT("'" &amp; AF$16 &amp; "'!$B$18:$BC$18"), INDIRECT("'" &amp; AF$16 &amp; "'!$B$20:$BC$219"),"XXXXX",0,1),    "XX",    0,    1)</f>
        <v>15</v>
      </c>
      <c r="AG68" s="8" cm="1">
        <f t="array" aca="1" ref="AG68" ca="1">_xlfn.XLOOKUP($A68,    INDIRECT("'" &amp; AG$16 &amp; "'!$A$20:$A$219"),    _xlfn.XLOOKUP(AG$18,INDIRECT("'" &amp; AG$16 &amp; "'!$B$18:$BC$18"), INDIRECT("'" &amp; AG$16 &amp; "'!$B$20:$BC$219"),"XXXXX",0,1),    "XX",    0,    1)</f>
        <v>15</v>
      </c>
      <c r="AH68" s="8" cm="1">
        <f t="array" aca="1" ref="AH68" ca="1">_xlfn.XLOOKUP($A68,    INDIRECT("'" &amp; AH$16 &amp; "'!$A$20:$A$219"),    _xlfn.XLOOKUP(AH$18,INDIRECT("'" &amp; AH$16 &amp; "'!$B$18:$BC$18"), INDIRECT("'" &amp; AH$16 &amp; "'!$B$20:$BC$219"),"XXXXX",0,1),    "XX",    0,    1)</f>
        <v>17</v>
      </c>
      <c r="AI68" s="8" cm="1">
        <f t="array" aca="1" ref="AI68" ca="1">_xlfn.XLOOKUP($A68,    INDIRECT("'" &amp; AI$16 &amp; "'!$A$20:$A$219"),    _xlfn.XLOOKUP(AI$18,INDIRECT("'" &amp; AI$16 &amp; "'!$B$18:$BC$18"), INDIRECT("'" &amp; AI$16 &amp; "'!$B$20:$BC$219"),"XXXXX",0,1),    "XX",    0,    1)</f>
        <v>17</v>
      </c>
      <c r="AJ68" s="8" cm="1">
        <f t="array" aca="1" ref="AJ68" ca="1">_xlfn.XLOOKUP($A68,    INDIRECT("'" &amp; AJ$16 &amp; "'!$A$20:$A$219"),    _xlfn.XLOOKUP(AJ$18,INDIRECT("'" &amp; AJ$16 &amp; "'!$B$18:$BC$18"), INDIRECT("'" &amp; AJ$16 &amp; "'!$B$20:$BC$219"),"XXXXX",0,1),    "XX",    0,    1)</f>
        <v>19</v>
      </c>
      <c r="AK68" s="8" cm="1">
        <f t="array" aca="1" ref="AK68" ca="1">_xlfn.XLOOKUP($A68,    INDIRECT("'" &amp; AK$16 &amp; "'!$A$20:$A$219"),    _xlfn.XLOOKUP(AK$18,INDIRECT("'" &amp; AK$16 &amp; "'!$B$18:$BC$18"), INDIRECT("'" &amp; AK$16 &amp; "'!$B$20:$BC$219"),"XXXXX",0,1),    "XX",    0,    1)</f>
        <v>19</v>
      </c>
      <c r="AM68" s="16"/>
      <c r="AW68" s="8">
        <v>1</v>
      </c>
      <c r="AX68" s="8">
        <f t="shared" ca="1" si="24"/>
        <v>1.5</v>
      </c>
      <c r="AY68" s="8">
        <f t="shared" ca="1" si="29"/>
        <v>1.5</v>
      </c>
      <c r="AZ68" s="8">
        <f t="shared" ca="1" si="30"/>
        <v>1.7</v>
      </c>
      <c r="BA68" s="8">
        <f t="shared" ca="1" si="31"/>
        <v>1.7</v>
      </c>
      <c r="BB68" s="8">
        <f t="shared" ca="1" si="32"/>
        <v>1.9</v>
      </c>
      <c r="BC68" s="8">
        <f t="shared" ca="1" si="33"/>
        <v>1.9</v>
      </c>
      <c r="BE68" s="8">
        <f t="shared" ca="1" si="26"/>
        <v>0</v>
      </c>
      <c r="BF68" s="8">
        <f t="shared" ca="1" si="27"/>
        <v>0</v>
      </c>
      <c r="BG68" s="8">
        <f t="shared" ca="1" si="28"/>
        <v>0</v>
      </c>
    </row>
    <row r="69" spans="1:59" x14ac:dyDescent="0.2">
      <c r="A69" s="8" t="s">
        <v>134</v>
      </c>
      <c r="B69" s="8" t="s">
        <v>265</v>
      </c>
      <c r="C69" s="8">
        <v>-30.7</v>
      </c>
      <c r="D69" s="8">
        <v>473047.2</v>
      </c>
      <c r="E69" s="8">
        <v>5958242.7000000002</v>
      </c>
      <c r="F69" s="8">
        <v>0</v>
      </c>
      <c r="G69" s="8">
        <v>-0.6</v>
      </c>
      <c r="H69" s="8">
        <v>0</v>
      </c>
      <c r="I69" s="8">
        <v>2</v>
      </c>
      <c r="J69" s="8">
        <v>0</v>
      </c>
      <c r="K69" s="8">
        <v>-60.6</v>
      </c>
      <c r="L69" s="8">
        <v>29.9</v>
      </c>
      <c r="M69" s="8">
        <v>1472.7049999999999</v>
      </c>
      <c r="N69" s="8">
        <v>86</v>
      </c>
      <c r="O69" s="8">
        <v>8</v>
      </c>
      <c r="P69" s="8">
        <v>10</v>
      </c>
      <c r="Q69" s="8">
        <v>2.93</v>
      </c>
      <c r="R69" s="8">
        <v>66</v>
      </c>
      <c r="S69" s="8">
        <v>110</v>
      </c>
      <c r="T69" s="3">
        <v>147</v>
      </c>
      <c r="U69" s="8">
        <v>1296.133</v>
      </c>
      <c r="V69" s="8">
        <v>611.76900000000001</v>
      </c>
      <c r="W69" s="8">
        <v>752.85199999999998</v>
      </c>
      <c r="X69" s="8">
        <v>132.18100000000001</v>
      </c>
      <c r="Y69" s="8">
        <v>4.9400000000000004</v>
      </c>
      <c r="Z69" s="8">
        <v>8.0150000000000006</v>
      </c>
      <c r="AA69" s="8">
        <v>21.7</v>
      </c>
      <c r="AB69" s="8">
        <v>290.5</v>
      </c>
      <c r="AC69" s="8">
        <v>12338</v>
      </c>
      <c r="AD69" s="8">
        <v>2920</v>
      </c>
      <c r="AE69" s="8">
        <v>268</v>
      </c>
      <c r="AF69" s="8" cm="1">
        <f t="array" aca="1" ref="AF69" ca="1">_xlfn.XLOOKUP($A69,    INDIRECT("'" &amp; AF$16 &amp; "'!$A$20:$A$219"),    _xlfn.XLOOKUP(AF$18,INDIRECT("'" &amp; AF$16 &amp; "'!$B$18:$BC$18"), INDIRECT("'" &amp; AF$16 &amp; "'!$B$20:$BC$219"),"XXXXX",0,1),    "XX",    0,    1)</f>
        <v>15</v>
      </c>
      <c r="AG69" s="8" cm="1">
        <f t="array" aca="1" ref="AG69" ca="1">_xlfn.XLOOKUP($A69,    INDIRECT("'" &amp; AG$16 &amp; "'!$A$20:$A$219"),    _xlfn.XLOOKUP(AG$18,INDIRECT("'" &amp; AG$16 &amp; "'!$B$18:$BC$18"), INDIRECT("'" &amp; AG$16 &amp; "'!$B$20:$BC$219"),"XXXXX",0,1),    "XX",    0,    1)</f>
        <v>15</v>
      </c>
      <c r="AH69" s="8" cm="1">
        <f t="array" aca="1" ref="AH69" ca="1">_xlfn.XLOOKUP($A69,    INDIRECT("'" &amp; AH$16 &amp; "'!$A$20:$A$219"),    _xlfn.XLOOKUP(AH$18,INDIRECT("'" &amp; AH$16 &amp; "'!$B$18:$BC$18"), INDIRECT("'" &amp; AH$16 &amp; "'!$B$20:$BC$219"),"XXXXX",0,1),    "XX",    0,    1)</f>
        <v>19</v>
      </c>
      <c r="AI69" s="8" cm="1">
        <f t="array" aca="1" ref="AI69" ca="1">_xlfn.XLOOKUP($A69,    INDIRECT("'" &amp; AI$16 &amp; "'!$A$20:$A$219"),    _xlfn.XLOOKUP(AI$18,INDIRECT("'" &amp; AI$16 &amp; "'!$B$18:$BC$18"), INDIRECT("'" &amp; AI$16 &amp; "'!$B$20:$BC$219"),"XXXXX",0,1),    "XX",    0,    1)</f>
        <v>19</v>
      </c>
      <c r="AJ69" s="8" cm="1">
        <f t="array" aca="1" ref="AJ69" ca="1">_xlfn.XLOOKUP($A69,    INDIRECT("'" &amp; AJ$16 &amp; "'!$A$20:$A$219"),    _xlfn.XLOOKUP(AJ$18,INDIRECT("'" &amp; AJ$16 &amp; "'!$B$18:$BC$18"), INDIRECT("'" &amp; AJ$16 &amp; "'!$B$20:$BC$219"),"XXXXX",0,1),    "XX",    0,    1)</f>
        <v>21</v>
      </c>
      <c r="AK69" s="8" cm="1">
        <f t="array" aca="1" ref="AK69" ca="1">_xlfn.XLOOKUP($A69,    INDIRECT("'" &amp; AK$16 &amp; "'!$A$20:$A$219"),    _xlfn.XLOOKUP(AK$18,INDIRECT("'" &amp; AK$16 &amp; "'!$B$18:$BC$18"), INDIRECT("'" &amp; AK$16 &amp; "'!$B$20:$BC$219"),"XXXXX",0,1),    "XX",    0,    1)</f>
        <v>21</v>
      </c>
      <c r="AM69" s="16"/>
      <c r="AW69" s="8">
        <v>1</v>
      </c>
      <c r="AX69" s="8">
        <f t="shared" ca="1" si="24"/>
        <v>1.5</v>
      </c>
      <c r="AY69" s="8">
        <f t="shared" ca="1" si="29"/>
        <v>1.5</v>
      </c>
      <c r="AZ69" s="8">
        <f t="shared" ca="1" si="30"/>
        <v>1.9</v>
      </c>
      <c r="BA69" s="8">
        <f t="shared" ca="1" si="31"/>
        <v>1.9</v>
      </c>
      <c r="BB69" s="8">
        <f t="shared" ca="1" si="32"/>
        <v>2.1</v>
      </c>
      <c r="BC69" s="8">
        <f t="shared" ca="1" si="33"/>
        <v>2.1</v>
      </c>
      <c r="BE69" s="8">
        <f t="shared" ca="1" si="26"/>
        <v>0</v>
      </c>
      <c r="BF69" s="8">
        <f t="shared" ca="1" si="27"/>
        <v>0</v>
      </c>
      <c r="BG69" s="8">
        <f t="shared" ca="1" si="28"/>
        <v>0</v>
      </c>
    </row>
    <row r="70" spans="1:59" x14ac:dyDescent="0.2">
      <c r="A70" s="8" t="s">
        <v>109</v>
      </c>
      <c r="B70" s="8" t="s">
        <v>265</v>
      </c>
      <c r="C70" s="8">
        <v>-33.200000000000003</v>
      </c>
      <c r="D70" s="8">
        <v>475925.3</v>
      </c>
      <c r="E70" s="8">
        <v>5957007.4000000004</v>
      </c>
      <c r="F70" s="8">
        <v>0</v>
      </c>
      <c r="G70" s="8">
        <v>-0.7</v>
      </c>
      <c r="H70" s="8">
        <v>0</v>
      </c>
      <c r="I70" s="8">
        <v>2.4</v>
      </c>
      <c r="J70" s="8">
        <v>0</v>
      </c>
      <c r="K70" s="8">
        <v>-62.3</v>
      </c>
      <c r="L70" s="8">
        <v>29.1</v>
      </c>
      <c r="M70" s="8">
        <v>1544.097</v>
      </c>
      <c r="N70" s="8">
        <v>87.7</v>
      </c>
      <c r="O70" s="8">
        <v>8</v>
      </c>
      <c r="P70" s="8">
        <v>10</v>
      </c>
      <c r="Q70" s="8">
        <v>2.84</v>
      </c>
      <c r="R70" s="8">
        <v>68</v>
      </c>
      <c r="S70" s="8">
        <v>110</v>
      </c>
      <c r="T70" s="3">
        <v>147</v>
      </c>
      <c r="U70" s="8">
        <v>1295.8320000000001</v>
      </c>
      <c r="V70" s="8">
        <v>522.35900000000004</v>
      </c>
      <c r="W70" s="8">
        <v>752.85199999999998</v>
      </c>
      <c r="X70" s="8">
        <v>132.18100000000001</v>
      </c>
      <c r="Y70" s="8">
        <v>4.9400000000000004</v>
      </c>
      <c r="Z70" s="8">
        <v>8.0150000000000006</v>
      </c>
      <c r="AA70" s="8">
        <v>21.7</v>
      </c>
      <c r="AB70" s="8">
        <v>290.5</v>
      </c>
      <c r="AC70" s="8">
        <v>12443</v>
      </c>
      <c r="AD70" s="8">
        <v>3075</v>
      </c>
      <c r="AE70" s="8">
        <v>268</v>
      </c>
      <c r="AF70" s="8" cm="1">
        <f t="array" aca="1" ref="AF70" ca="1">_xlfn.XLOOKUP($A70,    INDIRECT("'" &amp; AF$16 &amp; "'!$A$20:$A$219"),    _xlfn.XLOOKUP(AF$18,INDIRECT("'" &amp; AF$16 &amp; "'!$B$18:$BC$18"), INDIRECT("'" &amp; AF$16 &amp; "'!$B$20:$BC$219"),"XXXXX",0,1),    "XX",    0,    1)</f>
        <v>15</v>
      </c>
      <c r="AG70" s="8" cm="1">
        <f t="array" aca="1" ref="AG70" ca="1">_xlfn.XLOOKUP($A70,    INDIRECT("'" &amp; AG$16 &amp; "'!$A$20:$A$219"),    _xlfn.XLOOKUP(AG$18,INDIRECT("'" &amp; AG$16 &amp; "'!$B$18:$BC$18"), INDIRECT("'" &amp; AG$16 &amp; "'!$B$20:$BC$219"),"XXXXX",0,1),    "XX",    0,    1)</f>
        <v>15</v>
      </c>
      <c r="AH70" s="8" cm="1">
        <f t="array" aca="1" ref="AH70" ca="1">_xlfn.XLOOKUP($A70,    INDIRECT("'" &amp; AH$16 &amp; "'!$A$20:$A$219"),    _xlfn.XLOOKUP(AH$18,INDIRECT("'" &amp; AH$16 &amp; "'!$B$18:$BC$18"), INDIRECT("'" &amp; AH$16 &amp; "'!$B$20:$BC$219"),"XXXXX",0,1),    "XX",    0,    1)</f>
        <v>19</v>
      </c>
      <c r="AI70" s="8" cm="1">
        <f t="array" aca="1" ref="AI70" ca="1">_xlfn.XLOOKUP($A70,    INDIRECT("'" &amp; AI$16 &amp; "'!$A$20:$A$219"),    _xlfn.XLOOKUP(AI$18,INDIRECT("'" &amp; AI$16 &amp; "'!$B$18:$BC$18"), INDIRECT("'" &amp; AI$16 &amp; "'!$B$20:$BC$219"),"XXXXX",0,1),    "XX",    0,    1)</f>
        <v>19</v>
      </c>
      <c r="AJ70" s="8" cm="1">
        <f t="array" aca="1" ref="AJ70" ca="1">_xlfn.XLOOKUP($A70,    INDIRECT("'" &amp; AJ$16 &amp; "'!$A$20:$A$219"),    _xlfn.XLOOKUP(AJ$18,INDIRECT("'" &amp; AJ$16 &amp; "'!$B$18:$BC$18"), INDIRECT("'" &amp; AJ$16 &amp; "'!$B$20:$BC$219"),"XXXXX",0,1),    "XX",    0,    1)</f>
        <v>19</v>
      </c>
      <c r="AK70" s="8" cm="1">
        <f t="array" aca="1" ref="AK70" ca="1">_xlfn.XLOOKUP($A70,    INDIRECT("'" &amp; AK$16 &amp; "'!$A$20:$A$219"),    _xlfn.XLOOKUP(AK$18,INDIRECT("'" &amp; AK$16 &amp; "'!$B$18:$BC$18"), INDIRECT("'" &amp; AK$16 &amp; "'!$B$20:$BC$219"),"XXXXX",0,1),    "XX",    0,    1)</f>
        <v>19</v>
      </c>
      <c r="AM70" s="16"/>
      <c r="AW70" s="8">
        <v>1</v>
      </c>
      <c r="AX70" s="8">
        <f t="shared" ca="1" si="24"/>
        <v>1.5</v>
      </c>
      <c r="AY70" s="8">
        <f t="shared" ca="1" si="29"/>
        <v>1.5</v>
      </c>
      <c r="AZ70" s="8">
        <f t="shared" ca="1" si="30"/>
        <v>1.9</v>
      </c>
      <c r="BA70" s="8">
        <f t="shared" ca="1" si="31"/>
        <v>1.9</v>
      </c>
      <c r="BB70" s="8">
        <f t="shared" ca="1" si="32"/>
        <v>1.9</v>
      </c>
      <c r="BC70" s="8">
        <f t="shared" ca="1" si="33"/>
        <v>1.9</v>
      </c>
      <c r="BE70" s="8">
        <f t="shared" ca="1" si="26"/>
        <v>0</v>
      </c>
      <c r="BF70" s="8">
        <f t="shared" ca="1" si="27"/>
        <v>0</v>
      </c>
      <c r="BG70" s="8">
        <f t="shared" ca="1" si="28"/>
        <v>0</v>
      </c>
    </row>
    <row r="71" spans="1:59" x14ac:dyDescent="0.2">
      <c r="A71" s="8" t="s">
        <v>136</v>
      </c>
      <c r="B71" s="8" t="s">
        <v>265</v>
      </c>
      <c r="C71" s="8">
        <v>-33.6</v>
      </c>
      <c r="D71" s="8">
        <v>479093.5</v>
      </c>
      <c r="E71" s="8">
        <v>5955279.5999999996</v>
      </c>
      <c r="F71" s="8">
        <v>0</v>
      </c>
      <c r="G71" s="8">
        <v>-0.6</v>
      </c>
      <c r="H71" s="8">
        <v>0</v>
      </c>
      <c r="I71" s="8">
        <v>2</v>
      </c>
      <c r="J71" s="8">
        <v>0</v>
      </c>
      <c r="K71" s="8">
        <v>-59.9</v>
      </c>
      <c r="L71" s="8">
        <v>26.3</v>
      </c>
      <c r="M71" s="8">
        <v>1506.432</v>
      </c>
      <c r="N71" s="8">
        <v>85.3</v>
      </c>
      <c r="O71" s="8">
        <v>8</v>
      </c>
      <c r="P71" s="8">
        <v>10</v>
      </c>
      <c r="Q71" s="8">
        <v>2.57</v>
      </c>
      <c r="R71" s="8">
        <v>68</v>
      </c>
      <c r="S71" s="8">
        <v>110</v>
      </c>
      <c r="T71" s="3">
        <v>147</v>
      </c>
      <c r="U71" s="8">
        <v>1295.7940000000001</v>
      </c>
      <c r="V71" s="8">
        <v>428.375</v>
      </c>
      <c r="W71" s="8">
        <v>752.85199999999998</v>
      </c>
      <c r="X71" s="8">
        <v>132.18100000000001</v>
      </c>
      <c r="Y71" s="8">
        <v>4.9400000000000004</v>
      </c>
      <c r="Z71" s="8">
        <v>8.0150000000000006</v>
      </c>
      <c r="AA71" s="8">
        <v>21.7</v>
      </c>
      <c r="AB71" s="8">
        <v>290.5</v>
      </c>
      <c r="AC71" s="8">
        <v>12293</v>
      </c>
      <c r="AD71" s="8">
        <v>3099</v>
      </c>
      <c r="AE71" s="8">
        <v>268</v>
      </c>
      <c r="AF71" s="8" cm="1">
        <f t="array" aca="1" ref="AF71" ca="1">_xlfn.XLOOKUP($A71,    INDIRECT("'" &amp; AF$16 &amp; "'!$A$20:$A$219"),    _xlfn.XLOOKUP(AF$18,INDIRECT("'" &amp; AF$16 &amp; "'!$B$18:$BC$18"), INDIRECT("'" &amp; AF$16 &amp; "'!$B$20:$BC$219"),"XXXXX",0,1),    "XX",    0,    1)</f>
        <v>15</v>
      </c>
      <c r="AG71" s="8" cm="1">
        <f t="array" aca="1" ref="AG71" ca="1">_xlfn.XLOOKUP($A71,    INDIRECT("'" &amp; AG$16 &amp; "'!$A$20:$A$219"),    _xlfn.XLOOKUP(AG$18,INDIRECT("'" &amp; AG$16 &amp; "'!$B$18:$BC$18"), INDIRECT("'" &amp; AG$16 &amp; "'!$B$20:$BC$219"),"XXXXX",0,1),    "XX",    0,    1)</f>
        <v>15</v>
      </c>
      <c r="AH71" s="8" cm="1">
        <f t="array" aca="1" ref="AH71" ca="1">_xlfn.XLOOKUP($A71,    INDIRECT("'" &amp; AH$16 &amp; "'!$A$20:$A$219"),    _xlfn.XLOOKUP(AH$18,INDIRECT("'" &amp; AH$16 &amp; "'!$B$18:$BC$18"), INDIRECT("'" &amp; AH$16 &amp; "'!$B$20:$BC$219"),"XXXXX",0,1),    "XX",    0,    1)</f>
        <v>15.4</v>
      </c>
      <c r="AI71" s="8" cm="1">
        <f t="array" aca="1" ref="AI71" ca="1">_xlfn.XLOOKUP($A71,    INDIRECT("'" &amp; AI$16 &amp; "'!$A$20:$A$219"),    _xlfn.XLOOKUP(AI$18,INDIRECT("'" &amp; AI$16 &amp; "'!$B$18:$BC$18"), INDIRECT("'" &amp; AI$16 &amp; "'!$B$20:$BC$219"),"XXXXX",0,1),    "XX",    0,    1)</f>
        <v>15</v>
      </c>
      <c r="AJ71" s="8" cm="1">
        <f t="array" aca="1" ref="AJ71" ca="1">_xlfn.XLOOKUP($A71,    INDIRECT("'" &amp; AJ$16 &amp; "'!$A$20:$A$219"),    _xlfn.XLOOKUP(AJ$18,INDIRECT("'" &amp; AJ$16 &amp; "'!$B$18:$BC$18"), INDIRECT("'" &amp; AJ$16 &amp; "'!$B$20:$BC$219"),"XXXXX",0,1),    "XX",    0,    1)</f>
        <v>17</v>
      </c>
      <c r="AK71" s="8" cm="1">
        <f t="array" aca="1" ref="AK71" ca="1">_xlfn.XLOOKUP($A71,    INDIRECT("'" &amp; AK$16 &amp; "'!$A$20:$A$219"),    _xlfn.XLOOKUP(AK$18,INDIRECT("'" &amp; AK$16 &amp; "'!$B$18:$BC$18"), INDIRECT("'" &amp; AK$16 &amp; "'!$B$20:$BC$219"),"XXXXX",0,1),    "XX",    0,    1)</f>
        <v>17</v>
      </c>
      <c r="AM71" s="16"/>
      <c r="AW71" s="8">
        <v>1</v>
      </c>
      <c r="AX71" s="8">
        <f t="shared" ca="1" si="24"/>
        <v>1.5</v>
      </c>
      <c r="AY71" s="8">
        <f t="shared" ca="1" si="29"/>
        <v>1.5</v>
      </c>
      <c r="AZ71" s="8">
        <f t="shared" ca="1" si="30"/>
        <v>1.54</v>
      </c>
      <c r="BA71" s="8">
        <f t="shared" ca="1" si="31"/>
        <v>1.5</v>
      </c>
      <c r="BB71" s="8">
        <f t="shared" ca="1" si="32"/>
        <v>1.7</v>
      </c>
      <c r="BC71" s="8">
        <f t="shared" ca="1" si="33"/>
        <v>1.7</v>
      </c>
      <c r="BE71" s="8">
        <f t="shared" ca="1" si="26"/>
        <v>0</v>
      </c>
      <c r="BF71" s="8">
        <f t="shared" ca="1" si="27"/>
        <v>-0.40000000000000036</v>
      </c>
      <c r="BG71" s="8">
        <f t="shared" ca="1" si="28"/>
        <v>0</v>
      </c>
    </row>
    <row r="72" spans="1:59" x14ac:dyDescent="0.2">
      <c r="A72" s="8" t="s">
        <v>48</v>
      </c>
      <c r="B72" s="8" t="s">
        <v>265</v>
      </c>
      <c r="C72" s="8">
        <v>-36.4</v>
      </c>
      <c r="D72" s="8">
        <v>481397.1</v>
      </c>
      <c r="E72" s="8">
        <v>5954916.9000000004</v>
      </c>
      <c r="F72" s="8">
        <v>0</v>
      </c>
      <c r="G72" s="8">
        <v>-0.6</v>
      </c>
      <c r="H72" s="8">
        <v>0</v>
      </c>
      <c r="I72" s="8">
        <v>2</v>
      </c>
      <c r="J72" s="8">
        <v>0</v>
      </c>
      <c r="K72" s="8">
        <v>-65.900000000000006</v>
      </c>
      <c r="L72" s="8">
        <v>29.5</v>
      </c>
      <c r="M72" s="8">
        <v>1687.2739999999999</v>
      </c>
      <c r="N72" s="8">
        <v>91.3</v>
      </c>
      <c r="O72" s="8">
        <v>8</v>
      </c>
      <c r="P72" s="8">
        <v>10</v>
      </c>
      <c r="Q72" s="8">
        <v>2.89</v>
      </c>
      <c r="R72" s="8">
        <v>68</v>
      </c>
      <c r="S72" s="8">
        <v>110</v>
      </c>
      <c r="T72" s="3">
        <v>147</v>
      </c>
      <c r="U72" s="8">
        <v>1357.6959999999999</v>
      </c>
      <c r="V72" s="8">
        <v>427.75900000000001</v>
      </c>
      <c r="W72" s="8">
        <v>752.85199999999998</v>
      </c>
      <c r="X72" s="8">
        <v>132.18100000000001</v>
      </c>
      <c r="Y72" s="8">
        <v>4.9400000000000004</v>
      </c>
      <c r="Z72" s="8">
        <v>8.0150000000000006</v>
      </c>
      <c r="AA72" s="8">
        <v>21.7</v>
      </c>
      <c r="AB72" s="8">
        <v>290.5</v>
      </c>
      <c r="AC72" s="8">
        <v>12666</v>
      </c>
      <c r="AD72" s="8">
        <v>3273</v>
      </c>
      <c r="AE72" s="8">
        <v>268</v>
      </c>
      <c r="AF72" s="8" cm="1">
        <f t="array" aca="1" ref="AF72" ca="1">_xlfn.XLOOKUP($A72,    INDIRECT("'" &amp; AF$16 &amp; "'!$A$20:$A$219"),    _xlfn.XLOOKUP(AF$18,INDIRECT("'" &amp; AF$16 &amp; "'!$B$18:$BC$18"), INDIRECT("'" &amp; AF$16 &amp; "'!$B$20:$BC$219"),"XXXXX",0,1),    "XX",    0,    1)</f>
        <v>15</v>
      </c>
      <c r="AG72" s="8" cm="1">
        <f t="array" aca="1" ref="AG72" ca="1">_xlfn.XLOOKUP($A72,    INDIRECT("'" &amp; AG$16 &amp; "'!$A$20:$A$219"),    _xlfn.XLOOKUP(AG$18,INDIRECT("'" &amp; AG$16 &amp; "'!$B$18:$BC$18"), INDIRECT("'" &amp; AG$16 &amp; "'!$B$20:$BC$219"),"XXXXX",0,1),    "XX",    0,    1)</f>
        <v>15</v>
      </c>
      <c r="AH72" s="8" cm="1">
        <f t="array" aca="1" ref="AH72" ca="1">_xlfn.XLOOKUP($A72,    INDIRECT("'" &amp; AH$16 &amp; "'!$A$20:$A$219"),    _xlfn.XLOOKUP(AH$18,INDIRECT("'" &amp; AH$16 &amp; "'!$B$18:$BC$18"), INDIRECT("'" &amp; AH$16 &amp; "'!$B$20:$BC$219"),"XXXXX",0,1),    "XX",    0,    1)</f>
        <v>19</v>
      </c>
      <c r="AI72" s="8" cm="1">
        <f t="array" aca="1" ref="AI72" ca="1">_xlfn.XLOOKUP($A72,    INDIRECT("'" &amp; AI$16 &amp; "'!$A$20:$A$219"),    _xlfn.XLOOKUP(AI$18,INDIRECT("'" &amp; AI$16 &amp; "'!$B$18:$BC$18"), INDIRECT("'" &amp; AI$16 &amp; "'!$B$20:$BC$219"),"XXXXX",0,1),    "XX",    0,    1)</f>
        <v>19</v>
      </c>
      <c r="AJ72" s="8" cm="1">
        <f t="array" aca="1" ref="AJ72" ca="1">_xlfn.XLOOKUP($A72,    INDIRECT("'" &amp; AJ$16 &amp; "'!$A$20:$A$219"),    _xlfn.XLOOKUP(AJ$18,INDIRECT("'" &amp; AJ$16 &amp; "'!$B$18:$BC$18"), INDIRECT("'" &amp; AJ$16 &amp; "'!$B$20:$BC$219"),"XXXXX",0,1),    "XX",    0,    1)</f>
        <v>21</v>
      </c>
      <c r="AK72" s="8" cm="1">
        <f t="array" aca="1" ref="AK72" ca="1">_xlfn.XLOOKUP($A72,    INDIRECT("'" &amp; AK$16 &amp; "'!$A$20:$A$219"),    _xlfn.XLOOKUP(AK$18,INDIRECT("'" &amp; AK$16 &amp; "'!$B$18:$BC$18"), INDIRECT("'" &amp; AK$16 &amp; "'!$B$20:$BC$219"),"XXXXX",0,1),    "XX",    0,    1)</f>
        <v>21</v>
      </c>
      <c r="AM72" s="16"/>
      <c r="AW72" s="8">
        <v>1</v>
      </c>
      <c r="AX72" s="8">
        <f t="shared" ca="1" si="24"/>
        <v>1.5</v>
      </c>
      <c r="AY72" s="8">
        <f t="shared" ca="1" si="29"/>
        <v>1.5</v>
      </c>
      <c r="AZ72" s="8">
        <f t="shared" ca="1" si="30"/>
        <v>1.9</v>
      </c>
      <c r="BA72" s="8">
        <f t="shared" ca="1" si="31"/>
        <v>1.9</v>
      </c>
      <c r="BB72" s="8">
        <f t="shared" ca="1" si="32"/>
        <v>2.1</v>
      </c>
      <c r="BC72" s="8">
        <f t="shared" ca="1" si="33"/>
        <v>2.1</v>
      </c>
      <c r="BE72" s="8">
        <f t="shared" ca="1" si="26"/>
        <v>0</v>
      </c>
      <c r="BF72" s="8">
        <f t="shared" ca="1" si="27"/>
        <v>0</v>
      </c>
      <c r="BG72" s="8">
        <f t="shared" ca="1" si="28"/>
        <v>0</v>
      </c>
    </row>
    <row r="73" spans="1:59" x14ac:dyDescent="0.2">
      <c r="A73" s="8" t="s">
        <v>88</v>
      </c>
      <c r="B73" s="8" t="s">
        <v>269</v>
      </c>
      <c r="C73" s="8">
        <v>-34.200000000000003</v>
      </c>
      <c r="D73" s="8">
        <v>482020</v>
      </c>
      <c r="E73" s="8">
        <v>5957212</v>
      </c>
      <c r="F73" s="8">
        <v>0</v>
      </c>
      <c r="G73" s="8">
        <v>-0.7</v>
      </c>
      <c r="H73" s="8">
        <v>0</v>
      </c>
      <c r="I73" s="8">
        <v>2</v>
      </c>
      <c r="J73" s="8">
        <v>0</v>
      </c>
      <c r="K73" s="8">
        <v>-63.8</v>
      </c>
      <c r="L73" s="8">
        <v>29.6</v>
      </c>
      <c r="M73" s="8">
        <v>1586.1</v>
      </c>
      <c r="N73" s="8">
        <v>89.2</v>
      </c>
      <c r="O73" s="8">
        <v>8</v>
      </c>
      <c r="P73" s="8">
        <v>10</v>
      </c>
      <c r="Q73" s="8">
        <v>2.89</v>
      </c>
      <c r="R73" s="8">
        <v>68</v>
      </c>
      <c r="S73" s="8">
        <v>110</v>
      </c>
      <c r="T73" s="3">
        <v>147</v>
      </c>
      <c r="U73" s="8">
        <v>1358.098</v>
      </c>
      <c r="V73" s="8">
        <v>578.22900000000004</v>
      </c>
      <c r="W73" s="8">
        <v>752.85199999999998</v>
      </c>
      <c r="X73" s="8">
        <v>132.18100000000001</v>
      </c>
      <c r="Y73" s="8">
        <v>4.9400000000000004</v>
      </c>
      <c r="Z73" s="8">
        <v>8.0150000000000006</v>
      </c>
      <c r="AA73" s="8">
        <v>21.7</v>
      </c>
      <c r="AB73" s="8">
        <v>290.5</v>
      </c>
      <c r="AC73" s="8">
        <v>12536</v>
      </c>
      <c r="AD73" s="8">
        <v>3136</v>
      </c>
      <c r="AE73" s="8">
        <v>268</v>
      </c>
      <c r="AF73" s="8" cm="1">
        <f t="array" aca="1" ref="AF73" ca="1">_xlfn.XLOOKUP($A73,    INDIRECT("'" &amp; AF$16 &amp; "'!$A$20:$A$219"),    _xlfn.XLOOKUP(AF$18,INDIRECT("'" &amp; AF$16 &amp; "'!$B$18:$BC$18"), INDIRECT("'" &amp; AF$16 &amp; "'!$B$20:$BC$219"),"XXXXX",0,1),    "XX",    0,    1)</f>
        <v>15</v>
      </c>
      <c r="AG73" s="8" cm="1">
        <f t="array" aca="1" ref="AG73" ca="1">_xlfn.XLOOKUP($A73,    INDIRECT("'" &amp; AG$16 &amp; "'!$A$20:$A$219"),    _xlfn.XLOOKUP(AG$18,INDIRECT("'" &amp; AG$16 &amp; "'!$B$18:$BC$18"), INDIRECT("'" &amp; AG$16 &amp; "'!$B$20:$BC$219"),"XXXXX",0,1),    "XX",    0,    1)</f>
        <v>15</v>
      </c>
      <c r="AH73" s="8" cm="1">
        <f t="array" aca="1" ref="AH73" ca="1">_xlfn.XLOOKUP($A73,    INDIRECT("'" &amp; AH$16 &amp; "'!$A$20:$A$219"),    _xlfn.XLOOKUP(AH$18,INDIRECT("'" &amp; AH$16 &amp; "'!$B$18:$BC$18"), INDIRECT("'" &amp; AH$16 &amp; "'!$B$20:$BC$219"),"XXXXX",0,1),    "XX",    0,    1)</f>
        <v>19</v>
      </c>
      <c r="AI73" s="8" cm="1">
        <f t="array" aca="1" ref="AI73" ca="1">_xlfn.XLOOKUP($A73,    INDIRECT("'" &amp; AI$16 &amp; "'!$A$20:$A$219"),    _xlfn.XLOOKUP(AI$18,INDIRECT("'" &amp; AI$16 &amp; "'!$B$18:$BC$18"), INDIRECT("'" &amp; AI$16 &amp; "'!$B$20:$BC$219"),"XXXXX",0,1),    "XX",    0,    1)</f>
        <v>19</v>
      </c>
      <c r="AJ73" s="8" cm="1">
        <f t="array" aca="1" ref="AJ73" ca="1">_xlfn.XLOOKUP($A73,    INDIRECT("'" &amp; AJ$16 &amp; "'!$A$20:$A$219"),    _xlfn.XLOOKUP(AJ$18,INDIRECT("'" &amp; AJ$16 &amp; "'!$B$18:$BC$18"), INDIRECT("'" &amp; AJ$16 &amp; "'!$B$20:$BC$219"),"XXXXX",0,1),    "XX",    0,    1)</f>
        <v>21</v>
      </c>
      <c r="AK73" s="8" cm="1">
        <f t="array" aca="1" ref="AK73" ca="1">_xlfn.XLOOKUP($A73,    INDIRECT("'" &amp; AK$16 &amp; "'!$A$20:$A$219"),    _xlfn.XLOOKUP(AK$18,INDIRECT("'" &amp; AK$16 &amp; "'!$B$18:$BC$18"), INDIRECT("'" &amp; AK$16 &amp; "'!$B$20:$BC$219"),"XXXXX",0,1),    "XX",    0,    1)</f>
        <v>21</v>
      </c>
      <c r="AM73" s="16"/>
      <c r="AW73" s="8">
        <v>1</v>
      </c>
      <c r="AX73" s="8">
        <f t="shared" ca="1" si="24"/>
        <v>1.5</v>
      </c>
      <c r="AY73" s="8">
        <f t="shared" ca="1" si="29"/>
        <v>1.5</v>
      </c>
      <c r="AZ73" s="8">
        <f t="shared" ca="1" si="30"/>
        <v>1.9</v>
      </c>
      <c r="BA73" s="8">
        <f t="shared" ca="1" si="31"/>
        <v>1.9</v>
      </c>
      <c r="BB73" s="8">
        <f t="shared" ca="1" si="32"/>
        <v>2.1</v>
      </c>
      <c r="BC73" s="8">
        <f t="shared" ca="1" si="33"/>
        <v>2.1</v>
      </c>
      <c r="BE73" s="8">
        <f t="shared" ca="1" si="26"/>
        <v>0</v>
      </c>
      <c r="BF73" s="8">
        <f t="shared" ca="1" si="27"/>
        <v>0</v>
      </c>
      <c r="BG73" s="8">
        <f t="shared" ca="1" si="28"/>
        <v>0</v>
      </c>
    </row>
    <row r="74" spans="1:59" x14ac:dyDescent="0.2">
      <c r="A74" s="8" t="s">
        <v>61</v>
      </c>
      <c r="B74" s="8" t="s">
        <v>271</v>
      </c>
      <c r="C74" s="8">
        <v>-36.6</v>
      </c>
      <c r="D74" s="8">
        <v>482289</v>
      </c>
      <c r="E74" s="8">
        <v>5959950</v>
      </c>
      <c r="F74" s="8">
        <v>0</v>
      </c>
      <c r="G74" s="8">
        <v>-0.6</v>
      </c>
      <c r="H74" s="8">
        <v>0</v>
      </c>
      <c r="I74" s="8">
        <v>2</v>
      </c>
      <c r="J74" s="8">
        <v>0</v>
      </c>
      <c r="K74" s="8">
        <v>-64.5</v>
      </c>
      <c r="L74" s="8">
        <v>27.9</v>
      </c>
      <c r="M74" s="8">
        <v>1656.4369999999999</v>
      </c>
      <c r="N74" s="8">
        <v>89.9</v>
      </c>
      <c r="O74" s="8">
        <v>8</v>
      </c>
      <c r="P74" s="8">
        <v>10</v>
      </c>
      <c r="Q74" s="8">
        <v>2.73</v>
      </c>
      <c r="R74" s="8">
        <v>68</v>
      </c>
      <c r="S74" s="8">
        <v>110</v>
      </c>
      <c r="T74" s="3">
        <v>147</v>
      </c>
      <c r="U74" s="8">
        <v>1357.721</v>
      </c>
      <c r="V74" s="8">
        <v>396.88400000000001</v>
      </c>
      <c r="W74" s="8">
        <v>752.85199999999998</v>
      </c>
      <c r="X74" s="8">
        <v>132.18100000000001</v>
      </c>
      <c r="Y74" s="8">
        <v>4.9400000000000004</v>
      </c>
      <c r="Z74" s="8">
        <v>8.0150000000000006</v>
      </c>
      <c r="AA74" s="8">
        <v>21.7</v>
      </c>
      <c r="AB74" s="8">
        <v>290.5</v>
      </c>
      <c r="AC74" s="8">
        <v>12578</v>
      </c>
      <c r="AD74" s="8">
        <v>3285</v>
      </c>
      <c r="AE74" s="8">
        <v>268</v>
      </c>
      <c r="AF74" s="8" cm="1">
        <f t="array" aca="1" ref="AF74" ca="1">_xlfn.XLOOKUP($A74,    INDIRECT("'" &amp; AF$16 &amp; "'!$A$20:$A$219"),    _xlfn.XLOOKUP(AF$18,INDIRECT("'" &amp; AF$16 &amp; "'!$B$18:$BC$18"), INDIRECT("'" &amp; AF$16 &amp; "'!$B$20:$BC$219"),"XXXXX",0,1),    "XX",    0,    1)</f>
        <v>15</v>
      </c>
      <c r="AG74" s="8" cm="1">
        <f t="array" aca="1" ref="AG74" ca="1">_xlfn.XLOOKUP($A74,    INDIRECT("'" &amp; AG$16 &amp; "'!$A$20:$A$219"),    _xlfn.XLOOKUP(AG$18,INDIRECT("'" &amp; AG$16 &amp; "'!$B$18:$BC$18"), INDIRECT("'" &amp; AG$16 &amp; "'!$B$20:$BC$219"),"XXXXX",0,1),    "XX",    0,    1)</f>
        <v>15</v>
      </c>
      <c r="AH74" s="8" cm="1">
        <f t="array" aca="1" ref="AH74" ca="1">_xlfn.XLOOKUP($A74,    INDIRECT("'" &amp; AH$16 &amp; "'!$A$20:$A$219"),    _xlfn.XLOOKUP(AH$18,INDIRECT("'" &amp; AH$16 &amp; "'!$B$18:$BC$18"), INDIRECT("'" &amp; AH$16 &amp; "'!$B$20:$BC$219"),"XXXXX",0,1),    "XX",    0,    1)</f>
        <v>17</v>
      </c>
      <c r="AI74" s="8" cm="1">
        <f t="array" aca="1" ref="AI74" ca="1">_xlfn.XLOOKUP($A74,    INDIRECT("'" &amp; AI$16 &amp; "'!$A$20:$A$219"),    _xlfn.XLOOKUP(AI$18,INDIRECT("'" &amp; AI$16 &amp; "'!$B$18:$BC$18"), INDIRECT("'" &amp; AI$16 &amp; "'!$B$20:$BC$219"),"XXXXX",0,1),    "XX",    0,    1)</f>
        <v>17</v>
      </c>
      <c r="AJ74" s="8" cm="1">
        <f t="array" aca="1" ref="AJ74" ca="1">_xlfn.XLOOKUP($A74,    INDIRECT("'" &amp; AJ$16 &amp; "'!$A$20:$A$219"),    _xlfn.XLOOKUP(AJ$18,INDIRECT("'" &amp; AJ$16 &amp; "'!$B$18:$BC$18"), INDIRECT("'" &amp; AJ$16 &amp; "'!$B$20:$BC$219"),"XXXXX",0,1),    "XX",    0,    1)</f>
        <v>19</v>
      </c>
      <c r="AK74" s="8" cm="1">
        <f t="array" aca="1" ref="AK74" ca="1">_xlfn.XLOOKUP($A74,    INDIRECT("'" &amp; AK$16 &amp; "'!$A$20:$A$219"),    _xlfn.XLOOKUP(AK$18,INDIRECT("'" &amp; AK$16 &amp; "'!$B$18:$BC$18"), INDIRECT("'" &amp; AK$16 &amp; "'!$B$20:$BC$219"),"XXXXX",0,1),    "XX",    0,    1)</f>
        <v>19</v>
      </c>
      <c r="AM74" s="16"/>
      <c r="AW74" s="8">
        <v>1</v>
      </c>
      <c r="AX74" s="8">
        <f t="shared" ca="1" si="24"/>
        <v>1.5</v>
      </c>
      <c r="AY74" s="8">
        <f t="shared" ca="1" si="29"/>
        <v>1.5</v>
      </c>
      <c r="AZ74" s="8">
        <f t="shared" ca="1" si="30"/>
        <v>1.7</v>
      </c>
      <c r="BA74" s="8">
        <f t="shared" ca="1" si="31"/>
        <v>1.7</v>
      </c>
      <c r="BB74" s="8">
        <f t="shared" ca="1" si="32"/>
        <v>1.9</v>
      </c>
      <c r="BC74" s="8">
        <f t="shared" ca="1" si="33"/>
        <v>1.9</v>
      </c>
      <c r="BE74" s="8">
        <f t="shared" ca="1" si="26"/>
        <v>0</v>
      </c>
      <c r="BF74" s="8">
        <f t="shared" ca="1" si="27"/>
        <v>0</v>
      </c>
      <c r="BG74" s="8">
        <f t="shared" ca="1" si="28"/>
        <v>0</v>
      </c>
    </row>
    <row r="75" spans="1:59" x14ac:dyDescent="0.2">
      <c r="A75" s="8" t="s">
        <v>111</v>
      </c>
      <c r="B75" s="8" t="s">
        <v>265</v>
      </c>
      <c r="C75" s="8">
        <v>-32.9</v>
      </c>
      <c r="D75" s="8">
        <v>480311</v>
      </c>
      <c r="E75" s="8">
        <v>5966220</v>
      </c>
      <c r="F75" s="8">
        <v>0</v>
      </c>
      <c r="G75" s="8">
        <v>-0.7</v>
      </c>
      <c r="H75" s="8">
        <v>0</v>
      </c>
      <c r="I75" s="8">
        <v>2</v>
      </c>
      <c r="J75" s="8">
        <v>0</v>
      </c>
      <c r="K75" s="8">
        <v>-62</v>
      </c>
      <c r="L75" s="8">
        <v>29.1</v>
      </c>
      <c r="M75" s="8">
        <v>1541.751</v>
      </c>
      <c r="N75" s="8">
        <v>87.4</v>
      </c>
      <c r="O75" s="8">
        <v>8</v>
      </c>
      <c r="P75" s="8">
        <v>10</v>
      </c>
      <c r="Q75" s="8">
        <v>2.84</v>
      </c>
      <c r="R75" s="8">
        <v>68</v>
      </c>
      <c r="S75" s="8">
        <v>110</v>
      </c>
      <c r="T75" s="3">
        <v>147</v>
      </c>
      <c r="U75" s="8">
        <v>1295.806</v>
      </c>
      <c r="V75" s="8">
        <v>484.49599999999998</v>
      </c>
      <c r="W75" s="8">
        <v>752.85199999999998</v>
      </c>
      <c r="X75" s="8">
        <v>132.18100000000001</v>
      </c>
      <c r="Y75" s="8">
        <v>4.9400000000000004</v>
      </c>
      <c r="Z75" s="8">
        <v>8.0150000000000006</v>
      </c>
      <c r="AA75" s="8">
        <v>21.7</v>
      </c>
      <c r="AB75" s="8">
        <v>290.5</v>
      </c>
      <c r="AC75" s="8">
        <v>12424</v>
      </c>
      <c r="AD75" s="8">
        <v>3056</v>
      </c>
      <c r="AE75" s="8">
        <v>268</v>
      </c>
      <c r="AF75" s="8" cm="1">
        <f t="array" aca="1" ref="AF75" ca="1">_xlfn.XLOOKUP($A75,    INDIRECT("'" &amp; AF$16 &amp; "'!$A$20:$A$219"),    _xlfn.XLOOKUP(AF$18,INDIRECT("'" &amp; AF$16 &amp; "'!$B$18:$BC$18"), INDIRECT("'" &amp; AF$16 &amp; "'!$B$20:$BC$219"),"XXXXX",0,1),    "XX",    0,    1)</f>
        <v>15</v>
      </c>
      <c r="AG75" s="8" cm="1">
        <f t="array" aca="1" ref="AG75" ca="1">_xlfn.XLOOKUP($A75,    INDIRECT("'" &amp; AG$16 &amp; "'!$A$20:$A$219"),    _xlfn.XLOOKUP(AG$18,INDIRECT("'" &amp; AG$16 &amp; "'!$B$18:$BC$18"), INDIRECT("'" &amp; AG$16 &amp; "'!$B$20:$BC$219"),"XXXXX",0,1),    "XX",    0,    1)</f>
        <v>15</v>
      </c>
      <c r="AH75" s="8" cm="1">
        <f t="array" aca="1" ref="AH75" ca="1">_xlfn.XLOOKUP($A75,    INDIRECT("'" &amp; AH$16 &amp; "'!$A$20:$A$219"),    _xlfn.XLOOKUP(AH$18,INDIRECT("'" &amp; AH$16 &amp; "'!$B$18:$BC$18"), INDIRECT("'" &amp; AH$16 &amp; "'!$B$20:$BC$219"),"XXXXX",0,1),    "XX",    0,    1)</f>
        <v>19</v>
      </c>
      <c r="AI75" s="8" cm="1">
        <f t="array" aca="1" ref="AI75" ca="1">_xlfn.XLOOKUP($A75,    INDIRECT("'" &amp; AI$16 &amp; "'!$A$20:$A$219"),    _xlfn.XLOOKUP(AI$18,INDIRECT("'" &amp; AI$16 &amp; "'!$B$18:$BC$18"), INDIRECT("'" &amp; AI$16 &amp; "'!$B$20:$BC$219"),"XXXXX",0,1),    "XX",    0,    1)</f>
        <v>19</v>
      </c>
      <c r="AJ75" s="8" cm="1">
        <f t="array" aca="1" ref="AJ75" ca="1">_xlfn.XLOOKUP($A75,    INDIRECT("'" &amp; AJ$16 &amp; "'!$A$20:$A$219"),    _xlfn.XLOOKUP(AJ$18,INDIRECT("'" &amp; AJ$16 &amp; "'!$B$18:$BC$18"), INDIRECT("'" &amp; AJ$16 &amp; "'!$B$20:$BC$219"),"XXXXX",0,1),    "XX",    0,    1)</f>
        <v>19</v>
      </c>
      <c r="AK75" s="8" cm="1">
        <f t="array" aca="1" ref="AK75" ca="1">_xlfn.XLOOKUP($A75,    INDIRECT("'" &amp; AK$16 &amp; "'!$A$20:$A$219"),    _xlfn.XLOOKUP(AK$18,INDIRECT("'" &amp; AK$16 &amp; "'!$B$18:$BC$18"), INDIRECT("'" &amp; AK$16 &amp; "'!$B$20:$BC$219"),"XXXXX",0,1),    "XX",    0,    1)</f>
        <v>19</v>
      </c>
      <c r="AM75" s="16"/>
      <c r="AW75" s="8">
        <v>1</v>
      </c>
      <c r="AX75" s="8">
        <f t="shared" ca="1" si="24"/>
        <v>1.5</v>
      </c>
      <c r="AY75" s="8">
        <f t="shared" ca="1" si="29"/>
        <v>1.5</v>
      </c>
      <c r="AZ75" s="8">
        <f t="shared" ca="1" si="30"/>
        <v>1.9</v>
      </c>
      <c r="BA75" s="8">
        <f t="shared" ca="1" si="31"/>
        <v>1.9</v>
      </c>
      <c r="BB75" s="8">
        <f t="shared" ca="1" si="32"/>
        <v>1.9</v>
      </c>
      <c r="BC75" s="8">
        <f t="shared" ca="1" si="33"/>
        <v>1.9</v>
      </c>
      <c r="BE75" s="8">
        <f t="shared" ca="1" si="26"/>
        <v>0</v>
      </c>
      <c r="BF75" s="8">
        <f t="shared" ca="1" si="27"/>
        <v>0</v>
      </c>
      <c r="BG75" s="8">
        <f t="shared" ca="1" si="28"/>
        <v>0</v>
      </c>
    </row>
    <row r="76" spans="1:59" x14ac:dyDescent="0.2">
      <c r="A76" s="8" t="s">
        <v>145</v>
      </c>
      <c r="B76" s="8" t="s">
        <v>271</v>
      </c>
      <c r="C76" s="8">
        <v>-30.5</v>
      </c>
      <c r="D76" s="8">
        <v>480065.6</v>
      </c>
      <c r="E76" s="8">
        <v>5969576.2999999998</v>
      </c>
      <c r="F76" s="8">
        <v>0</v>
      </c>
      <c r="G76" s="8">
        <v>-0.6</v>
      </c>
      <c r="H76" s="8">
        <v>0</v>
      </c>
      <c r="I76" s="8">
        <v>2</v>
      </c>
      <c r="J76" s="8">
        <v>0</v>
      </c>
      <c r="K76" s="8">
        <v>-59.8</v>
      </c>
      <c r="L76" s="8">
        <v>29.3</v>
      </c>
      <c r="M76" s="8">
        <v>1450.9860000000001</v>
      </c>
      <c r="N76" s="8">
        <v>85.2</v>
      </c>
      <c r="O76" s="8">
        <v>8</v>
      </c>
      <c r="P76" s="8">
        <v>10</v>
      </c>
      <c r="Q76" s="8">
        <v>2.87</v>
      </c>
      <c r="R76" s="8">
        <v>64</v>
      </c>
      <c r="S76" s="8">
        <v>110</v>
      </c>
      <c r="T76" s="3">
        <v>147</v>
      </c>
      <c r="U76" s="8">
        <v>1296.1959999999999</v>
      </c>
      <c r="V76" s="8">
        <v>493.28</v>
      </c>
      <c r="W76" s="8">
        <v>752.85199999999998</v>
      </c>
      <c r="X76" s="8">
        <v>132.18100000000001</v>
      </c>
      <c r="Y76" s="8">
        <v>4.9400000000000004</v>
      </c>
      <c r="Z76" s="8">
        <v>8.0150000000000006</v>
      </c>
      <c r="AA76" s="8">
        <v>21.7</v>
      </c>
      <c r="AB76" s="8">
        <v>290.5</v>
      </c>
      <c r="AC76" s="8">
        <v>12289</v>
      </c>
      <c r="AD76" s="8">
        <v>2907</v>
      </c>
      <c r="AE76" s="8">
        <v>268</v>
      </c>
      <c r="AF76" s="8" cm="1">
        <f t="array" aca="1" ref="AF76" ca="1">_xlfn.XLOOKUP($A76,    INDIRECT("'" &amp; AF$16 &amp; "'!$A$20:$A$219"),    _xlfn.XLOOKUP(AF$18,INDIRECT("'" &amp; AF$16 &amp; "'!$B$18:$BC$18"), INDIRECT("'" &amp; AF$16 &amp; "'!$B$20:$BC$219"),"XXXXX",0,1),    "XX",    0,    1)</f>
        <v>15</v>
      </c>
      <c r="AG76" s="8" cm="1">
        <f t="array" aca="1" ref="AG76" ca="1">_xlfn.XLOOKUP($A76,    INDIRECT("'" &amp; AG$16 &amp; "'!$A$20:$A$219"),    _xlfn.XLOOKUP(AG$18,INDIRECT("'" &amp; AG$16 &amp; "'!$B$18:$BC$18"), INDIRECT("'" &amp; AG$16 &amp; "'!$B$20:$BC$219"),"XXXXX",0,1),    "XX",    0,    1)</f>
        <v>15</v>
      </c>
      <c r="AH76" s="8" cm="1">
        <f t="array" aca="1" ref="AH76" ca="1">_xlfn.XLOOKUP($A76,    INDIRECT("'" &amp; AH$16 &amp; "'!$A$20:$A$219"),    _xlfn.XLOOKUP(AH$18,INDIRECT("'" &amp; AH$16 &amp; "'!$B$18:$BC$18"), INDIRECT("'" &amp; AH$16 &amp; "'!$B$20:$BC$219"),"XXXXX",0,1),    "XX",    0,    1)</f>
        <v>19</v>
      </c>
      <c r="AI76" s="8" cm="1">
        <f t="array" aca="1" ref="AI76" ca="1">_xlfn.XLOOKUP($A76,    INDIRECT("'" &amp; AI$16 &amp; "'!$A$20:$A$219"),    _xlfn.XLOOKUP(AI$18,INDIRECT("'" &amp; AI$16 &amp; "'!$B$18:$BC$18"), INDIRECT("'" &amp; AI$16 &amp; "'!$B$20:$BC$219"),"XXXXX",0,1),    "XX",    0,    1)</f>
        <v>19</v>
      </c>
      <c r="AJ76" s="8" cm="1">
        <f t="array" aca="1" ref="AJ76" ca="1">_xlfn.XLOOKUP($A76,    INDIRECT("'" &amp; AJ$16 &amp; "'!$A$20:$A$219"),    _xlfn.XLOOKUP(AJ$18,INDIRECT("'" &amp; AJ$16 &amp; "'!$B$18:$BC$18"), INDIRECT("'" &amp; AJ$16 &amp; "'!$B$20:$BC$219"),"XXXXX",0,1),    "XX",    0,    1)</f>
        <v>19</v>
      </c>
      <c r="AK76" s="8" cm="1">
        <f t="array" aca="1" ref="AK76" ca="1">_xlfn.XLOOKUP($A76,    INDIRECT("'" &amp; AK$16 &amp; "'!$A$20:$A$219"),    _xlfn.XLOOKUP(AK$18,INDIRECT("'" &amp; AK$16 &amp; "'!$B$18:$BC$18"), INDIRECT("'" &amp; AK$16 &amp; "'!$B$20:$BC$219"),"XXXXX",0,1),    "XX",    0,    1)</f>
        <v>19</v>
      </c>
      <c r="AM76" s="16"/>
      <c r="AW76" s="8">
        <v>1</v>
      </c>
      <c r="AX76" s="8">
        <f t="shared" ca="1" si="24"/>
        <v>1.5</v>
      </c>
      <c r="AY76" s="8">
        <f t="shared" ca="1" si="29"/>
        <v>1.5</v>
      </c>
      <c r="AZ76" s="8">
        <f t="shared" ca="1" si="30"/>
        <v>1.9</v>
      </c>
      <c r="BA76" s="8">
        <f t="shared" ca="1" si="31"/>
        <v>1.9</v>
      </c>
      <c r="BB76" s="8">
        <f t="shared" ca="1" si="32"/>
        <v>1.9</v>
      </c>
      <c r="BC76" s="8">
        <f t="shared" ca="1" si="33"/>
        <v>1.9</v>
      </c>
      <c r="BE76" s="8">
        <f t="shared" ca="1" si="26"/>
        <v>0</v>
      </c>
      <c r="BF76" s="8">
        <f t="shared" ca="1" si="27"/>
        <v>0</v>
      </c>
      <c r="BG76" s="8">
        <f t="shared" ca="1" si="28"/>
        <v>0</v>
      </c>
    </row>
    <row r="77" spans="1:59" x14ac:dyDescent="0.2">
      <c r="A77" s="8" t="s">
        <v>77</v>
      </c>
      <c r="B77" s="8" t="s">
        <v>265</v>
      </c>
      <c r="C77" s="8">
        <v>-36.9</v>
      </c>
      <c r="D77" s="8">
        <v>456830.5</v>
      </c>
      <c r="E77" s="8">
        <v>5967999.4000000004</v>
      </c>
      <c r="F77" s="8">
        <v>0</v>
      </c>
      <c r="G77" s="8">
        <v>-0.6</v>
      </c>
      <c r="H77" s="8">
        <v>0</v>
      </c>
      <c r="I77" s="8">
        <v>2</v>
      </c>
      <c r="J77" s="8">
        <v>0</v>
      </c>
      <c r="K77" s="8">
        <v>-63.1</v>
      </c>
      <c r="L77" s="8">
        <v>26.2</v>
      </c>
      <c r="M77" s="8">
        <v>1646.3109999999999</v>
      </c>
      <c r="N77" s="8">
        <v>88.5</v>
      </c>
      <c r="O77" s="8">
        <v>8</v>
      </c>
      <c r="P77" s="8">
        <v>10</v>
      </c>
      <c r="Q77" s="8">
        <v>2.56</v>
      </c>
      <c r="R77" s="8">
        <v>68</v>
      </c>
      <c r="S77" s="8">
        <v>110</v>
      </c>
      <c r="T77" s="3">
        <v>147</v>
      </c>
      <c r="U77" s="8">
        <v>1295.316</v>
      </c>
      <c r="V77" s="8">
        <v>396.88400000000001</v>
      </c>
      <c r="W77" s="8">
        <v>752.85199999999998</v>
      </c>
      <c r="X77" s="8">
        <v>132.18100000000001</v>
      </c>
      <c r="Y77" s="8">
        <v>4.9400000000000004</v>
      </c>
      <c r="Z77" s="8">
        <v>8.0150000000000006</v>
      </c>
      <c r="AA77" s="8">
        <v>21.7</v>
      </c>
      <c r="AB77" s="8">
        <v>290.5</v>
      </c>
      <c r="AC77" s="8">
        <v>12491</v>
      </c>
      <c r="AD77" s="8">
        <v>3304</v>
      </c>
      <c r="AE77" s="8">
        <v>268</v>
      </c>
      <c r="AF77" s="8" cm="1">
        <f t="array" aca="1" ref="AF77" ca="1">_xlfn.XLOOKUP($A77,    INDIRECT("'" &amp; AF$16 &amp; "'!$A$20:$A$219"),    _xlfn.XLOOKUP(AF$18,INDIRECT("'" &amp; AF$16 &amp; "'!$B$18:$BC$18"), INDIRECT("'" &amp; AF$16 &amp; "'!$B$20:$BC$219"),"XXXXX",0,1),    "XX",    0,    1)</f>
        <v>15</v>
      </c>
      <c r="AG77" s="8" cm="1">
        <f t="array" aca="1" ref="AG77" ca="1">_xlfn.XLOOKUP($A77,    INDIRECT("'" &amp; AG$16 &amp; "'!$A$20:$A$219"),    _xlfn.XLOOKUP(AG$18,INDIRECT("'" &amp; AG$16 &amp; "'!$B$18:$BC$18"), INDIRECT("'" &amp; AG$16 &amp; "'!$B$20:$BC$219"),"XXXXX",0,1),    "XX",    0,    1)</f>
        <v>15</v>
      </c>
      <c r="AH77" s="8" cm="1">
        <f t="array" aca="1" ref="AH77" ca="1">_xlfn.XLOOKUP($A77,    INDIRECT("'" &amp; AH$16 &amp; "'!$A$20:$A$219"),    _xlfn.XLOOKUP(AH$18,INDIRECT("'" &amp; AH$16 &amp; "'!$B$18:$BC$18"), INDIRECT("'" &amp; AH$16 &amp; "'!$B$20:$BC$219"),"XXXXX",0,1),    "XX",    0,    1)</f>
        <v>15</v>
      </c>
      <c r="AI77" s="8" cm="1">
        <f t="array" aca="1" ref="AI77" ca="1">_xlfn.XLOOKUP($A77,    INDIRECT("'" &amp; AI$16 &amp; "'!$A$20:$A$219"),    _xlfn.XLOOKUP(AI$18,INDIRECT("'" &amp; AI$16 &amp; "'!$B$18:$BC$18"), INDIRECT("'" &amp; AI$16 &amp; "'!$B$20:$BC$219"),"XXXXX",0,1),    "XX",    0,    1)</f>
        <v>15</v>
      </c>
      <c r="AJ77" s="8" cm="1">
        <f t="array" aca="1" ref="AJ77" ca="1">_xlfn.XLOOKUP($A77,    INDIRECT("'" &amp; AJ$16 &amp; "'!$A$20:$A$219"),    _xlfn.XLOOKUP(AJ$18,INDIRECT("'" &amp; AJ$16 &amp; "'!$B$18:$BC$18"), INDIRECT("'" &amp; AJ$16 &amp; "'!$B$20:$BC$219"),"XXXXX",0,1),    "XX",    0,    1)</f>
        <v>17</v>
      </c>
      <c r="AK77" s="8" cm="1">
        <f t="array" aca="1" ref="AK77" ca="1">_xlfn.XLOOKUP($A77,    INDIRECT("'" &amp; AK$16 &amp; "'!$A$20:$A$219"),    _xlfn.XLOOKUP(AK$18,INDIRECT("'" &amp; AK$16 &amp; "'!$B$18:$BC$18"), INDIRECT("'" &amp; AK$16 &amp; "'!$B$20:$BC$219"),"XXXXX",0,1),    "XX",    0,    1)</f>
        <v>17</v>
      </c>
      <c r="AM77" s="16"/>
      <c r="AW77" s="8">
        <v>1</v>
      </c>
      <c r="AX77" s="8">
        <f t="shared" ca="1" si="24"/>
        <v>1.5</v>
      </c>
      <c r="AY77" s="8">
        <f t="shared" ca="1" si="29"/>
        <v>1.5</v>
      </c>
      <c r="AZ77" s="8">
        <f t="shared" ca="1" si="30"/>
        <v>1.5</v>
      </c>
      <c r="BA77" s="8">
        <f t="shared" ca="1" si="31"/>
        <v>1.5</v>
      </c>
      <c r="BB77" s="8">
        <f t="shared" ca="1" si="32"/>
        <v>1.7</v>
      </c>
      <c r="BC77" s="8">
        <f t="shared" ca="1" si="33"/>
        <v>1.7</v>
      </c>
      <c r="BE77" s="8">
        <f t="shared" ca="1" si="26"/>
        <v>0</v>
      </c>
      <c r="BF77" s="8">
        <f t="shared" ca="1" si="27"/>
        <v>0</v>
      </c>
      <c r="BG77" s="8">
        <f t="shared" ca="1" si="28"/>
        <v>0</v>
      </c>
    </row>
    <row r="78" spans="1:59" x14ac:dyDescent="0.2">
      <c r="A78" s="8" t="s">
        <v>23</v>
      </c>
      <c r="B78" s="8" t="s">
        <v>265</v>
      </c>
      <c r="C78" s="8">
        <v>-38.1</v>
      </c>
      <c r="D78" s="8">
        <v>459201</v>
      </c>
      <c r="E78" s="8">
        <v>5967340</v>
      </c>
      <c r="F78" s="8">
        <v>0</v>
      </c>
      <c r="G78" s="8">
        <v>-0.8</v>
      </c>
      <c r="H78" s="8">
        <v>0</v>
      </c>
      <c r="I78" s="8">
        <v>2</v>
      </c>
      <c r="J78" s="8">
        <v>0</v>
      </c>
      <c r="K78" s="8">
        <v>-67.3</v>
      </c>
      <c r="L78" s="8">
        <v>29.2</v>
      </c>
      <c r="M78" s="8">
        <v>1742.915</v>
      </c>
      <c r="N78" s="8">
        <v>92.7</v>
      </c>
      <c r="O78" s="8">
        <v>8</v>
      </c>
      <c r="P78" s="8">
        <v>10</v>
      </c>
      <c r="Q78" s="8">
        <v>2.84</v>
      </c>
      <c r="R78" s="8">
        <v>68</v>
      </c>
      <c r="S78" s="8">
        <v>110</v>
      </c>
      <c r="T78" s="3">
        <v>147</v>
      </c>
      <c r="U78" s="8">
        <v>1357.5319999999999</v>
      </c>
      <c r="V78" s="8">
        <v>458.685</v>
      </c>
      <c r="W78" s="8">
        <v>752.85199999999998</v>
      </c>
      <c r="X78" s="8">
        <v>132.18100000000001</v>
      </c>
      <c r="Y78" s="8">
        <v>4.9400000000000004</v>
      </c>
      <c r="Z78" s="8">
        <v>8.0150000000000006</v>
      </c>
      <c r="AA78" s="8">
        <v>21.7</v>
      </c>
      <c r="AB78" s="8">
        <v>290.5</v>
      </c>
      <c r="AC78" s="8">
        <v>12752</v>
      </c>
      <c r="AD78" s="8">
        <v>3378</v>
      </c>
      <c r="AE78" s="8">
        <v>268</v>
      </c>
      <c r="AF78" s="8" cm="1">
        <f t="array" aca="1" ref="AF78" ca="1">_xlfn.XLOOKUP($A78,    INDIRECT("'" &amp; AF$16 &amp; "'!$A$20:$A$219"),    _xlfn.XLOOKUP(AF$18,INDIRECT("'" &amp; AF$16 &amp; "'!$B$18:$BC$18"), INDIRECT("'" &amp; AF$16 &amp; "'!$B$20:$BC$219"),"XXXXX",0,1),    "XX",    0,    1)</f>
        <v>15</v>
      </c>
      <c r="AG78" s="8" cm="1">
        <f t="array" aca="1" ref="AG78" ca="1">_xlfn.XLOOKUP($A78,    INDIRECT("'" &amp; AG$16 &amp; "'!$A$20:$A$219"),    _xlfn.XLOOKUP(AG$18,INDIRECT("'" &amp; AG$16 &amp; "'!$B$18:$BC$18"), INDIRECT("'" &amp; AG$16 &amp; "'!$B$20:$BC$219"),"XXXXX",0,1),    "XX",    0,    1)</f>
        <v>15</v>
      </c>
      <c r="AH78" s="8" cm="1">
        <f t="array" aca="1" ref="AH78" ca="1">_xlfn.XLOOKUP($A78,    INDIRECT("'" &amp; AH$16 &amp; "'!$A$20:$A$219"),    _xlfn.XLOOKUP(AH$18,INDIRECT("'" &amp; AH$16 &amp; "'!$B$18:$BC$18"), INDIRECT("'" &amp; AH$16 &amp; "'!$B$20:$BC$219"),"XXXXX",0,1),    "XX",    0,    1)</f>
        <v>19</v>
      </c>
      <c r="AI78" s="8" cm="1">
        <f t="array" aca="1" ref="AI78" ca="1">_xlfn.XLOOKUP($A78,    INDIRECT("'" &amp; AI$16 &amp; "'!$A$20:$A$219"),    _xlfn.XLOOKUP(AI$18,INDIRECT("'" &amp; AI$16 &amp; "'!$B$18:$BC$18"), INDIRECT("'" &amp; AI$16 &amp; "'!$B$20:$BC$219"),"XXXXX",0,1),    "XX",    0,    1)</f>
        <v>19</v>
      </c>
      <c r="AJ78" s="8" cm="1">
        <f t="array" aca="1" ref="AJ78" ca="1">_xlfn.XLOOKUP($A78,    INDIRECT("'" &amp; AJ$16 &amp; "'!$A$20:$A$219"),    _xlfn.XLOOKUP(AJ$18,INDIRECT("'" &amp; AJ$16 &amp; "'!$B$18:$BC$18"), INDIRECT("'" &amp; AJ$16 &amp; "'!$B$20:$BC$219"),"XXXXX",0,1),    "XX",    0,    1)</f>
        <v>19</v>
      </c>
      <c r="AK78" s="8" cm="1">
        <f t="array" aca="1" ref="AK78" ca="1">_xlfn.XLOOKUP($A78,    INDIRECT("'" &amp; AK$16 &amp; "'!$A$20:$A$219"),    _xlfn.XLOOKUP(AK$18,INDIRECT("'" &amp; AK$16 &amp; "'!$B$18:$BC$18"), INDIRECT("'" &amp; AK$16 &amp; "'!$B$20:$BC$219"),"XXXXX",0,1),    "XX",    0,    1)</f>
        <v>19</v>
      </c>
      <c r="AM78" s="16"/>
      <c r="AW78" s="8">
        <v>1</v>
      </c>
      <c r="AX78" s="8">
        <f t="shared" ca="1" si="24"/>
        <v>1.5</v>
      </c>
      <c r="AY78" s="8">
        <f t="shared" ca="1" si="29"/>
        <v>1.5</v>
      </c>
      <c r="AZ78" s="8">
        <f t="shared" ca="1" si="30"/>
        <v>1.9</v>
      </c>
      <c r="BA78" s="8">
        <f t="shared" ca="1" si="31"/>
        <v>1.9</v>
      </c>
      <c r="BB78" s="8">
        <f t="shared" ca="1" si="32"/>
        <v>1.9</v>
      </c>
      <c r="BC78" s="8">
        <f t="shared" ca="1" si="33"/>
        <v>1.9</v>
      </c>
      <c r="BE78" s="8">
        <f t="shared" ca="1" si="26"/>
        <v>0</v>
      </c>
      <c r="BF78" s="8">
        <f t="shared" ca="1" si="27"/>
        <v>0</v>
      </c>
      <c r="BG78" s="8">
        <f t="shared" ca="1" si="28"/>
        <v>0</v>
      </c>
    </row>
    <row r="79" spans="1:59" x14ac:dyDescent="0.2">
      <c r="A79" s="8" t="s">
        <v>173</v>
      </c>
      <c r="B79" s="8" t="s">
        <v>265</v>
      </c>
      <c r="C79" s="8">
        <v>-38.799999999999997</v>
      </c>
      <c r="D79" s="8">
        <v>462166</v>
      </c>
      <c r="E79" s="8">
        <v>5965760</v>
      </c>
      <c r="F79" s="8">
        <v>0</v>
      </c>
      <c r="G79" s="8">
        <v>-0.7</v>
      </c>
      <c r="H79" s="8">
        <v>0</v>
      </c>
      <c r="I79" s="8">
        <v>2</v>
      </c>
      <c r="J79" s="8">
        <v>0</v>
      </c>
      <c r="K79" s="8">
        <v>-70.900000000000006</v>
      </c>
      <c r="L79" s="8">
        <v>32.1</v>
      </c>
      <c r="M79" s="8">
        <v>1796.414</v>
      </c>
      <c r="N79" s="8">
        <v>96.3</v>
      </c>
      <c r="O79" s="8">
        <v>8</v>
      </c>
      <c r="P79" s="8">
        <v>10.5</v>
      </c>
      <c r="Q79" s="8">
        <v>2.9904999999999999</v>
      </c>
      <c r="R79" s="8">
        <v>72</v>
      </c>
      <c r="S79" s="8">
        <v>112</v>
      </c>
      <c r="T79" s="3">
        <v>146</v>
      </c>
      <c r="U79" s="8">
        <v>1471.742</v>
      </c>
      <c r="V79" s="8">
        <v>421.62700000000001</v>
      </c>
      <c r="W79" s="8">
        <v>752.85199999999998</v>
      </c>
      <c r="X79" s="8">
        <v>132.18100000000001</v>
      </c>
      <c r="Y79" s="8">
        <v>4.9400000000000004</v>
      </c>
      <c r="Z79" s="8">
        <v>8.0150000000000006</v>
      </c>
      <c r="AA79" s="8">
        <v>21.7</v>
      </c>
      <c r="AB79" s="8">
        <v>290.5</v>
      </c>
      <c r="AC79" s="8">
        <v>13141</v>
      </c>
      <c r="AD79" s="8">
        <v>3493</v>
      </c>
      <c r="AE79" s="8">
        <v>268</v>
      </c>
      <c r="AF79" s="8" cm="1">
        <f t="array" aca="1" ref="AF79" ca="1">_xlfn.XLOOKUP($A79,    INDIRECT("'" &amp; AF$16 &amp; "'!$A$20:$A$219"),    _xlfn.XLOOKUP(AF$18,INDIRECT("'" &amp; AF$16 &amp; "'!$B$18:$BC$18"), INDIRECT("'" &amp; AF$16 &amp; "'!$B$20:$BC$219"),"XXXXX",0,1),    "XX",    0,    1)</f>
        <v>17</v>
      </c>
      <c r="AG79" s="8" cm="1">
        <f t="array" aca="1" ref="AG79" ca="1">_xlfn.XLOOKUP($A79,    INDIRECT("'" &amp; AG$16 &amp; "'!$A$20:$A$219"),    _xlfn.XLOOKUP(AG$18,INDIRECT("'" &amp; AG$16 &amp; "'!$B$18:$BC$18"), INDIRECT("'" &amp; AG$16 &amp; "'!$B$20:$BC$219"),"XXXXX",0,1),    "XX",    0,    1)</f>
        <v>17</v>
      </c>
      <c r="AH79" s="8" cm="1">
        <f t="array" aca="1" ref="AH79" ca="1">_xlfn.XLOOKUP($A79,    INDIRECT("'" &amp; AH$16 &amp; "'!$A$20:$A$219"),    _xlfn.XLOOKUP(AH$18,INDIRECT("'" &amp; AH$16 &amp; "'!$B$18:$BC$18"), INDIRECT("'" &amp; AH$16 &amp; "'!$B$20:$BC$219"),"XXXXX",0,1),    "XX",    0,    1)</f>
        <v>21</v>
      </c>
      <c r="AI79" s="8" cm="1">
        <f t="array" aca="1" ref="AI79" ca="1">_xlfn.XLOOKUP($A79,    INDIRECT("'" &amp; AI$16 &amp; "'!$A$20:$A$219"),    _xlfn.XLOOKUP(AI$18,INDIRECT("'" &amp; AI$16 &amp; "'!$B$18:$BC$18"), INDIRECT("'" &amp; AI$16 &amp; "'!$B$20:$BC$219"),"XXXXX",0,1),    "XX",    0,    1)</f>
        <v>21</v>
      </c>
      <c r="AJ79" s="8" cm="1">
        <f t="array" aca="1" ref="AJ79" ca="1">_xlfn.XLOOKUP($A79,    INDIRECT("'" &amp; AJ$16 &amp; "'!$A$20:$A$219"),    _xlfn.XLOOKUP(AJ$18,INDIRECT("'" &amp; AJ$16 &amp; "'!$B$18:$BC$18"), INDIRECT("'" &amp; AJ$16 &amp; "'!$B$20:$BC$219"),"XXXXX",0,1),    "XX",    0,    1)</f>
        <v>23</v>
      </c>
      <c r="AK79" s="8" cm="1">
        <f t="array" aca="1" ref="AK79" ca="1">_xlfn.XLOOKUP($A79,    INDIRECT("'" &amp; AK$16 &amp; "'!$A$20:$A$219"),    _xlfn.XLOOKUP(AK$18,INDIRECT("'" &amp; AK$16 &amp; "'!$B$18:$BC$18"), INDIRECT("'" &amp; AK$16 &amp; "'!$B$20:$BC$219"),"XXXXX",0,1),    "XX",    0,    1)</f>
        <v>23</v>
      </c>
      <c r="AM79" s="16"/>
      <c r="AW79" s="8">
        <v>1</v>
      </c>
      <c r="AX79" s="8">
        <f t="shared" ca="1" si="24"/>
        <v>1.6190476190476191</v>
      </c>
      <c r="AY79" s="8">
        <f t="shared" ca="1" si="29"/>
        <v>1.6190476190476191</v>
      </c>
      <c r="AZ79" s="8">
        <f t="shared" ca="1" si="30"/>
        <v>2</v>
      </c>
      <c r="BA79" s="8">
        <f t="shared" ca="1" si="31"/>
        <v>2</v>
      </c>
      <c r="BB79" s="8">
        <f t="shared" ca="1" si="32"/>
        <v>2.1904761904761907</v>
      </c>
      <c r="BC79" s="8">
        <f t="shared" ca="1" si="33"/>
        <v>2.1904761904761907</v>
      </c>
      <c r="BE79" s="8">
        <f t="shared" ca="1" si="26"/>
        <v>0</v>
      </c>
      <c r="BF79" s="8">
        <f t="shared" ca="1" si="27"/>
        <v>0</v>
      </c>
      <c r="BG79" s="8">
        <f t="shared" ca="1" si="28"/>
        <v>0</v>
      </c>
    </row>
    <row r="80" spans="1:59" x14ac:dyDescent="0.2">
      <c r="A80" s="8" t="s">
        <v>45</v>
      </c>
      <c r="B80" s="8" t="s">
        <v>269</v>
      </c>
      <c r="C80" s="8">
        <v>-36</v>
      </c>
      <c r="D80" s="8">
        <v>465189.5</v>
      </c>
      <c r="E80" s="8">
        <v>5964176</v>
      </c>
      <c r="F80" s="8">
        <v>0</v>
      </c>
      <c r="G80" s="8">
        <v>-0.6</v>
      </c>
      <c r="H80" s="8">
        <v>0</v>
      </c>
      <c r="I80" s="8">
        <v>2</v>
      </c>
      <c r="J80" s="8">
        <v>0</v>
      </c>
      <c r="K80" s="8">
        <v>-65.900000000000006</v>
      </c>
      <c r="L80" s="8">
        <v>29.9</v>
      </c>
      <c r="M80" s="8">
        <v>1684.673</v>
      </c>
      <c r="N80" s="8">
        <v>91.3</v>
      </c>
      <c r="O80" s="8">
        <v>8</v>
      </c>
      <c r="P80" s="8">
        <v>10</v>
      </c>
      <c r="Q80" s="8">
        <v>2.93</v>
      </c>
      <c r="R80" s="8">
        <v>68</v>
      </c>
      <c r="S80" s="8">
        <v>110</v>
      </c>
      <c r="T80" s="3">
        <v>147</v>
      </c>
      <c r="U80" s="8">
        <v>1357.7339999999999</v>
      </c>
      <c r="V80" s="8">
        <v>422.01600000000002</v>
      </c>
      <c r="W80" s="8">
        <v>752.85199999999998</v>
      </c>
      <c r="X80" s="8">
        <v>132.18100000000001</v>
      </c>
      <c r="Y80" s="8">
        <v>4.9400000000000004</v>
      </c>
      <c r="Z80" s="8">
        <v>8.0150000000000006</v>
      </c>
      <c r="AA80" s="8">
        <v>21.7</v>
      </c>
      <c r="AB80" s="8">
        <v>290.5</v>
      </c>
      <c r="AC80" s="8">
        <v>12666</v>
      </c>
      <c r="AD80" s="8">
        <v>3248</v>
      </c>
      <c r="AE80" s="8">
        <v>268</v>
      </c>
      <c r="AF80" s="8" cm="1">
        <f t="array" aca="1" ref="AF80" ca="1">_xlfn.XLOOKUP($A80,    INDIRECT("'" &amp; AF$16 &amp; "'!$A$20:$A$219"),    _xlfn.XLOOKUP(AF$18,INDIRECT("'" &amp; AF$16 &amp; "'!$B$18:$BC$18"), INDIRECT("'" &amp; AF$16 &amp; "'!$B$20:$BC$219"),"XXXXX",0,1),    "XX",    0,    1)</f>
        <v>15</v>
      </c>
      <c r="AG80" s="8" cm="1">
        <f t="array" aca="1" ref="AG80" ca="1">_xlfn.XLOOKUP($A80,    INDIRECT("'" &amp; AG$16 &amp; "'!$A$20:$A$219"),    _xlfn.XLOOKUP(AG$18,INDIRECT("'" &amp; AG$16 &amp; "'!$B$18:$BC$18"), INDIRECT("'" &amp; AG$16 &amp; "'!$B$20:$BC$219"),"XXXXX",0,1),    "XX",    0,    1)</f>
        <v>15</v>
      </c>
      <c r="AH80" s="8" cm="1">
        <f t="array" aca="1" ref="AH80" ca="1">_xlfn.XLOOKUP($A80,    INDIRECT("'" &amp; AH$16 &amp; "'!$A$20:$A$219"),    _xlfn.XLOOKUP(AH$18,INDIRECT("'" &amp; AH$16 &amp; "'!$B$18:$BC$18"), INDIRECT("'" &amp; AH$16 &amp; "'!$B$20:$BC$219"),"XXXXX",0,1),    "XX",    0,    1)</f>
        <v>19</v>
      </c>
      <c r="AI80" s="8" cm="1">
        <f t="array" aca="1" ref="AI80" ca="1">_xlfn.XLOOKUP($A80,    INDIRECT("'" &amp; AI$16 &amp; "'!$A$20:$A$219"),    _xlfn.XLOOKUP(AI$18,INDIRECT("'" &amp; AI$16 &amp; "'!$B$18:$BC$18"), INDIRECT("'" &amp; AI$16 &amp; "'!$B$20:$BC$219"),"XXXXX",0,1),    "XX",    0,    1)</f>
        <v>19</v>
      </c>
      <c r="AJ80" s="8" cm="1">
        <f t="array" aca="1" ref="AJ80" ca="1">_xlfn.XLOOKUP($A80,    INDIRECT("'" &amp; AJ$16 &amp; "'!$A$20:$A$219"),    _xlfn.XLOOKUP(AJ$18,INDIRECT("'" &amp; AJ$16 &amp; "'!$B$18:$BC$18"), INDIRECT("'" &amp; AJ$16 &amp; "'!$B$20:$BC$219"),"XXXXX",0,1),    "XX",    0,    1)</f>
        <v>21</v>
      </c>
      <c r="AK80" s="8" cm="1">
        <f t="array" aca="1" ref="AK80" ca="1">_xlfn.XLOOKUP($A80,    INDIRECT("'" &amp; AK$16 &amp; "'!$A$20:$A$219"),    _xlfn.XLOOKUP(AK$18,INDIRECT("'" &amp; AK$16 &amp; "'!$B$18:$BC$18"), INDIRECT("'" &amp; AK$16 &amp; "'!$B$20:$BC$219"),"XXXXX",0,1),    "XX",    0,    1)</f>
        <v>21</v>
      </c>
      <c r="AM80" s="16"/>
      <c r="AW80" s="8">
        <v>1</v>
      </c>
      <c r="AX80" s="8">
        <f t="shared" ca="1" si="24"/>
        <v>1.5</v>
      </c>
      <c r="AY80" s="8">
        <f t="shared" ca="1" si="29"/>
        <v>1.5</v>
      </c>
      <c r="AZ80" s="8">
        <f t="shared" ca="1" si="30"/>
        <v>1.9</v>
      </c>
      <c r="BA80" s="8">
        <f t="shared" ca="1" si="31"/>
        <v>1.9</v>
      </c>
      <c r="BB80" s="8">
        <f t="shared" ca="1" si="32"/>
        <v>2.1</v>
      </c>
      <c r="BC80" s="8">
        <f t="shared" ca="1" si="33"/>
        <v>2.1</v>
      </c>
      <c r="BE80" s="8">
        <f t="shared" ca="1" si="26"/>
        <v>0</v>
      </c>
      <c r="BF80" s="8">
        <f t="shared" ca="1" si="27"/>
        <v>0</v>
      </c>
      <c r="BG80" s="8">
        <f t="shared" ca="1" si="28"/>
        <v>0</v>
      </c>
    </row>
    <row r="81" spans="1:59" x14ac:dyDescent="0.2">
      <c r="A81" s="8" t="s">
        <v>144</v>
      </c>
      <c r="B81" s="8" t="s">
        <v>265</v>
      </c>
      <c r="C81" s="8">
        <v>-31</v>
      </c>
      <c r="D81" s="8">
        <v>468965</v>
      </c>
      <c r="E81" s="8">
        <v>5961442.0999999996</v>
      </c>
      <c r="F81" s="8">
        <v>0</v>
      </c>
      <c r="G81" s="8">
        <v>-0.6</v>
      </c>
      <c r="H81" s="8">
        <v>0</v>
      </c>
      <c r="I81" s="8">
        <v>2</v>
      </c>
      <c r="J81" s="8">
        <v>0</v>
      </c>
      <c r="K81" s="8">
        <v>-59.9</v>
      </c>
      <c r="L81" s="8">
        <v>28.9</v>
      </c>
      <c r="M81" s="8">
        <v>1456.64</v>
      </c>
      <c r="N81" s="8">
        <v>85.3</v>
      </c>
      <c r="O81" s="8">
        <v>8</v>
      </c>
      <c r="P81" s="8">
        <v>10</v>
      </c>
      <c r="Q81" s="8">
        <v>2.83</v>
      </c>
      <c r="R81" s="8">
        <v>66</v>
      </c>
      <c r="S81" s="8">
        <v>110</v>
      </c>
      <c r="T81" s="3">
        <v>147</v>
      </c>
      <c r="U81" s="8">
        <v>1296.1579999999999</v>
      </c>
      <c r="V81" s="8">
        <v>524.24400000000003</v>
      </c>
      <c r="W81" s="8">
        <v>752.85199999999998</v>
      </c>
      <c r="X81" s="8">
        <v>132.18100000000001</v>
      </c>
      <c r="Y81" s="8">
        <v>4.9400000000000004</v>
      </c>
      <c r="Z81" s="8">
        <v>8.0150000000000006</v>
      </c>
      <c r="AA81" s="8">
        <v>21.7</v>
      </c>
      <c r="AB81" s="8">
        <v>290.5</v>
      </c>
      <c r="AC81" s="8">
        <v>12295</v>
      </c>
      <c r="AD81" s="8">
        <v>2938</v>
      </c>
      <c r="AE81" s="8">
        <v>268</v>
      </c>
      <c r="AF81" s="8" cm="1">
        <f t="array" aca="1" ref="AF81" ca="1">_xlfn.XLOOKUP($A81,    INDIRECT("'" &amp; AF$16 &amp; "'!$A$20:$A$219"),    _xlfn.XLOOKUP(AF$18,INDIRECT("'" &amp; AF$16 &amp; "'!$B$18:$BC$18"), INDIRECT("'" &amp; AF$16 &amp; "'!$B$20:$BC$219"),"XXXXX",0,1),    "XX",    0,    1)</f>
        <v>15</v>
      </c>
      <c r="AG81" s="8" cm="1">
        <f t="array" aca="1" ref="AG81" ca="1">_xlfn.XLOOKUP($A81,    INDIRECT("'" &amp; AG$16 &amp; "'!$A$20:$A$219"),    _xlfn.XLOOKUP(AG$18,INDIRECT("'" &amp; AG$16 &amp; "'!$B$18:$BC$18"), INDIRECT("'" &amp; AG$16 &amp; "'!$B$20:$BC$219"),"XXXXX",0,1),    "XX",    0,    1)</f>
        <v>15</v>
      </c>
      <c r="AH81" s="8" cm="1">
        <f t="array" aca="1" ref="AH81" ca="1">_xlfn.XLOOKUP($A81,    INDIRECT("'" &amp; AH$16 &amp; "'!$A$20:$A$219"),    _xlfn.XLOOKUP(AH$18,INDIRECT("'" &amp; AH$16 &amp; "'!$B$18:$BC$18"), INDIRECT("'" &amp; AH$16 &amp; "'!$B$20:$BC$219"),"XXXXX",0,1),    "XX",    0,    1)</f>
        <v>19</v>
      </c>
      <c r="AI81" s="8" cm="1">
        <f t="array" aca="1" ref="AI81" ca="1">_xlfn.XLOOKUP($A81,    INDIRECT("'" &amp; AI$16 &amp; "'!$A$20:$A$219"),    _xlfn.XLOOKUP(AI$18,INDIRECT("'" &amp; AI$16 &amp; "'!$B$18:$BC$18"), INDIRECT("'" &amp; AI$16 &amp; "'!$B$20:$BC$219"),"XXXXX",0,1),    "XX",    0,    1)</f>
        <v>19</v>
      </c>
      <c r="AJ81" s="8" cm="1">
        <f t="array" aca="1" ref="AJ81" ca="1">_xlfn.XLOOKUP($A81,    INDIRECT("'" &amp; AJ$16 &amp; "'!$A$20:$A$219"),    _xlfn.XLOOKUP(AJ$18,INDIRECT("'" &amp; AJ$16 &amp; "'!$B$18:$BC$18"), INDIRECT("'" &amp; AJ$16 &amp; "'!$B$20:$BC$219"),"XXXXX",0,1),    "XX",    0,    1)</f>
        <v>19</v>
      </c>
      <c r="AK81" s="8" cm="1">
        <f t="array" aca="1" ref="AK81" ca="1">_xlfn.XLOOKUP($A81,    INDIRECT("'" &amp; AK$16 &amp; "'!$A$20:$A$219"),    _xlfn.XLOOKUP(AK$18,INDIRECT("'" &amp; AK$16 &amp; "'!$B$18:$BC$18"), INDIRECT("'" &amp; AK$16 &amp; "'!$B$20:$BC$219"),"XXXXX",0,1),    "XX",    0,    1)</f>
        <v>19</v>
      </c>
      <c r="AM81" s="16"/>
      <c r="AW81" s="8">
        <v>1</v>
      </c>
      <c r="AX81" s="8">
        <f t="shared" ca="1" si="24"/>
        <v>1.5</v>
      </c>
      <c r="AY81" s="8">
        <f t="shared" ca="1" si="29"/>
        <v>1.5</v>
      </c>
      <c r="AZ81" s="8">
        <f t="shared" ca="1" si="30"/>
        <v>1.9</v>
      </c>
      <c r="BA81" s="8">
        <f t="shared" ca="1" si="31"/>
        <v>1.9</v>
      </c>
      <c r="BB81" s="8">
        <f t="shared" ca="1" si="32"/>
        <v>1.9</v>
      </c>
      <c r="BC81" s="8">
        <f t="shared" ca="1" si="33"/>
        <v>1.9</v>
      </c>
      <c r="BE81" s="8">
        <f t="shared" ca="1" si="26"/>
        <v>0</v>
      </c>
      <c r="BF81" s="8">
        <f t="shared" ca="1" si="27"/>
        <v>0</v>
      </c>
      <c r="BG81" s="8">
        <f t="shared" ca="1" si="28"/>
        <v>0</v>
      </c>
    </row>
    <row r="82" spans="1:59" x14ac:dyDescent="0.2">
      <c r="A82" s="8" t="s">
        <v>159</v>
      </c>
      <c r="B82" s="8" t="s">
        <v>265</v>
      </c>
      <c r="C82" s="8">
        <v>-29.4</v>
      </c>
      <c r="D82" s="8">
        <v>472154.9</v>
      </c>
      <c r="E82" s="8">
        <v>5959675.2999999998</v>
      </c>
      <c r="F82" s="8">
        <v>0</v>
      </c>
      <c r="G82" s="8">
        <v>-0.7</v>
      </c>
      <c r="H82" s="8">
        <v>0</v>
      </c>
      <c r="I82" s="8">
        <v>2</v>
      </c>
      <c r="J82" s="8">
        <v>0</v>
      </c>
      <c r="K82" s="8">
        <v>-58.2</v>
      </c>
      <c r="L82" s="8">
        <v>28.8</v>
      </c>
      <c r="M82" s="8">
        <v>1422.4680000000001</v>
      </c>
      <c r="N82" s="8">
        <v>83.6</v>
      </c>
      <c r="O82" s="8">
        <v>8</v>
      </c>
      <c r="P82" s="8">
        <v>10</v>
      </c>
      <c r="Q82" s="8">
        <v>2.81</v>
      </c>
      <c r="R82" s="8">
        <v>64</v>
      </c>
      <c r="S82" s="8">
        <v>110</v>
      </c>
      <c r="T82" s="3">
        <v>147</v>
      </c>
      <c r="U82" s="8">
        <v>1233.8040000000001</v>
      </c>
      <c r="V82" s="8">
        <v>430.87599999999998</v>
      </c>
      <c r="W82" s="8">
        <v>752.85199999999998</v>
      </c>
      <c r="X82" s="8">
        <v>132.18100000000001</v>
      </c>
      <c r="Y82" s="8">
        <v>4.9400000000000004</v>
      </c>
      <c r="Z82" s="8">
        <v>8.0150000000000006</v>
      </c>
      <c r="AA82" s="8">
        <v>21.7</v>
      </c>
      <c r="AB82" s="8">
        <v>290.5</v>
      </c>
      <c r="AC82" s="8">
        <v>12189</v>
      </c>
      <c r="AD82" s="8">
        <v>2839</v>
      </c>
      <c r="AE82" s="8">
        <v>268</v>
      </c>
      <c r="AF82" s="8" cm="1">
        <f t="array" aca="1" ref="AF82" ca="1">_xlfn.XLOOKUP($A82,    INDIRECT("'" &amp; AF$16 &amp; "'!$A$20:$A$219"),    _xlfn.XLOOKUP(AF$18,INDIRECT("'" &amp; AF$16 &amp; "'!$B$18:$BC$18"), INDIRECT("'" &amp; AF$16 &amp; "'!$B$20:$BC$219"),"XXXXX",0,1),    "XX",    0,    1)</f>
        <v>15</v>
      </c>
      <c r="AG82" s="8" cm="1">
        <f t="array" aca="1" ref="AG82" ca="1">_xlfn.XLOOKUP($A82,    INDIRECT("'" &amp; AG$16 &amp; "'!$A$20:$A$219"),    _xlfn.XLOOKUP(AG$18,INDIRECT("'" &amp; AG$16 &amp; "'!$B$18:$BC$18"), INDIRECT("'" &amp; AG$16 &amp; "'!$B$20:$BC$219"),"XXXXX",0,1),    "XX",    0,    1)</f>
        <v>15</v>
      </c>
      <c r="AH82" s="8" cm="1">
        <f t="array" aca="1" ref="AH82" ca="1">_xlfn.XLOOKUP($A82,    INDIRECT("'" &amp; AH$16 &amp; "'!$A$20:$A$219"),    _xlfn.XLOOKUP(AH$18,INDIRECT("'" &amp; AH$16 &amp; "'!$B$18:$BC$18"), INDIRECT("'" &amp; AH$16 &amp; "'!$B$20:$BC$219"),"XXXXX",0,1),    "XX",    0,    1)</f>
        <v>19</v>
      </c>
      <c r="AI82" s="8" cm="1">
        <f t="array" aca="1" ref="AI82" ca="1">_xlfn.XLOOKUP($A82,    INDIRECT("'" &amp; AI$16 &amp; "'!$A$20:$A$219"),    _xlfn.XLOOKUP(AI$18,INDIRECT("'" &amp; AI$16 &amp; "'!$B$18:$BC$18"), INDIRECT("'" &amp; AI$16 &amp; "'!$B$20:$BC$219"),"XXXXX",0,1),    "XX",    0,    1)</f>
        <v>19</v>
      </c>
      <c r="AJ82" s="8" cm="1">
        <f t="array" aca="1" ref="AJ82" ca="1">_xlfn.XLOOKUP($A82,    INDIRECT("'" &amp; AJ$16 &amp; "'!$A$20:$A$219"),    _xlfn.XLOOKUP(AJ$18,INDIRECT("'" &amp; AJ$16 &amp; "'!$B$18:$BC$18"), INDIRECT("'" &amp; AJ$16 &amp; "'!$B$20:$BC$219"),"XXXXX",0,1),    "XX",    0,    1)</f>
        <v>19</v>
      </c>
      <c r="AK82" s="8" cm="1">
        <f t="array" aca="1" ref="AK82" ca="1">_xlfn.XLOOKUP($A82,    INDIRECT("'" &amp; AK$16 &amp; "'!$A$20:$A$219"),    _xlfn.XLOOKUP(AK$18,INDIRECT("'" &amp; AK$16 &amp; "'!$B$18:$BC$18"), INDIRECT("'" &amp; AK$16 &amp; "'!$B$20:$BC$219"),"XXXXX",0,1),    "XX",    0,    1)</f>
        <v>19</v>
      </c>
      <c r="AM82" s="16"/>
      <c r="AW82" s="8">
        <v>1</v>
      </c>
      <c r="AX82" s="8">
        <f t="shared" ca="1" si="24"/>
        <v>1.5</v>
      </c>
      <c r="AY82" s="8">
        <f t="shared" ca="1" si="29"/>
        <v>1.5</v>
      </c>
      <c r="AZ82" s="8">
        <f t="shared" ca="1" si="30"/>
        <v>1.9</v>
      </c>
      <c r="BA82" s="8">
        <f t="shared" ca="1" si="31"/>
        <v>1.9</v>
      </c>
      <c r="BB82" s="8">
        <f t="shared" ca="1" si="32"/>
        <v>1.9</v>
      </c>
      <c r="BC82" s="8">
        <f t="shared" ca="1" si="33"/>
        <v>1.9</v>
      </c>
      <c r="BE82" s="8">
        <f t="shared" ca="1" si="26"/>
        <v>0</v>
      </c>
      <c r="BF82" s="8">
        <f t="shared" ca="1" si="27"/>
        <v>0</v>
      </c>
      <c r="BG82" s="8">
        <f t="shared" ca="1" si="28"/>
        <v>0</v>
      </c>
    </row>
    <row r="83" spans="1:59" x14ac:dyDescent="0.2">
      <c r="A83" s="8" t="s">
        <v>106</v>
      </c>
      <c r="B83" s="8" t="s">
        <v>269</v>
      </c>
      <c r="C83" s="8">
        <v>-31.4</v>
      </c>
      <c r="D83" s="8">
        <v>474974.3</v>
      </c>
      <c r="E83" s="8">
        <v>5958531.5999999996</v>
      </c>
      <c r="F83" s="8">
        <v>0</v>
      </c>
      <c r="G83" s="8">
        <v>-0.7</v>
      </c>
      <c r="H83" s="8">
        <v>0</v>
      </c>
      <c r="I83" s="8">
        <v>2</v>
      </c>
      <c r="J83" s="8">
        <v>0</v>
      </c>
      <c r="K83" s="8">
        <v>-62.4</v>
      </c>
      <c r="L83" s="8">
        <v>31</v>
      </c>
      <c r="M83" s="8">
        <v>1526.357</v>
      </c>
      <c r="N83" s="8">
        <v>87.8</v>
      </c>
      <c r="O83" s="8">
        <v>8</v>
      </c>
      <c r="P83" s="8">
        <v>10</v>
      </c>
      <c r="Q83" s="8">
        <v>3.03</v>
      </c>
      <c r="R83" s="8">
        <v>68</v>
      </c>
      <c r="S83" s="8">
        <v>110</v>
      </c>
      <c r="T83" s="3">
        <v>147</v>
      </c>
      <c r="U83" s="8">
        <v>1295.9949999999999</v>
      </c>
      <c r="V83" s="8">
        <v>555.55899999999997</v>
      </c>
      <c r="W83" s="8">
        <v>752.85199999999998</v>
      </c>
      <c r="X83" s="8">
        <v>132.18100000000001</v>
      </c>
      <c r="Y83" s="8">
        <v>4.9400000000000004</v>
      </c>
      <c r="Z83" s="8">
        <v>8.0150000000000006</v>
      </c>
      <c r="AA83" s="8">
        <v>21.7</v>
      </c>
      <c r="AB83" s="8">
        <v>290.5</v>
      </c>
      <c r="AC83" s="8">
        <v>12450</v>
      </c>
      <c r="AD83" s="8">
        <v>2963</v>
      </c>
      <c r="AE83" s="8">
        <v>268</v>
      </c>
      <c r="AF83" s="8" cm="1">
        <f t="array" aca="1" ref="AF83" ca="1">_xlfn.XLOOKUP($A83,    INDIRECT("'" &amp; AF$16 &amp; "'!$A$20:$A$219"),    _xlfn.XLOOKUP(AF$18,INDIRECT("'" &amp; AF$16 &amp; "'!$B$18:$BC$18"), INDIRECT("'" &amp; AF$16 &amp; "'!$B$20:$BC$219"),"XXXXX",0,1),    "XX",    0,    1)</f>
        <v>17</v>
      </c>
      <c r="AG83" s="8" cm="1">
        <f t="array" aca="1" ref="AG83" ca="1">_xlfn.XLOOKUP($A83,    INDIRECT("'" &amp; AG$16 &amp; "'!$A$20:$A$219"),    _xlfn.XLOOKUP(AG$18,INDIRECT("'" &amp; AG$16 &amp; "'!$B$18:$BC$18"), INDIRECT("'" &amp; AG$16 &amp; "'!$B$20:$BC$219"),"XXXXX",0,1),    "XX",    0,    1)</f>
        <v>17</v>
      </c>
      <c r="AH83" s="8" cm="1">
        <f t="array" aca="1" ref="AH83" ca="1">_xlfn.XLOOKUP($A83,    INDIRECT("'" &amp; AH$16 &amp; "'!$A$20:$A$219"),    _xlfn.XLOOKUP(AH$18,INDIRECT("'" &amp; AH$16 &amp; "'!$B$18:$BC$18"), INDIRECT("'" &amp; AH$16 &amp; "'!$B$20:$BC$219"),"XXXXX",0,1),    "XX",    0,    1)</f>
        <v>21</v>
      </c>
      <c r="AI83" s="8" cm="1">
        <f t="array" aca="1" ref="AI83" ca="1">_xlfn.XLOOKUP($A83,    INDIRECT("'" &amp; AI$16 &amp; "'!$A$20:$A$219"),    _xlfn.XLOOKUP(AI$18,INDIRECT("'" &amp; AI$16 &amp; "'!$B$18:$BC$18"), INDIRECT("'" &amp; AI$16 &amp; "'!$B$20:$BC$219"),"XXXXX",0,1),    "XX",    0,    1)</f>
        <v>21</v>
      </c>
      <c r="AJ83" s="8" cm="1">
        <f t="array" aca="1" ref="AJ83" ca="1">_xlfn.XLOOKUP($A83,    INDIRECT("'" &amp; AJ$16 &amp; "'!$A$20:$A$219"),    _xlfn.XLOOKUP(AJ$18,INDIRECT("'" &amp; AJ$16 &amp; "'!$B$18:$BC$18"), INDIRECT("'" &amp; AJ$16 &amp; "'!$B$20:$BC$219"),"XXXXX",0,1),    "XX",    0,    1)</f>
        <v>21</v>
      </c>
      <c r="AK83" s="8" cm="1">
        <f t="array" aca="1" ref="AK83" ca="1">_xlfn.XLOOKUP($A83,    INDIRECT("'" &amp; AK$16 &amp; "'!$A$20:$A$219"),    _xlfn.XLOOKUP(AK$18,INDIRECT("'" &amp; AK$16 &amp; "'!$B$18:$BC$18"), INDIRECT("'" &amp; AK$16 &amp; "'!$B$20:$BC$219"),"XXXXX",0,1),    "XX",    0,    1)</f>
        <v>21</v>
      </c>
      <c r="AM83" s="16"/>
      <c r="AW83" s="8">
        <v>1</v>
      </c>
      <c r="AX83" s="8">
        <f t="shared" ca="1" si="24"/>
        <v>1.7</v>
      </c>
      <c r="AY83" s="8">
        <f t="shared" ca="1" si="29"/>
        <v>1.7</v>
      </c>
      <c r="AZ83" s="8">
        <f t="shared" ca="1" si="30"/>
        <v>2.1</v>
      </c>
      <c r="BA83" s="8">
        <f t="shared" ca="1" si="31"/>
        <v>2.1</v>
      </c>
      <c r="BB83" s="8">
        <f t="shared" ca="1" si="32"/>
        <v>2.1</v>
      </c>
      <c r="BC83" s="8">
        <f t="shared" ca="1" si="33"/>
        <v>2.1</v>
      </c>
      <c r="BE83" s="8">
        <f t="shared" ca="1" si="26"/>
        <v>0</v>
      </c>
      <c r="BF83" s="8">
        <f t="shared" ca="1" si="27"/>
        <v>0</v>
      </c>
      <c r="BG83" s="8">
        <f t="shared" ca="1" si="28"/>
        <v>0</v>
      </c>
    </row>
    <row r="84" spans="1:59" x14ac:dyDescent="0.2">
      <c r="A84" s="8" t="s">
        <v>120</v>
      </c>
      <c r="B84" s="8" t="s">
        <v>265</v>
      </c>
      <c r="C84" s="8">
        <v>-32.1</v>
      </c>
      <c r="D84" s="8">
        <v>478241.3</v>
      </c>
      <c r="E84" s="8">
        <v>5956648.2000000002</v>
      </c>
      <c r="F84" s="8">
        <v>0</v>
      </c>
      <c r="G84" s="8">
        <v>-0.7</v>
      </c>
      <c r="H84" s="8">
        <v>0</v>
      </c>
      <c r="I84" s="8">
        <v>2</v>
      </c>
      <c r="J84" s="8">
        <v>0</v>
      </c>
      <c r="K84" s="8">
        <v>-61.2</v>
      </c>
      <c r="L84" s="8">
        <v>29.1</v>
      </c>
      <c r="M84" s="8">
        <v>1508.8040000000001</v>
      </c>
      <c r="N84" s="8">
        <v>86.6</v>
      </c>
      <c r="O84" s="8">
        <v>8</v>
      </c>
      <c r="P84" s="8">
        <v>10</v>
      </c>
      <c r="Q84" s="8">
        <v>2.84</v>
      </c>
      <c r="R84" s="8">
        <v>68</v>
      </c>
      <c r="S84" s="8">
        <v>110</v>
      </c>
      <c r="T84" s="3">
        <v>147</v>
      </c>
      <c r="U84" s="8">
        <v>1295.9449999999999</v>
      </c>
      <c r="V84" s="8">
        <v>487.29899999999998</v>
      </c>
      <c r="W84" s="8">
        <v>752.85199999999998</v>
      </c>
      <c r="X84" s="8">
        <v>132.18100000000001</v>
      </c>
      <c r="Y84" s="8">
        <v>4.9400000000000004</v>
      </c>
      <c r="Z84" s="8">
        <v>8.0150000000000006</v>
      </c>
      <c r="AA84" s="8">
        <v>21.7</v>
      </c>
      <c r="AB84" s="8">
        <v>290.5</v>
      </c>
      <c r="AC84" s="8">
        <v>12375</v>
      </c>
      <c r="AD84" s="8">
        <v>3006</v>
      </c>
      <c r="AE84" s="8">
        <v>268</v>
      </c>
      <c r="AF84" s="8" cm="1">
        <f t="array" aca="1" ref="AF84" ca="1">_xlfn.XLOOKUP($A84,    INDIRECT("'" &amp; AF$16 &amp; "'!$A$20:$A$219"),    _xlfn.XLOOKUP(AF$18,INDIRECT("'" &amp; AF$16 &amp; "'!$B$18:$BC$18"), INDIRECT("'" &amp; AF$16 &amp; "'!$B$20:$BC$219"),"XXXXX",0,1),    "XX",    0,    1)</f>
        <v>15</v>
      </c>
      <c r="AG84" s="8" cm="1">
        <f t="array" aca="1" ref="AG84" ca="1">_xlfn.XLOOKUP($A84,    INDIRECT("'" &amp; AG$16 &amp; "'!$A$20:$A$219"),    _xlfn.XLOOKUP(AG$18,INDIRECT("'" &amp; AG$16 &amp; "'!$B$18:$BC$18"), INDIRECT("'" &amp; AG$16 &amp; "'!$B$20:$BC$219"),"XXXXX",0,1),    "XX",    0,    1)</f>
        <v>15</v>
      </c>
      <c r="AH84" s="8" cm="1">
        <f t="array" aca="1" ref="AH84" ca="1">_xlfn.XLOOKUP($A84,    INDIRECT("'" &amp; AH$16 &amp; "'!$A$20:$A$219"),    _xlfn.XLOOKUP(AH$18,INDIRECT("'" &amp; AH$16 &amp; "'!$B$18:$BC$18"), INDIRECT("'" &amp; AH$16 &amp; "'!$B$20:$BC$219"),"XXXXX",0,1),    "XX",    0,    1)</f>
        <v>19</v>
      </c>
      <c r="AI84" s="8" cm="1">
        <f t="array" aca="1" ref="AI84" ca="1">_xlfn.XLOOKUP($A84,    INDIRECT("'" &amp; AI$16 &amp; "'!$A$20:$A$219"),    _xlfn.XLOOKUP(AI$18,INDIRECT("'" &amp; AI$16 &amp; "'!$B$18:$BC$18"), INDIRECT("'" &amp; AI$16 &amp; "'!$B$20:$BC$219"),"XXXXX",0,1),    "XX",    0,    1)</f>
        <v>19</v>
      </c>
      <c r="AJ84" s="8" cm="1">
        <f t="array" aca="1" ref="AJ84" ca="1">_xlfn.XLOOKUP($A84,    INDIRECT("'" &amp; AJ$16 &amp; "'!$A$20:$A$219"),    _xlfn.XLOOKUP(AJ$18,INDIRECT("'" &amp; AJ$16 &amp; "'!$B$18:$BC$18"), INDIRECT("'" &amp; AJ$16 &amp; "'!$B$20:$BC$219"),"XXXXX",0,1),    "XX",    0,    1)</f>
        <v>19</v>
      </c>
      <c r="AK84" s="8" cm="1">
        <f t="array" aca="1" ref="AK84" ca="1">_xlfn.XLOOKUP($A84,    INDIRECT("'" &amp; AK$16 &amp; "'!$A$20:$A$219"),    _xlfn.XLOOKUP(AK$18,INDIRECT("'" &amp; AK$16 &amp; "'!$B$18:$BC$18"), INDIRECT("'" &amp; AK$16 &amp; "'!$B$20:$BC$219"),"XXXXX",0,1),    "XX",    0,    1)</f>
        <v>19</v>
      </c>
      <c r="AM84" s="16"/>
      <c r="AW84" s="8">
        <v>1</v>
      </c>
      <c r="AX84" s="8">
        <f t="shared" ca="1" si="24"/>
        <v>1.5</v>
      </c>
      <c r="AY84" s="8">
        <f t="shared" ref="AY84:AY115" ca="1" si="34">AG84/$P84</f>
        <v>1.5</v>
      </c>
      <c r="AZ84" s="8">
        <f t="shared" ref="AZ84:AZ115" ca="1" si="35">AH84/$P84</f>
        <v>1.9</v>
      </c>
      <c r="BA84" s="8">
        <f t="shared" ref="BA84:BA115" ca="1" si="36">AI84/$P84</f>
        <v>1.9</v>
      </c>
      <c r="BB84" s="8">
        <f t="shared" ref="BB84:BB115" ca="1" si="37">AJ84/$P84</f>
        <v>1.9</v>
      </c>
      <c r="BC84" s="8">
        <f t="shared" ref="BC84:BC115" ca="1" si="38">AK84/$P84</f>
        <v>1.9</v>
      </c>
      <c r="BE84" s="8">
        <f t="shared" ca="1" si="26"/>
        <v>0</v>
      </c>
      <c r="BF84" s="8">
        <f t="shared" ca="1" si="27"/>
        <v>0</v>
      </c>
      <c r="BG84" s="8">
        <f t="shared" ca="1" si="28"/>
        <v>0</v>
      </c>
    </row>
    <row r="85" spans="1:59" x14ac:dyDescent="0.2">
      <c r="A85" s="8" t="s">
        <v>84</v>
      </c>
      <c r="B85" s="8" t="s">
        <v>269</v>
      </c>
      <c r="C85" s="8">
        <v>-34.1</v>
      </c>
      <c r="D85" s="8">
        <v>480591</v>
      </c>
      <c r="E85" s="8">
        <v>5956212.5</v>
      </c>
      <c r="F85" s="8">
        <v>0</v>
      </c>
      <c r="G85" s="8">
        <v>-0.6</v>
      </c>
      <c r="H85" s="8">
        <v>0</v>
      </c>
      <c r="I85" s="8">
        <v>2</v>
      </c>
      <c r="J85" s="8">
        <v>0</v>
      </c>
      <c r="K85" s="8">
        <v>-63.8</v>
      </c>
      <c r="L85" s="8">
        <v>29.7</v>
      </c>
      <c r="M85" s="8">
        <v>1595.403</v>
      </c>
      <c r="N85" s="8">
        <v>89.2</v>
      </c>
      <c r="O85" s="8">
        <v>8</v>
      </c>
      <c r="P85" s="8">
        <v>10</v>
      </c>
      <c r="Q85" s="8">
        <v>2.91</v>
      </c>
      <c r="R85" s="8">
        <v>68</v>
      </c>
      <c r="S85" s="8">
        <v>110</v>
      </c>
      <c r="T85" s="3">
        <v>147</v>
      </c>
      <c r="U85" s="8">
        <v>1358.0350000000001</v>
      </c>
      <c r="V85" s="8">
        <v>547.24</v>
      </c>
      <c r="W85" s="8">
        <v>752.85199999999998</v>
      </c>
      <c r="X85" s="8">
        <v>132.18100000000001</v>
      </c>
      <c r="Y85" s="8">
        <v>4.9400000000000004</v>
      </c>
      <c r="Z85" s="8">
        <v>8.0150000000000006</v>
      </c>
      <c r="AA85" s="8">
        <v>21.7</v>
      </c>
      <c r="AB85" s="8">
        <v>290.5</v>
      </c>
      <c r="AC85" s="8">
        <v>12536</v>
      </c>
      <c r="AD85" s="8">
        <v>3130</v>
      </c>
      <c r="AE85" s="8">
        <v>268</v>
      </c>
      <c r="AF85" s="8" cm="1">
        <f t="array" aca="1" ref="AF85" ca="1">_xlfn.XLOOKUP($A85,    INDIRECT("'" &amp; AF$16 &amp; "'!$A$20:$A$219"),    _xlfn.XLOOKUP(AF$18,INDIRECT("'" &amp; AF$16 &amp; "'!$B$18:$BC$18"), INDIRECT("'" &amp; AF$16 &amp; "'!$B$20:$BC$219"),"XXXXX",0,1),    "XX",    0,    1)</f>
        <v>15</v>
      </c>
      <c r="AG85" s="8" cm="1">
        <f t="array" aca="1" ref="AG85" ca="1">_xlfn.XLOOKUP($A85,    INDIRECT("'" &amp; AG$16 &amp; "'!$A$20:$A$219"),    _xlfn.XLOOKUP(AG$18,INDIRECT("'" &amp; AG$16 &amp; "'!$B$18:$BC$18"), INDIRECT("'" &amp; AG$16 &amp; "'!$B$20:$BC$219"),"XXXXX",0,1),    "XX",    0,    1)</f>
        <v>15</v>
      </c>
      <c r="AH85" s="8" cm="1">
        <f t="array" aca="1" ref="AH85" ca="1">_xlfn.XLOOKUP($A85,    INDIRECT("'" &amp; AH$16 &amp; "'!$A$20:$A$219"),    _xlfn.XLOOKUP(AH$18,INDIRECT("'" &amp; AH$16 &amp; "'!$B$18:$BC$18"), INDIRECT("'" &amp; AH$16 &amp; "'!$B$20:$BC$219"),"XXXXX",0,1),    "XX",    0,    1)</f>
        <v>19</v>
      </c>
      <c r="AI85" s="8" cm="1">
        <f t="array" aca="1" ref="AI85" ca="1">_xlfn.XLOOKUP($A85,    INDIRECT("'" &amp; AI$16 &amp; "'!$A$20:$A$219"),    _xlfn.XLOOKUP(AI$18,INDIRECT("'" &amp; AI$16 &amp; "'!$B$18:$BC$18"), INDIRECT("'" &amp; AI$16 &amp; "'!$B$20:$BC$219"),"XXXXX",0,1),    "XX",    0,    1)</f>
        <v>19</v>
      </c>
      <c r="AJ85" s="8" cm="1">
        <f t="array" aca="1" ref="AJ85" ca="1">_xlfn.XLOOKUP($A85,    INDIRECT("'" &amp; AJ$16 &amp; "'!$A$20:$A$219"),    _xlfn.XLOOKUP(AJ$18,INDIRECT("'" &amp; AJ$16 &amp; "'!$B$18:$BC$18"), INDIRECT("'" &amp; AJ$16 &amp; "'!$B$20:$BC$219"),"XXXXX",0,1),    "XX",    0,    1)</f>
        <v>21</v>
      </c>
      <c r="AK85" s="8" cm="1">
        <f t="array" aca="1" ref="AK85" ca="1">_xlfn.XLOOKUP($A85,    INDIRECT("'" &amp; AK$16 &amp; "'!$A$20:$A$219"),    _xlfn.XLOOKUP(AK$18,INDIRECT("'" &amp; AK$16 &amp; "'!$B$18:$BC$18"), INDIRECT("'" &amp; AK$16 &amp; "'!$B$20:$BC$219"),"XXXXX",0,1),    "XX",    0,    1)</f>
        <v>21</v>
      </c>
      <c r="AM85" s="16"/>
      <c r="AW85" s="8">
        <v>1</v>
      </c>
      <c r="AX85" s="8">
        <f t="shared" ref="AX85:AX148" ca="1" si="39">AF85/$P85</f>
        <v>1.5</v>
      </c>
      <c r="AY85" s="8">
        <f t="shared" ca="1" si="34"/>
        <v>1.5</v>
      </c>
      <c r="AZ85" s="8">
        <f t="shared" ca="1" si="35"/>
        <v>1.9</v>
      </c>
      <c r="BA85" s="8">
        <f t="shared" ca="1" si="36"/>
        <v>1.9</v>
      </c>
      <c r="BB85" s="8">
        <f t="shared" ca="1" si="37"/>
        <v>2.1</v>
      </c>
      <c r="BC85" s="8">
        <f t="shared" ca="1" si="38"/>
        <v>2.1</v>
      </c>
      <c r="BE85" s="8">
        <f t="shared" ref="BE85:BE148" ca="1" si="40">AG85-AF85</f>
        <v>0</v>
      </c>
      <c r="BF85" s="8">
        <f t="shared" ref="BF85:BF148" ca="1" si="41">AI85-AH85</f>
        <v>0</v>
      </c>
      <c r="BG85" s="8">
        <f t="shared" ref="BG85:BG148" ca="1" si="42">AK85-AJ85</f>
        <v>0</v>
      </c>
    </row>
    <row r="86" spans="1:59" x14ac:dyDescent="0.2">
      <c r="A86" s="8" t="s">
        <v>91</v>
      </c>
      <c r="B86" s="8" t="s">
        <v>269</v>
      </c>
      <c r="C86" s="8">
        <v>-34.4</v>
      </c>
      <c r="D86" s="8">
        <v>481023.4</v>
      </c>
      <c r="E86" s="8">
        <v>5958793.4000000004</v>
      </c>
      <c r="F86" s="8">
        <v>0</v>
      </c>
      <c r="G86" s="8">
        <v>-0.6</v>
      </c>
      <c r="H86" s="8">
        <v>0</v>
      </c>
      <c r="I86" s="8">
        <v>2</v>
      </c>
      <c r="J86" s="8">
        <v>0</v>
      </c>
      <c r="K86" s="8">
        <v>-63.2</v>
      </c>
      <c r="L86" s="8">
        <v>28.8</v>
      </c>
      <c r="M86" s="8">
        <v>1592.0550000000001</v>
      </c>
      <c r="N86" s="8">
        <v>88.6</v>
      </c>
      <c r="O86" s="8">
        <v>8</v>
      </c>
      <c r="P86" s="8">
        <v>10</v>
      </c>
      <c r="Q86" s="8">
        <v>2.82</v>
      </c>
      <c r="R86" s="8">
        <v>68</v>
      </c>
      <c r="S86" s="8">
        <v>110</v>
      </c>
      <c r="T86" s="3">
        <v>147</v>
      </c>
      <c r="U86" s="8">
        <v>1295.6559999999999</v>
      </c>
      <c r="V86" s="8">
        <v>577.726</v>
      </c>
      <c r="W86" s="8">
        <v>752.85199999999998</v>
      </c>
      <c r="X86" s="8">
        <v>132.18100000000001</v>
      </c>
      <c r="Y86" s="8">
        <v>4.9400000000000004</v>
      </c>
      <c r="Z86" s="8">
        <v>8.0150000000000006</v>
      </c>
      <c r="AA86" s="8">
        <v>21.7</v>
      </c>
      <c r="AB86" s="8">
        <v>290.5</v>
      </c>
      <c r="AC86" s="8">
        <v>12498</v>
      </c>
      <c r="AD86" s="8">
        <v>3149</v>
      </c>
      <c r="AE86" s="8">
        <v>268</v>
      </c>
      <c r="AF86" s="8" cm="1">
        <f t="array" aca="1" ref="AF86" ca="1">_xlfn.XLOOKUP($A86,    INDIRECT("'" &amp; AF$16 &amp; "'!$A$20:$A$219"),    _xlfn.XLOOKUP(AF$18,INDIRECT("'" &amp; AF$16 &amp; "'!$B$18:$BC$18"), INDIRECT("'" &amp; AF$16 &amp; "'!$B$20:$BC$219"),"XXXXX",0,1),    "XX",    0,    1)</f>
        <v>15</v>
      </c>
      <c r="AG86" s="8" cm="1">
        <f t="array" aca="1" ref="AG86" ca="1">_xlfn.XLOOKUP($A86,    INDIRECT("'" &amp; AG$16 &amp; "'!$A$20:$A$219"),    _xlfn.XLOOKUP(AG$18,INDIRECT("'" &amp; AG$16 &amp; "'!$B$18:$BC$18"), INDIRECT("'" &amp; AG$16 &amp; "'!$B$20:$BC$219"),"XXXXX",0,1),    "XX",    0,    1)</f>
        <v>15</v>
      </c>
      <c r="AH86" s="8" cm="1">
        <f t="array" aca="1" ref="AH86" ca="1">_xlfn.XLOOKUP($A86,    INDIRECT("'" &amp; AH$16 &amp; "'!$A$20:$A$219"),    _xlfn.XLOOKUP(AH$18,INDIRECT("'" &amp; AH$16 &amp; "'!$B$18:$BC$18"), INDIRECT("'" &amp; AH$16 &amp; "'!$B$20:$BC$219"),"XXXXX",0,1),    "XX",    0,    1)</f>
        <v>19</v>
      </c>
      <c r="AI86" s="8" cm="1">
        <f t="array" aca="1" ref="AI86" ca="1">_xlfn.XLOOKUP($A86,    INDIRECT("'" &amp; AI$16 &amp; "'!$A$20:$A$219"),    _xlfn.XLOOKUP(AI$18,INDIRECT("'" &amp; AI$16 &amp; "'!$B$18:$BC$18"), INDIRECT("'" &amp; AI$16 &amp; "'!$B$20:$BC$219"),"XXXXX",0,1),    "XX",    0,    1)</f>
        <v>19</v>
      </c>
      <c r="AJ86" s="8" cm="1">
        <f t="array" aca="1" ref="AJ86" ca="1">_xlfn.XLOOKUP($A86,    INDIRECT("'" &amp; AJ$16 &amp; "'!$A$20:$A$219"),    _xlfn.XLOOKUP(AJ$18,INDIRECT("'" &amp; AJ$16 &amp; "'!$B$18:$BC$18"), INDIRECT("'" &amp; AJ$16 &amp; "'!$B$20:$BC$219"),"XXXXX",0,1),    "XX",    0,    1)</f>
        <v>19</v>
      </c>
      <c r="AK86" s="8" cm="1">
        <f t="array" aca="1" ref="AK86" ca="1">_xlfn.XLOOKUP($A86,    INDIRECT("'" &amp; AK$16 &amp; "'!$A$20:$A$219"),    _xlfn.XLOOKUP(AK$18,INDIRECT("'" &amp; AK$16 &amp; "'!$B$18:$BC$18"), INDIRECT("'" &amp; AK$16 &amp; "'!$B$20:$BC$219"),"XXXXX",0,1),    "XX",    0,    1)</f>
        <v>19</v>
      </c>
      <c r="AM86" s="16"/>
      <c r="AW86" s="8">
        <v>1</v>
      </c>
      <c r="AX86" s="8">
        <f t="shared" ca="1" si="39"/>
        <v>1.5</v>
      </c>
      <c r="AY86" s="8">
        <f t="shared" ca="1" si="34"/>
        <v>1.5</v>
      </c>
      <c r="AZ86" s="8">
        <f t="shared" ca="1" si="35"/>
        <v>1.9</v>
      </c>
      <c r="BA86" s="8">
        <f t="shared" ca="1" si="36"/>
        <v>1.9</v>
      </c>
      <c r="BB86" s="8">
        <f t="shared" ca="1" si="37"/>
        <v>1.9</v>
      </c>
      <c r="BC86" s="8">
        <f t="shared" ca="1" si="38"/>
        <v>1.9</v>
      </c>
      <c r="BE86" s="8">
        <f t="shared" ca="1" si="40"/>
        <v>0</v>
      </c>
      <c r="BF86" s="8">
        <f t="shared" ca="1" si="41"/>
        <v>0</v>
      </c>
      <c r="BG86" s="8">
        <f t="shared" ca="1" si="42"/>
        <v>0</v>
      </c>
    </row>
    <row r="87" spans="1:59" x14ac:dyDescent="0.2">
      <c r="A87" s="8" t="s">
        <v>177</v>
      </c>
      <c r="B87" s="8" t="s">
        <v>271</v>
      </c>
      <c r="C87" s="8">
        <v>-38.799999999999997</v>
      </c>
      <c r="D87" s="8">
        <v>481498</v>
      </c>
      <c r="E87" s="8">
        <v>5961220</v>
      </c>
      <c r="F87" s="8">
        <v>0</v>
      </c>
      <c r="G87" s="8">
        <v>-0.7</v>
      </c>
      <c r="H87" s="8">
        <v>0</v>
      </c>
      <c r="I87" s="8">
        <v>2</v>
      </c>
      <c r="J87" s="8">
        <v>0</v>
      </c>
      <c r="K87" s="8">
        <v>-68.599999999999994</v>
      </c>
      <c r="L87" s="8">
        <v>29.8</v>
      </c>
      <c r="M87" s="8">
        <v>1755.7370000000001</v>
      </c>
      <c r="N87" s="8">
        <v>94</v>
      </c>
      <c r="O87" s="8">
        <v>8</v>
      </c>
      <c r="P87" s="8">
        <v>10.5</v>
      </c>
      <c r="Q87" s="8">
        <v>2.7713999999999999</v>
      </c>
      <c r="R87" s="8">
        <v>72</v>
      </c>
      <c r="S87" s="8">
        <v>112</v>
      </c>
      <c r="T87" s="3">
        <v>146</v>
      </c>
      <c r="U87" s="8">
        <v>1406.2329999999999</v>
      </c>
      <c r="V87" s="8">
        <v>362.03100000000001</v>
      </c>
      <c r="W87" s="8">
        <v>752.85199999999998</v>
      </c>
      <c r="X87" s="8">
        <v>132.18100000000001</v>
      </c>
      <c r="Y87" s="8">
        <v>4.9400000000000004</v>
      </c>
      <c r="Z87" s="8">
        <v>8.0150000000000006</v>
      </c>
      <c r="AA87" s="8">
        <v>21.7</v>
      </c>
      <c r="AB87" s="8">
        <v>290.5</v>
      </c>
      <c r="AC87" s="8">
        <v>12990</v>
      </c>
      <c r="AD87" s="8">
        <v>3493</v>
      </c>
      <c r="AE87" s="8">
        <v>268</v>
      </c>
      <c r="AF87" s="8" cm="1">
        <f t="array" aca="1" ref="AF87" ca="1">_xlfn.XLOOKUP($A87,    INDIRECT("'" &amp; AF$16 &amp; "'!$A$20:$A$219"),    _xlfn.XLOOKUP(AF$18,INDIRECT("'" &amp; AF$16 &amp; "'!$B$18:$BC$18"), INDIRECT("'" &amp; AF$16 &amp; "'!$B$20:$BC$219"),"XXXXX",0,1),    "XX",    0,    1)</f>
        <v>15</v>
      </c>
      <c r="AG87" s="8" cm="1">
        <f t="array" aca="1" ref="AG87" ca="1">_xlfn.XLOOKUP($A87,    INDIRECT("'" &amp; AG$16 &amp; "'!$A$20:$A$219"),    _xlfn.XLOOKUP(AG$18,INDIRECT("'" &amp; AG$16 &amp; "'!$B$18:$BC$18"), INDIRECT("'" &amp; AG$16 &amp; "'!$B$20:$BC$219"),"XXXXX",0,1),    "XX",    0,    1)</f>
        <v>15</v>
      </c>
      <c r="AH87" s="8" cm="1">
        <f t="array" aca="1" ref="AH87" ca="1">_xlfn.XLOOKUP($A87,    INDIRECT("'" &amp; AH$16 &amp; "'!$A$20:$A$219"),    _xlfn.XLOOKUP(AH$18,INDIRECT("'" &amp; AH$16 &amp; "'!$B$18:$BC$18"), INDIRECT("'" &amp; AH$16 &amp; "'!$B$20:$BC$219"),"XXXXX",0,1),    "XX",    0,    1)</f>
        <v>19</v>
      </c>
      <c r="AI87" s="8" cm="1">
        <f t="array" aca="1" ref="AI87" ca="1">_xlfn.XLOOKUP($A87,    INDIRECT("'" &amp; AI$16 &amp; "'!$A$20:$A$219"),    _xlfn.XLOOKUP(AI$18,INDIRECT("'" &amp; AI$16 &amp; "'!$B$18:$BC$18"), INDIRECT("'" &amp; AI$16 &amp; "'!$B$20:$BC$219"),"XXXXX",0,1),    "XX",    0,    1)</f>
        <v>19</v>
      </c>
      <c r="AJ87" s="8" cm="1">
        <f t="array" aca="1" ref="AJ87" ca="1">_xlfn.XLOOKUP($A87,    INDIRECT("'" &amp; AJ$16 &amp; "'!$A$20:$A$219"),    _xlfn.XLOOKUP(AJ$18,INDIRECT("'" &amp; AJ$16 &amp; "'!$B$18:$BC$18"), INDIRECT("'" &amp; AJ$16 &amp; "'!$B$20:$BC$219"),"XXXXX",0,1),    "XX",    0,    1)</f>
        <v>21</v>
      </c>
      <c r="AK87" s="8" cm="1">
        <f t="array" aca="1" ref="AK87" ca="1">_xlfn.XLOOKUP($A87,    INDIRECT("'" &amp; AK$16 &amp; "'!$A$20:$A$219"),    _xlfn.XLOOKUP(AK$18,INDIRECT("'" &amp; AK$16 &amp; "'!$B$18:$BC$18"), INDIRECT("'" &amp; AK$16 &amp; "'!$B$20:$BC$219"),"XXXXX",0,1),    "XX",    0,    1)</f>
        <v>21</v>
      </c>
      <c r="AM87" s="16"/>
      <c r="AW87" s="8">
        <v>1</v>
      </c>
      <c r="AX87" s="8">
        <f t="shared" ca="1" si="39"/>
        <v>1.4285714285714286</v>
      </c>
      <c r="AY87" s="8">
        <f t="shared" ca="1" si="34"/>
        <v>1.4285714285714286</v>
      </c>
      <c r="AZ87" s="8">
        <f t="shared" ca="1" si="35"/>
        <v>1.8095238095238095</v>
      </c>
      <c r="BA87" s="8">
        <f t="shared" ca="1" si="36"/>
        <v>1.8095238095238095</v>
      </c>
      <c r="BB87" s="8">
        <f t="shared" ca="1" si="37"/>
        <v>2</v>
      </c>
      <c r="BC87" s="8">
        <f t="shared" ca="1" si="38"/>
        <v>2</v>
      </c>
      <c r="BE87" s="8">
        <f t="shared" ca="1" si="40"/>
        <v>0</v>
      </c>
      <c r="BF87" s="8">
        <f t="shared" ca="1" si="41"/>
        <v>0</v>
      </c>
      <c r="BG87" s="8">
        <f t="shared" ca="1" si="42"/>
        <v>0</v>
      </c>
    </row>
    <row r="88" spans="1:59" x14ac:dyDescent="0.2">
      <c r="A88" s="8" t="s">
        <v>148</v>
      </c>
      <c r="B88" s="8" t="s">
        <v>265</v>
      </c>
      <c r="C88" s="8">
        <v>-29.6</v>
      </c>
      <c r="D88" s="8">
        <v>479406.2</v>
      </c>
      <c r="E88" s="8">
        <v>5967670</v>
      </c>
      <c r="F88" s="8">
        <v>0</v>
      </c>
      <c r="G88" s="8">
        <v>-0.6</v>
      </c>
      <c r="H88" s="8">
        <v>0</v>
      </c>
      <c r="I88" s="8">
        <v>2</v>
      </c>
      <c r="J88" s="8">
        <v>0</v>
      </c>
      <c r="K88" s="8">
        <v>-59.6</v>
      </c>
      <c r="L88" s="8">
        <v>30</v>
      </c>
      <c r="M88" s="8">
        <v>1442.941</v>
      </c>
      <c r="N88" s="8">
        <v>85</v>
      </c>
      <c r="O88" s="8">
        <v>8</v>
      </c>
      <c r="P88" s="8">
        <v>10</v>
      </c>
      <c r="Q88" s="8">
        <v>2.94</v>
      </c>
      <c r="R88" s="8">
        <v>64</v>
      </c>
      <c r="S88" s="8">
        <v>110</v>
      </c>
      <c r="T88" s="3">
        <v>147</v>
      </c>
      <c r="U88" s="8">
        <v>1296.2090000000001</v>
      </c>
      <c r="V88" s="8">
        <v>487.42399999999998</v>
      </c>
      <c r="W88" s="8">
        <v>752.85199999999998</v>
      </c>
      <c r="X88" s="8">
        <v>132.18100000000001</v>
      </c>
      <c r="Y88" s="8">
        <v>4.9400000000000004</v>
      </c>
      <c r="Z88" s="8">
        <v>8.0150000000000006</v>
      </c>
      <c r="AA88" s="8">
        <v>21.7</v>
      </c>
      <c r="AB88" s="8">
        <v>290.5</v>
      </c>
      <c r="AC88" s="8">
        <v>12276</v>
      </c>
      <c r="AD88" s="8">
        <v>2851</v>
      </c>
      <c r="AE88" s="8">
        <v>268</v>
      </c>
      <c r="AF88" s="8" cm="1">
        <f t="array" aca="1" ref="AF88" ca="1">_xlfn.XLOOKUP($A88,    INDIRECT("'" &amp; AF$16 &amp; "'!$A$20:$A$219"),    _xlfn.XLOOKUP(AF$18,INDIRECT("'" &amp; AF$16 &amp; "'!$B$18:$BC$18"), INDIRECT("'" &amp; AF$16 &amp; "'!$B$20:$BC$219"),"XXXXX",0,1),    "XX",    0,    1)</f>
        <v>15</v>
      </c>
      <c r="AG88" s="8" cm="1">
        <f t="array" aca="1" ref="AG88" ca="1">_xlfn.XLOOKUP($A88,    INDIRECT("'" &amp; AG$16 &amp; "'!$A$20:$A$219"),    _xlfn.XLOOKUP(AG$18,INDIRECT("'" &amp; AG$16 &amp; "'!$B$18:$BC$18"), INDIRECT("'" &amp; AG$16 &amp; "'!$B$20:$BC$219"),"XXXXX",0,1),    "XX",    0,    1)</f>
        <v>15</v>
      </c>
      <c r="AH88" s="8" cm="1">
        <f t="array" aca="1" ref="AH88" ca="1">_xlfn.XLOOKUP($A88,    INDIRECT("'" &amp; AH$16 &amp; "'!$A$20:$A$219"),    _xlfn.XLOOKUP(AH$18,INDIRECT("'" &amp; AH$16 &amp; "'!$B$18:$BC$18"), INDIRECT("'" &amp; AH$16 &amp; "'!$B$20:$BC$219"),"XXXXX",0,1),    "XX",    0,    1)</f>
        <v>19</v>
      </c>
      <c r="AI88" s="8" cm="1">
        <f t="array" aca="1" ref="AI88" ca="1">_xlfn.XLOOKUP($A88,    INDIRECT("'" &amp; AI$16 &amp; "'!$A$20:$A$219"),    _xlfn.XLOOKUP(AI$18,INDIRECT("'" &amp; AI$16 &amp; "'!$B$18:$BC$18"), INDIRECT("'" &amp; AI$16 &amp; "'!$B$20:$BC$219"),"XXXXX",0,1),    "XX",    0,    1)</f>
        <v>19</v>
      </c>
      <c r="AJ88" s="8" cm="1">
        <f t="array" aca="1" ref="AJ88" ca="1">_xlfn.XLOOKUP($A88,    INDIRECT("'" &amp; AJ$16 &amp; "'!$A$20:$A$219"),    _xlfn.XLOOKUP(AJ$18,INDIRECT("'" &amp; AJ$16 &amp; "'!$B$18:$BC$18"), INDIRECT("'" &amp; AJ$16 &amp; "'!$B$20:$BC$219"),"XXXXX",0,1),    "XX",    0,    1)</f>
        <v>21</v>
      </c>
      <c r="AK88" s="8" cm="1">
        <f t="array" aca="1" ref="AK88" ca="1">_xlfn.XLOOKUP($A88,    INDIRECT("'" &amp; AK$16 &amp; "'!$A$20:$A$219"),    _xlfn.XLOOKUP(AK$18,INDIRECT("'" &amp; AK$16 &amp; "'!$B$18:$BC$18"), INDIRECT("'" &amp; AK$16 &amp; "'!$B$20:$BC$219"),"XXXXX",0,1),    "XX",    0,    1)</f>
        <v>21</v>
      </c>
      <c r="AM88" s="16"/>
      <c r="AW88" s="8">
        <v>1</v>
      </c>
      <c r="AX88" s="8">
        <f t="shared" ca="1" si="39"/>
        <v>1.5</v>
      </c>
      <c r="AY88" s="8">
        <f t="shared" ca="1" si="34"/>
        <v>1.5</v>
      </c>
      <c r="AZ88" s="8">
        <f t="shared" ca="1" si="35"/>
        <v>1.9</v>
      </c>
      <c r="BA88" s="8">
        <f t="shared" ca="1" si="36"/>
        <v>1.9</v>
      </c>
      <c r="BB88" s="8">
        <f t="shared" ca="1" si="37"/>
        <v>2.1</v>
      </c>
      <c r="BC88" s="8">
        <f t="shared" ca="1" si="38"/>
        <v>2.1</v>
      </c>
      <c r="BE88" s="8">
        <f t="shared" ca="1" si="40"/>
        <v>0</v>
      </c>
      <c r="BF88" s="8">
        <f t="shared" ca="1" si="41"/>
        <v>0</v>
      </c>
      <c r="BG88" s="8">
        <f t="shared" ca="1" si="42"/>
        <v>0</v>
      </c>
    </row>
    <row r="89" spans="1:59" x14ac:dyDescent="0.2">
      <c r="A89" s="8" t="s">
        <v>50</v>
      </c>
      <c r="B89" s="8" t="s">
        <v>265</v>
      </c>
      <c r="C89" s="8">
        <v>-35.4</v>
      </c>
      <c r="D89" s="8">
        <v>479140.8</v>
      </c>
      <c r="E89" s="8">
        <v>5971062</v>
      </c>
      <c r="F89" s="8">
        <v>0</v>
      </c>
      <c r="G89" s="8">
        <v>-0.8</v>
      </c>
      <c r="H89" s="8">
        <v>0</v>
      </c>
      <c r="I89" s="8">
        <v>2</v>
      </c>
      <c r="J89" s="8">
        <v>0</v>
      </c>
      <c r="K89" s="8">
        <v>-65.5</v>
      </c>
      <c r="L89" s="8">
        <v>30.1</v>
      </c>
      <c r="M89" s="8">
        <v>1663.2629999999999</v>
      </c>
      <c r="N89" s="8">
        <v>90.9</v>
      </c>
      <c r="O89" s="8">
        <v>8</v>
      </c>
      <c r="P89" s="8">
        <v>10</v>
      </c>
      <c r="Q89" s="8">
        <v>2.93</v>
      </c>
      <c r="R89" s="8">
        <v>68</v>
      </c>
      <c r="S89" s="8">
        <v>110</v>
      </c>
      <c r="T89" s="3">
        <v>147</v>
      </c>
      <c r="U89" s="8">
        <v>1357.8209999999999</v>
      </c>
      <c r="V89" s="8">
        <v>515.774</v>
      </c>
      <c r="W89" s="8">
        <v>752.85199999999998</v>
      </c>
      <c r="X89" s="8">
        <v>132.18100000000001</v>
      </c>
      <c r="Y89" s="8">
        <v>4.9400000000000004</v>
      </c>
      <c r="Z89" s="8">
        <v>8.0150000000000006</v>
      </c>
      <c r="AA89" s="8">
        <v>21.7</v>
      </c>
      <c r="AB89" s="8">
        <v>290.5</v>
      </c>
      <c r="AC89" s="8">
        <v>12641</v>
      </c>
      <c r="AD89" s="8">
        <v>3211</v>
      </c>
      <c r="AE89" s="8">
        <v>268</v>
      </c>
      <c r="AF89" s="8" cm="1">
        <f t="array" aca="1" ref="AF89" ca="1">_xlfn.XLOOKUP($A89,    INDIRECT("'" &amp; AF$16 &amp; "'!$A$20:$A$219"),    _xlfn.XLOOKUP(AF$18,INDIRECT("'" &amp; AF$16 &amp; "'!$B$18:$BC$18"), INDIRECT("'" &amp; AF$16 &amp; "'!$B$20:$BC$219"),"XXXXX",0,1),    "XX",    0,    1)</f>
        <v>15</v>
      </c>
      <c r="AG89" s="8" cm="1">
        <f t="array" aca="1" ref="AG89" ca="1">_xlfn.XLOOKUP($A89,    INDIRECT("'" &amp; AG$16 &amp; "'!$A$20:$A$219"),    _xlfn.XLOOKUP(AG$18,INDIRECT("'" &amp; AG$16 &amp; "'!$B$18:$BC$18"), INDIRECT("'" &amp; AG$16 &amp; "'!$B$20:$BC$219"),"XXXXX",0,1),    "XX",    0,    1)</f>
        <v>15</v>
      </c>
      <c r="AH89" s="8" cm="1">
        <f t="array" aca="1" ref="AH89" ca="1">_xlfn.XLOOKUP($A89,    INDIRECT("'" &amp; AH$16 &amp; "'!$A$20:$A$219"),    _xlfn.XLOOKUP(AH$18,INDIRECT("'" &amp; AH$16 &amp; "'!$B$18:$BC$18"), INDIRECT("'" &amp; AH$16 &amp; "'!$B$20:$BC$219"),"XXXXX",0,1),    "XX",    0,    1)</f>
        <v>19</v>
      </c>
      <c r="AI89" s="8" cm="1">
        <f t="array" aca="1" ref="AI89" ca="1">_xlfn.XLOOKUP($A89,    INDIRECT("'" &amp; AI$16 &amp; "'!$A$20:$A$219"),    _xlfn.XLOOKUP(AI$18,INDIRECT("'" &amp; AI$16 &amp; "'!$B$18:$BC$18"), INDIRECT("'" &amp; AI$16 &amp; "'!$B$20:$BC$219"),"XXXXX",0,1),    "XX",    0,    1)</f>
        <v>19</v>
      </c>
      <c r="AJ89" s="8" cm="1">
        <f t="array" aca="1" ref="AJ89" ca="1">_xlfn.XLOOKUP($A89,    INDIRECT("'" &amp; AJ$16 &amp; "'!$A$20:$A$219"),    _xlfn.XLOOKUP(AJ$18,INDIRECT("'" &amp; AJ$16 &amp; "'!$B$18:$BC$18"), INDIRECT("'" &amp; AJ$16 &amp; "'!$B$20:$BC$219"),"XXXXX",0,1),    "XX",    0,    1)</f>
        <v>21</v>
      </c>
      <c r="AK89" s="8" cm="1">
        <f t="array" aca="1" ref="AK89" ca="1">_xlfn.XLOOKUP($A89,    INDIRECT("'" &amp; AK$16 &amp; "'!$A$20:$A$219"),    _xlfn.XLOOKUP(AK$18,INDIRECT("'" &amp; AK$16 &amp; "'!$B$18:$BC$18"), INDIRECT("'" &amp; AK$16 &amp; "'!$B$20:$BC$219"),"XXXXX",0,1),    "XX",    0,    1)</f>
        <v>21</v>
      </c>
      <c r="AM89" s="16"/>
      <c r="AW89" s="8">
        <v>1</v>
      </c>
      <c r="AX89" s="8">
        <f t="shared" ca="1" si="39"/>
        <v>1.5</v>
      </c>
      <c r="AY89" s="8">
        <f t="shared" ca="1" si="34"/>
        <v>1.5</v>
      </c>
      <c r="AZ89" s="8">
        <f t="shared" ca="1" si="35"/>
        <v>1.9</v>
      </c>
      <c r="BA89" s="8">
        <f t="shared" ca="1" si="36"/>
        <v>1.9</v>
      </c>
      <c r="BB89" s="8">
        <f t="shared" ca="1" si="37"/>
        <v>2.1</v>
      </c>
      <c r="BC89" s="8">
        <f t="shared" ca="1" si="38"/>
        <v>2.1</v>
      </c>
      <c r="BE89" s="8">
        <f t="shared" ca="1" si="40"/>
        <v>0</v>
      </c>
      <c r="BF89" s="8">
        <f t="shared" ca="1" si="41"/>
        <v>0</v>
      </c>
      <c r="BG89" s="8">
        <f t="shared" ca="1" si="42"/>
        <v>0</v>
      </c>
    </row>
    <row r="90" spans="1:59" x14ac:dyDescent="0.2">
      <c r="A90" s="8" t="s">
        <v>116</v>
      </c>
      <c r="B90" s="8" t="s">
        <v>265</v>
      </c>
      <c r="C90" s="8">
        <v>-35.6</v>
      </c>
      <c r="D90" s="8">
        <v>456105</v>
      </c>
      <c r="E90" s="8">
        <v>5969154</v>
      </c>
      <c r="F90" s="8">
        <v>0</v>
      </c>
      <c r="G90" s="8">
        <v>-0.6</v>
      </c>
      <c r="H90" s="8">
        <v>0</v>
      </c>
      <c r="I90" s="8">
        <v>2</v>
      </c>
      <c r="J90" s="8">
        <v>0</v>
      </c>
      <c r="K90" s="8">
        <v>-61.5</v>
      </c>
      <c r="L90" s="8">
        <v>25.9</v>
      </c>
      <c r="M90" s="8">
        <v>1561.069</v>
      </c>
      <c r="N90" s="8">
        <v>86.9</v>
      </c>
      <c r="O90" s="8">
        <v>8</v>
      </c>
      <c r="P90" s="8">
        <v>10</v>
      </c>
      <c r="Q90" s="8">
        <v>2.5299999999999998</v>
      </c>
      <c r="R90" s="8">
        <v>68</v>
      </c>
      <c r="S90" s="8">
        <v>110</v>
      </c>
      <c r="T90" s="3">
        <v>147</v>
      </c>
      <c r="U90" s="8">
        <v>1295.643</v>
      </c>
      <c r="V90" s="8">
        <v>521.10199999999998</v>
      </c>
      <c r="W90" s="8">
        <v>752.85199999999998</v>
      </c>
      <c r="X90" s="8">
        <v>132.18100000000001</v>
      </c>
      <c r="Y90" s="8">
        <v>4.9400000000000004</v>
      </c>
      <c r="Z90" s="8">
        <v>8.0150000000000006</v>
      </c>
      <c r="AA90" s="8">
        <v>21.7</v>
      </c>
      <c r="AB90" s="8">
        <v>290.5</v>
      </c>
      <c r="AC90" s="8">
        <v>12392</v>
      </c>
      <c r="AD90" s="8">
        <v>3224</v>
      </c>
      <c r="AE90" s="8">
        <v>268</v>
      </c>
      <c r="AF90" s="8" cm="1">
        <f t="array" aca="1" ref="AF90" ca="1">_xlfn.XLOOKUP($A90,    INDIRECT("'" &amp; AF$16 &amp; "'!$A$20:$A$219"),    _xlfn.XLOOKUP(AF$18,INDIRECT("'" &amp; AF$16 &amp; "'!$B$18:$BC$18"), INDIRECT("'" &amp; AF$16 &amp; "'!$B$20:$BC$219"),"XXXXX",0,1),    "XX",    0,    1)</f>
        <v>15</v>
      </c>
      <c r="AG90" s="8" cm="1">
        <f t="array" aca="1" ref="AG90" ca="1">_xlfn.XLOOKUP($A90,    INDIRECT("'" &amp; AG$16 &amp; "'!$A$20:$A$219"),    _xlfn.XLOOKUP(AG$18,INDIRECT("'" &amp; AG$16 &amp; "'!$B$18:$BC$18"), INDIRECT("'" &amp; AG$16 &amp; "'!$B$20:$BC$219"),"XXXXX",0,1),    "XX",    0,    1)</f>
        <v>15</v>
      </c>
      <c r="AH90" s="8" cm="1">
        <f t="array" aca="1" ref="AH90" ca="1">_xlfn.XLOOKUP($A90,    INDIRECT("'" &amp; AH$16 &amp; "'!$A$20:$A$219"),    _xlfn.XLOOKUP(AH$18,INDIRECT("'" &amp; AH$16 &amp; "'!$B$18:$BC$18"), INDIRECT("'" &amp; AH$16 &amp; "'!$B$20:$BC$219"),"XXXXX",0,1),    "XX",    0,    1)</f>
        <v>15</v>
      </c>
      <c r="AI90" s="8" cm="1">
        <f t="array" aca="1" ref="AI90" ca="1">_xlfn.XLOOKUP($A90,    INDIRECT("'" &amp; AI$16 &amp; "'!$A$20:$A$219"),    _xlfn.XLOOKUP(AI$18,INDIRECT("'" &amp; AI$16 &amp; "'!$B$18:$BC$18"), INDIRECT("'" &amp; AI$16 &amp; "'!$B$20:$BC$219"),"XXXXX",0,1),    "XX",    0,    1)</f>
        <v>15</v>
      </c>
      <c r="AJ90" s="8" cm="1">
        <f t="array" aca="1" ref="AJ90" ca="1">_xlfn.XLOOKUP($A90,    INDIRECT("'" &amp; AJ$16 &amp; "'!$A$20:$A$219"),    _xlfn.XLOOKUP(AJ$18,INDIRECT("'" &amp; AJ$16 &amp; "'!$B$18:$BC$18"), INDIRECT("'" &amp; AJ$16 &amp; "'!$B$20:$BC$219"),"XXXXX",0,1),    "XX",    0,    1)</f>
        <v>17</v>
      </c>
      <c r="AK90" s="8" cm="1">
        <f t="array" aca="1" ref="AK90" ca="1">_xlfn.XLOOKUP($A90,    INDIRECT("'" &amp; AK$16 &amp; "'!$A$20:$A$219"),    _xlfn.XLOOKUP(AK$18,INDIRECT("'" &amp; AK$16 &amp; "'!$B$18:$BC$18"), INDIRECT("'" &amp; AK$16 &amp; "'!$B$20:$BC$219"),"XXXXX",0,1),    "XX",    0,    1)</f>
        <v>17</v>
      </c>
      <c r="AM90" s="16"/>
      <c r="AW90" s="8">
        <v>1</v>
      </c>
      <c r="AX90" s="8">
        <f t="shared" ca="1" si="39"/>
        <v>1.5</v>
      </c>
      <c r="AY90" s="8">
        <f t="shared" ca="1" si="34"/>
        <v>1.5</v>
      </c>
      <c r="AZ90" s="8">
        <f t="shared" ca="1" si="35"/>
        <v>1.5</v>
      </c>
      <c r="BA90" s="8">
        <f t="shared" ca="1" si="36"/>
        <v>1.5</v>
      </c>
      <c r="BB90" s="8">
        <f t="shared" ca="1" si="37"/>
        <v>1.7</v>
      </c>
      <c r="BC90" s="8">
        <f t="shared" ca="1" si="38"/>
        <v>1.7</v>
      </c>
      <c r="BE90" s="8">
        <f t="shared" ca="1" si="40"/>
        <v>0</v>
      </c>
      <c r="BF90" s="8">
        <f t="shared" ca="1" si="41"/>
        <v>0</v>
      </c>
      <c r="BG90" s="8">
        <f t="shared" ca="1" si="42"/>
        <v>0</v>
      </c>
    </row>
    <row r="91" spans="1:59" x14ac:dyDescent="0.2">
      <c r="A91" s="8" t="s">
        <v>185</v>
      </c>
      <c r="B91" s="8" t="s">
        <v>265</v>
      </c>
      <c r="C91" s="8">
        <v>-38.9</v>
      </c>
      <c r="D91" s="8">
        <v>458040</v>
      </c>
      <c r="E91" s="8">
        <v>5969202</v>
      </c>
      <c r="F91" s="8">
        <v>0</v>
      </c>
      <c r="G91" s="8">
        <v>-0.6</v>
      </c>
      <c r="H91" s="8">
        <v>0</v>
      </c>
      <c r="I91" s="8">
        <v>2</v>
      </c>
      <c r="J91" s="8">
        <v>0</v>
      </c>
      <c r="K91" s="8">
        <v>-66.5</v>
      </c>
      <c r="L91" s="8">
        <v>27.6</v>
      </c>
      <c r="M91" s="8">
        <v>1717.8989999999999</v>
      </c>
      <c r="N91" s="8">
        <v>91.9</v>
      </c>
      <c r="O91" s="8">
        <v>8</v>
      </c>
      <c r="P91" s="8">
        <v>10.5</v>
      </c>
      <c r="Q91" s="8">
        <v>2.5714000000000001</v>
      </c>
      <c r="R91" s="8">
        <v>72</v>
      </c>
      <c r="S91" s="8">
        <v>112</v>
      </c>
      <c r="T91" s="3">
        <v>146</v>
      </c>
      <c r="U91" s="8">
        <v>1406.1959999999999</v>
      </c>
      <c r="V91" s="8">
        <v>356.08100000000002</v>
      </c>
      <c r="W91" s="8">
        <v>752.85199999999998</v>
      </c>
      <c r="X91" s="8">
        <v>132.18100000000001</v>
      </c>
      <c r="Y91" s="8">
        <v>4.9400000000000004</v>
      </c>
      <c r="Z91" s="8">
        <v>8.0150000000000006</v>
      </c>
      <c r="AA91" s="8">
        <v>21.7</v>
      </c>
      <c r="AB91" s="8">
        <v>290.5</v>
      </c>
      <c r="AC91" s="8">
        <v>12852</v>
      </c>
      <c r="AD91" s="8">
        <v>3499</v>
      </c>
      <c r="AE91" s="8">
        <v>268</v>
      </c>
      <c r="AF91" s="8" cm="1">
        <f t="array" aca="1" ref="AF91" ca="1">_xlfn.XLOOKUP($A91,    INDIRECT("'" &amp; AF$16 &amp; "'!$A$20:$A$219"),    _xlfn.XLOOKUP(AF$18,INDIRECT("'" &amp; AF$16 &amp; "'!$B$18:$BC$18"), INDIRECT("'" &amp; AF$16 &amp; "'!$B$20:$BC$219"),"XXXXX",0,1),    "XX",    0,    1)</f>
        <v>15</v>
      </c>
      <c r="AG91" s="8" cm="1">
        <f t="array" aca="1" ref="AG91" ca="1">_xlfn.XLOOKUP($A91,    INDIRECT("'" &amp; AG$16 &amp; "'!$A$20:$A$219"),    _xlfn.XLOOKUP(AG$18,INDIRECT("'" &amp; AG$16 &amp; "'!$B$18:$BC$18"), INDIRECT("'" &amp; AG$16 &amp; "'!$B$20:$BC$219"),"XXXXX",0,1),    "XX",    0,    1)</f>
        <v>15</v>
      </c>
      <c r="AH91" s="8" cm="1">
        <f t="array" aca="1" ref="AH91" ca="1">_xlfn.XLOOKUP($A91,    INDIRECT("'" &amp; AH$16 &amp; "'!$A$20:$A$219"),    _xlfn.XLOOKUP(AH$18,INDIRECT("'" &amp; AH$16 &amp; "'!$B$18:$BC$18"), INDIRECT("'" &amp; AH$16 &amp; "'!$B$20:$BC$219"),"XXXXX",0,1),    "XX",    0,    1)</f>
        <v>17.190000000000001</v>
      </c>
      <c r="AI91" s="8" cm="1">
        <f t="array" aca="1" ref="AI91" ca="1">_xlfn.XLOOKUP($A91,    INDIRECT("'" &amp; AI$16 &amp; "'!$A$20:$A$219"),    _xlfn.XLOOKUP(AI$18,INDIRECT("'" &amp; AI$16 &amp; "'!$B$18:$BC$18"), INDIRECT("'" &amp; AI$16 &amp; "'!$B$20:$BC$219"),"XXXXX",0,1),    "XX",    0,    1)</f>
        <v>17</v>
      </c>
      <c r="AJ91" s="8" cm="1">
        <f t="array" aca="1" ref="AJ91" ca="1">_xlfn.XLOOKUP($A91,    INDIRECT("'" &amp; AJ$16 &amp; "'!$A$20:$A$219"),    _xlfn.XLOOKUP(AJ$18,INDIRECT("'" &amp; AJ$16 &amp; "'!$B$18:$BC$18"), INDIRECT("'" &amp; AJ$16 &amp; "'!$B$20:$BC$219"),"XXXXX",0,1),    "XX",    0,    1)</f>
        <v>19</v>
      </c>
      <c r="AK91" s="8" cm="1">
        <f t="array" aca="1" ref="AK91" ca="1">_xlfn.XLOOKUP($A91,    INDIRECT("'" &amp; AK$16 &amp; "'!$A$20:$A$219"),    _xlfn.XLOOKUP(AK$18,INDIRECT("'" &amp; AK$16 &amp; "'!$B$18:$BC$18"), INDIRECT("'" &amp; AK$16 &amp; "'!$B$20:$BC$219"),"XXXXX",0,1),    "XX",    0,    1)</f>
        <v>19</v>
      </c>
      <c r="AM91" s="16"/>
      <c r="AW91" s="8">
        <v>1</v>
      </c>
      <c r="AX91" s="8">
        <f t="shared" ca="1" si="39"/>
        <v>1.4285714285714286</v>
      </c>
      <c r="AY91" s="8">
        <f t="shared" ca="1" si="34"/>
        <v>1.4285714285714286</v>
      </c>
      <c r="AZ91" s="8">
        <f t="shared" ca="1" si="35"/>
        <v>1.6371428571428572</v>
      </c>
      <c r="BA91" s="8">
        <f t="shared" ca="1" si="36"/>
        <v>1.6190476190476191</v>
      </c>
      <c r="BB91" s="8">
        <f t="shared" ca="1" si="37"/>
        <v>1.8095238095238095</v>
      </c>
      <c r="BC91" s="8">
        <f t="shared" ca="1" si="38"/>
        <v>1.8095238095238095</v>
      </c>
      <c r="BE91" s="8">
        <f t="shared" ca="1" si="40"/>
        <v>0</v>
      </c>
      <c r="BF91" s="8">
        <f t="shared" ca="1" si="41"/>
        <v>-0.19000000000000128</v>
      </c>
      <c r="BG91" s="8">
        <f t="shared" ca="1" si="42"/>
        <v>0</v>
      </c>
    </row>
    <row r="92" spans="1:59" x14ac:dyDescent="0.2">
      <c r="A92" s="8" t="s">
        <v>175</v>
      </c>
      <c r="B92" s="8" t="s">
        <v>265</v>
      </c>
      <c r="C92" s="8">
        <v>-39.4</v>
      </c>
      <c r="D92" s="8">
        <v>461186</v>
      </c>
      <c r="E92" s="8">
        <v>5967340.0999999996</v>
      </c>
      <c r="F92" s="8">
        <v>0</v>
      </c>
      <c r="G92" s="8">
        <v>-0.6</v>
      </c>
      <c r="H92" s="8">
        <v>0</v>
      </c>
      <c r="I92" s="8">
        <v>2</v>
      </c>
      <c r="J92" s="8">
        <v>0</v>
      </c>
      <c r="K92" s="8">
        <v>-69.400000000000006</v>
      </c>
      <c r="L92" s="8">
        <v>30</v>
      </c>
      <c r="M92" s="8">
        <v>1775.9870000000001</v>
      </c>
      <c r="N92" s="8">
        <v>94.8</v>
      </c>
      <c r="O92" s="8">
        <v>8</v>
      </c>
      <c r="P92" s="8">
        <v>10.5</v>
      </c>
      <c r="Q92" s="8">
        <v>2.8</v>
      </c>
      <c r="R92" s="8">
        <v>72</v>
      </c>
      <c r="S92" s="8">
        <v>112</v>
      </c>
      <c r="T92" s="3">
        <v>146</v>
      </c>
      <c r="U92" s="8">
        <v>1406.1959999999999</v>
      </c>
      <c r="V92" s="8">
        <v>421.17399999999998</v>
      </c>
      <c r="W92" s="8">
        <v>752.85199999999998</v>
      </c>
      <c r="X92" s="8">
        <v>132.18100000000001</v>
      </c>
      <c r="Y92" s="8">
        <v>4.9400000000000004</v>
      </c>
      <c r="Z92" s="8">
        <v>8.0150000000000006</v>
      </c>
      <c r="AA92" s="8">
        <v>21.7</v>
      </c>
      <c r="AB92" s="8">
        <v>290.5</v>
      </c>
      <c r="AC92" s="8">
        <v>13042</v>
      </c>
      <c r="AD92" s="8">
        <v>3532</v>
      </c>
      <c r="AE92" s="8">
        <v>268</v>
      </c>
      <c r="AF92" s="8" cm="1">
        <f t="array" aca="1" ref="AF92" ca="1">_xlfn.XLOOKUP($A92,    INDIRECT("'" &amp; AF$16 &amp; "'!$A$20:$A$219"),    _xlfn.XLOOKUP(AF$18,INDIRECT("'" &amp; AF$16 &amp; "'!$B$18:$BC$18"), INDIRECT("'" &amp; AF$16 &amp; "'!$B$20:$BC$219"),"XXXXX",0,1),    "XX",    0,    1)</f>
        <v>15</v>
      </c>
      <c r="AG92" s="8" cm="1">
        <f t="array" aca="1" ref="AG92" ca="1">_xlfn.XLOOKUP($A92,    INDIRECT("'" &amp; AG$16 &amp; "'!$A$20:$A$219"),    _xlfn.XLOOKUP(AG$18,INDIRECT("'" &amp; AG$16 &amp; "'!$B$18:$BC$18"), INDIRECT("'" &amp; AG$16 &amp; "'!$B$20:$BC$219"),"XXXXX",0,1),    "XX",    0,    1)</f>
        <v>15</v>
      </c>
      <c r="AH92" s="8" cm="1">
        <f t="array" aca="1" ref="AH92" ca="1">_xlfn.XLOOKUP($A92,    INDIRECT("'" &amp; AH$16 &amp; "'!$A$20:$A$219"),    _xlfn.XLOOKUP(AH$18,INDIRECT("'" &amp; AH$16 &amp; "'!$B$18:$BC$18"), INDIRECT("'" &amp; AH$16 &amp; "'!$B$20:$BC$219"),"XXXXX",0,1),    "XX",    0,    1)</f>
        <v>19</v>
      </c>
      <c r="AI92" s="8" cm="1">
        <f t="array" aca="1" ref="AI92" ca="1">_xlfn.XLOOKUP($A92,    INDIRECT("'" &amp; AI$16 &amp; "'!$A$20:$A$219"),    _xlfn.XLOOKUP(AI$18,INDIRECT("'" &amp; AI$16 &amp; "'!$B$18:$BC$18"), INDIRECT("'" &amp; AI$16 &amp; "'!$B$20:$BC$219"),"XXXXX",0,1),    "XX",    0,    1)</f>
        <v>19</v>
      </c>
      <c r="AJ92" s="8" cm="1">
        <f t="array" aca="1" ref="AJ92" ca="1">_xlfn.XLOOKUP($A92,    INDIRECT("'" &amp; AJ$16 &amp; "'!$A$20:$A$219"),    _xlfn.XLOOKUP(AJ$18,INDIRECT("'" &amp; AJ$16 &amp; "'!$B$18:$BC$18"), INDIRECT("'" &amp; AJ$16 &amp; "'!$B$20:$BC$219"),"XXXXX",0,1),    "XX",    0,    1)</f>
        <v>21</v>
      </c>
      <c r="AK92" s="8" cm="1">
        <f t="array" aca="1" ref="AK92" ca="1">_xlfn.XLOOKUP($A92,    INDIRECT("'" &amp; AK$16 &amp; "'!$A$20:$A$219"),    _xlfn.XLOOKUP(AK$18,INDIRECT("'" &amp; AK$16 &amp; "'!$B$18:$BC$18"), INDIRECT("'" &amp; AK$16 &amp; "'!$B$20:$BC$219"),"XXXXX",0,1),    "XX",    0,    1)</f>
        <v>21</v>
      </c>
      <c r="AM92" s="16"/>
      <c r="AW92" s="8">
        <v>1</v>
      </c>
      <c r="AX92" s="8">
        <f t="shared" ca="1" si="39"/>
        <v>1.4285714285714286</v>
      </c>
      <c r="AY92" s="8">
        <f t="shared" ca="1" si="34"/>
        <v>1.4285714285714286</v>
      </c>
      <c r="AZ92" s="8">
        <f t="shared" ca="1" si="35"/>
        <v>1.8095238095238095</v>
      </c>
      <c r="BA92" s="8">
        <f t="shared" ca="1" si="36"/>
        <v>1.8095238095238095</v>
      </c>
      <c r="BB92" s="8">
        <f t="shared" ca="1" si="37"/>
        <v>2</v>
      </c>
      <c r="BC92" s="8">
        <f t="shared" ca="1" si="38"/>
        <v>2</v>
      </c>
      <c r="BE92" s="8">
        <f t="shared" ca="1" si="40"/>
        <v>0</v>
      </c>
      <c r="BF92" s="8">
        <f t="shared" ca="1" si="41"/>
        <v>0</v>
      </c>
      <c r="BG92" s="8">
        <f t="shared" ca="1" si="42"/>
        <v>0</v>
      </c>
    </row>
    <row r="93" spans="1:59" x14ac:dyDescent="0.2">
      <c r="A93" s="8" t="s">
        <v>18</v>
      </c>
      <c r="B93" s="8" t="s">
        <v>265</v>
      </c>
      <c r="C93" s="8">
        <v>-38</v>
      </c>
      <c r="D93" s="8">
        <v>464409.8</v>
      </c>
      <c r="E93" s="8">
        <v>5965428.0999999996</v>
      </c>
      <c r="F93" s="8">
        <v>0</v>
      </c>
      <c r="G93" s="8">
        <v>-0.6</v>
      </c>
      <c r="H93" s="8">
        <v>0</v>
      </c>
      <c r="I93" s="8">
        <v>2</v>
      </c>
      <c r="J93" s="8">
        <v>0</v>
      </c>
      <c r="K93" s="8">
        <v>-69.3</v>
      </c>
      <c r="L93" s="8">
        <v>31.3</v>
      </c>
      <c r="M93" s="8">
        <v>1799.0540000000001</v>
      </c>
      <c r="N93" s="8">
        <v>94.7</v>
      </c>
      <c r="O93" s="8">
        <v>8</v>
      </c>
      <c r="P93" s="8">
        <v>10</v>
      </c>
      <c r="Q93" s="8">
        <v>3.07</v>
      </c>
      <c r="R93" s="8">
        <v>68</v>
      </c>
      <c r="S93" s="8">
        <v>110</v>
      </c>
      <c r="T93" s="3">
        <v>147</v>
      </c>
      <c r="U93" s="8">
        <v>1419.761</v>
      </c>
      <c r="V93" s="8">
        <v>458.66</v>
      </c>
      <c r="W93" s="8">
        <v>752.85199999999998</v>
      </c>
      <c r="X93" s="8">
        <v>132.18100000000001</v>
      </c>
      <c r="Y93" s="8">
        <v>4.9400000000000004</v>
      </c>
      <c r="Z93" s="8">
        <v>8.0150000000000006</v>
      </c>
      <c r="AA93" s="8">
        <v>21.7</v>
      </c>
      <c r="AB93" s="8">
        <v>290.5</v>
      </c>
      <c r="AC93" s="8">
        <v>12876</v>
      </c>
      <c r="AD93" s="8">
        <v>3372</v>
      </c>
      <c r="AE93" s="8">
        <v>268</v>
      </c>
      <c r="AF93" s="8" cm="1">
        <f t="array" aca="1" ref="AF93" ca="1">_xlfn.XLOOKUP($A93,    INDIRECT("'" &amp; AF$16 &amp; "'!$A$20:$A$219"),    _xlfn.XLOOKUP(AF$18,INDIRECT("'" &amp; AF$16 &amp; "'!$B$18:$BC$18"), INDIRECT("'" &amp; AF$16 &amp; "'!$B$20:$BC$219"),"XXXXX",0,1),    "XX",    0,    1)</f>
        <v>17</v>
      </c>
      <c r="AG93" s="8" cm="1">
        <f t="array" aca="1" ref="AG93" ca="1">_xlfn.XLOOKUP($A93,    INDIRECT("'" &amp; AG$16 &amp; "'!$A$20:$A$219"),    _xlfn.XLOOKUP(AG$18,INDIRECT("'" &amp; AG$16 &amp; "'!$B$18:$BC$18"), INDIRECT("'" &amp; AG$16 &amp; "'!$B$20:$BC$219"),"XXXXX",0,1),    "XX",    0,    1)</f>
        <v>17</v>
      </c>
      <c r="AH93" s="8" cm="1">
        <f t="array" aca="1" ref="AH93" ca="1">_xlfn.XLOOKUP($A93,    INDIRECT("'" &amp; AH$16 &amp; "'!$A$20:$A$219"),    _xlfn.XLOOKUP(AH$18,INDIRECT("'" &amp; AH$16 &amp; "'!$B$18:$BC$18"), INDIRECT("'" &amp; AH$16 &amp; "'!$B$20:$BC$219"),"XXXXX",0,1),    "XX",    0,    1)</f>
        <v>21</v>
      </c>
      <c r="AI93" s="8" cm="1">
        <f t="array" aca="1" ref="AI93" ca="1">_xlfn.XLOOKUP($A93,    INDIRECT("'" &amp; AI$16 &amp; "'!$A$20:$A$219"),    _xlfn.XLOOKUP(AI$18,INDIRECT("'" &amp; AI$16 &amp; "'!$B$18:$BC$18"), INDIRECT("'" &amp; AI$16 &amp; "'!$B$20:$BC$219"),"XXXXX",0,1),    "XX",    0,    1)</f>
        <v>21</v>
      </c>
      <c r="AJ93" s="8" cm="1">
        <f t="array" aca="1" ref="AJ93" ca="1">_xlfn.XLOOKUP($A93,    INDIRECT("'" &amp; AJ$16 &amp; "'!$A$20:$A$219"),    _xlfn.XLOOKUP(AJ$18,INDIRECT("'" &amp; AJ$16 &amp; "'!$B$18:$BC$18"), INDIRECT("'" &amp; AJ$16 &amp; "'!$B$20:$BC$219"),"XXXXX",0,1),    "XX",    0,    1)</f>
        <v>21</v>
      </c>
      <c r="AK93" s="8" cm="1">
        <f t="array" aca="1" ref="AK93" ca="1">_xlfn.XLOOKUP($A93,    INDIRECT("'" &amp; AK$16 &amp; "'!$A$20:$A$219"),    _xlfn.XLOOKUP(AK$18,INDIRECT("'" &amp; AK$16 &amp; "'!$B$18:$BC$18"), INDIRECT("'" &amp; AK$16 &amp; "'!$B$20:$BC$219"),"XXXXX",0,1),    "XX",    0,    1)</f>
        <v>21</v>
      </c>
      <c r="AM93" s="16"/>
      <c r="AW93" s="8">
        <v>1</v>
      </c>
      <c r="AX93" s="8">
        <f t="shared" ca="1" si="39"/>
        <v>1.7</v>
      </c>
      <c r="AY93" s="8">
        <f t="shared" ca="1" si="34"/>
        <v>1.7</v>
      </c>
      <c r="AZ93" s="8">
        <f t="shared" ca="1" si="35"/>
        <v>2.1</v>
      </c>
      <c r="BA93" s="8">
        <f t="shared" ca="1" si="36"/>
        <v>2.1</v>
      </c>
      <c r="BB93" s="8">
        <f t="shared" ca="1" si="37"/>
        <v>2.1</v>
      </c>
      <c r="BC93" s="8">
        <f t="shared" ca="1" si="38"/>
        <v>2.1</v>
      </c>
      <c r="BE93" s="8">
        <f t="shared" ca="1" si="40"/>
        <v>0</v>
      </c>
      <c r="BF93" s="8">
        <f t="shared" ca="1" si="41"/>
        <v>0</v>
      </c>
      <c r="BG93" s="8">
        <f t="shared" ca="1" si="42"/>
        <v>0</v>
      </c>
    </row>
    <row r="94" spans="1:59" x14ac:dyDescent="0.2">
      <c r="A94" s="8" t="s">
        <v>127</v>
      </c>
      <c r="B94" s="8" t="s">
        <v>269</v>
      </c>
      <c r="C94" s="8">
        <v>-32.299999999999997</v>
      </c>
      <c r="D94" s="8">
        <v>468148.5</v>
      </c>
      <c r="E94" s="8">
        <v>5962754.0999999996</v>
      </c>
      <c r="F94" s="8">
        <v>0</v>
      </c>
      <c r="G94" s="8">
        <v>-0.7</v>
      </c>
      <c r="H94" s="8">
        <v>0</v>
      </c>
      <c r="I94" s="8">
        <v>2</v>
      </c>
      <c r="J94" s="8">
        <v>0</v>
      </c>
      <c r="K94" s="8">
        <v>-60.9</v>
      </c>
      <c r="L94" s="8">
        <v>28.6</v>
      </c>
      <c r="M94" s="8">
        <v>1508.021</v>
      </c>
      <c r="N94" s="8">
        <v>86.3</v>
      </c>
      <c r="O94" s="8">
        <v>8</v>
      </c>
      <c r="P94" s="8">
        <v>10</v>
      </c>
      <c r="Q94" s="8">
        <v>2.79</v>
      </c>
      <c r="R94" s="8">
        <v>68</v>
      </c>
      <c r="S94" s="8">
        <v>110</v>
      </c>
      <c r="T94" s="3">
        <v>147</v>
      </c>
      <c r="U94" s="8">
        <v>1295.9069999999999</v>
      </c>
      <c r="V94" s="8">
        <v>522.82399999999996</v>
      </c>
      <c r="W94" s="8">
        <v>752.85199999999998</v>
      </c>
      <c r="X94" s="8">
        <v>132.18100000000001</v>
      </c>
      <c r="Y94" s="8">
        <v>4.9400000000000004</v>
      </c>
      <c r="Z94" s="8">
        <v>8.0150000000000006</v>
      </c>
      <c r="AA94" s="8">
        <v>21.7</v>
      </c>
      <c r="AB94" s="8">
        <v>290.5</v>
      </c>
      <c r="AC94" s="8">
        <v>12356</v>
      </c>
      <c r="AD94" s="8">
        <v>3019</v>
      </c>
      <c r="AE94" s="8">
        <v>268</v>
      </c>
      <c r="AF94" s="8" cm="1">
        <f t="array" aca="1" ref="AF94" ca="1">_xlfn.XLOOKUP($A94,    INDIRECT("'" &amp; AF$16 &amp; "'!$A$20:$A$219"),    _xlfn.XLOOKUP(AF$18,INDIRECT("'" &amp; AF$16 &amp; "'!$B$18:$BC$18"), INDIRECT("'" &amp; AF$16 &amp; "'!$B$20:$BC$219"),"XXXXX",0,1),    "XX",    0,    1)</f>
        <v>15</v>
      </c>
      <c r="AG94" s="8" cm="1">
        <f t="array" aca="1" ref="AG94" ca="1">_xlfn.XLOOKUP($A94,    INDIRECT("'" &amp; AG$16 &amp; "'!$A$20:$A$219"),    _xlfn.XLOOKUP(AG$18,INDIRECT("'" &amp; AG$16 &amp; "'!$B$18:$BC$18"), INDIRECT("'" &amp; AG$16 &amp; "'!$B$20:$BC$219"),"XXXXX",0,1),    "XX",    0,    1)</f>
        <v>15</v>
      </c>
      <c r="AH94" s="8" cm="1">
        <f t="array" aca="1" ref="AH94" ca="1">_xlfn.XLOOKUP($A94,    INDIRECT("'" &amp; AH$16 &amp; "'!$A$20:$A$219"),    _xlfn.XLOOKUP(AH$18,INDIRECT("'" &amp; AH$16 &amp; "'!$B$18:$BC$18"), INDIRECT("'" &amp; AH$16 &amp; "'!$B$20:$BC$219"),"XXXXX",0,1),    "XX",    0,    1)</f>
        <v>19</v>
      </c>
      <c r="AI94" s="8" cm="1">
        <f t="array" aca="1" ref="AI94" ca="1">_xlfn.XLOOKUP($A94,    INDIRECT("'" &amp; AI$16 &amp; "'!$A$20:$A$219"),    _xlfn.XLOOKUP(AI$18,INDIRECT("'" &amp; AI$16 &amp; "'!$B$18:$BC$18"), INDIRECT("'" &amp; AI$16 &amp; "'!$B$20:$BC$219"),"XXXXX",0,1),    "XX",    0,    1)</f>
        <v>19</v>
      </c>
      <c r="AJ94" s="8" cm="1">
        <f t="array" aca="1" ref="AJ94" ca="1">_xlfn.XLOOKUP($A94,    INDIRECT("'" &amp; AJ$16 &amp; "'!$A$20:$A$219"),    _xlfn.XLOOKUP(AJ$18,INDIRECT("'" &amp; AJ$16 &amp; "'!$B$18:$BC$18"), INDIRECT("'" &amp; AJ$16 &amp; "'!$B$20:$BC$219"),"XXXXX",0,1),    "XX",    0,    1)</f>
        <v>19</v>
      </c>
      <c r="AK94" s="8" cm="1">
        <f t="array" aca="1" ref="AK94" ca="1">_xlfn.XLOOKUP($A94,    INDIRECT("'" &amp; AK$16 &amp; "'!$A$20:$A$219"),    _xlfn.XLOOKUP(AK$18,INDIRECT("'" &amp; AK$16 &amp; "'!$B$18:$BC$18"), INDIRECT("'" &amp; AK$16 &amp; "'!$B$20:$BC$219"),"XXXXX",0,1),    "XX",    0,    1)</f>
        <v>19</v>
      </c>
      <c r="AM94" s="16"/>
      <c r="AW94" s="8">
        <v>1</v>
      </c>
      <c r="AX94" s="8">
        <f t="shared" ca="1" si="39"/>
        <v>1.5</v>
      </c>
      <c r="AY94" s="8">
        <f t="shared" ca="1" si="34"/>
        <v>1.5</v>
      </c>
      <c r="AZ94" s="8">
        <f t="shared" ca="1" si="35"/>
        <v>1.9</v>
      </c>
      <c r="BA94" s="8">
        <f t="shared" ca="1" si="36"/>
        <v>1.9</v>
      </c>
      <c r="BB94" s="8">
        <f t="shared" ca="1" si="37"/>
        <v>1.9</v>
      </c>
      <c r="BC94" s="8">
        <f t="shared" ca="1" si="38"/>
        <v>1.9</v>
      </c>
      <c r="BE94" s="8">
        <f t="shared" ca="1" si="40"/>
        <v>0</v>
      </c>
      <c r="BF94" s="8">
        <f t="shared" ca="1" si="41"/>
        <v>0</v>
      </c>
      <c r="BG94" s="8">
        <f t="shared" ca="1" si="42"/>
        <v>0</v>
      </c>
    </row>
    <row r="95" spans="1:59" x14ac:dyDescent="0.2">
      <c r="A95" s="8" t="s">
        <v>151</v>
      </c>
      <c r="B95" s="8" t="s">
        <v>265</v>
      </c>
      <c r="C95" s="8">
        <v>-30.7</v>
      </c>
      <c r="D95" s="8">
        <v>471283.7</v>
      </c>
      <c r="E95" s="8">
        <v>5961073.2999999998</v>
      </c>
      <c r="F95" s="8">
        <v>0</v>
      </c>
      <c r="G95" s="8">
        <v>-0.6</v>
      </c>
      <c r="H95" s="8">
        <v>0</v>
      </c>
      <c r="I95" s="8">
        <v>2</v>
      </c>
      <c r="J95" s="8">
        <v>0</v>
      </c>
      <c r="K95" s="8">
        <v>-59.7</v>
      </c>
      <c r="L95" s="8">
        <v>29</v>
      </c>
      <c r="M95" s="8">
        <v>1448.5920000000001</v>
      </c>
      <c r="N95" s="8">
        <v>85.1</v>
      </c>
      <c r="O95" s="8">
        <v>8</v>
      </c>
      <c r="P95" s="8">
        <v>10</v>
      </c>
      <c r="Q95" s="8">
        <v>2.84</v>
      </c>
      <c r="R95" s="8">
        <v>64</v>
      </c>
      <c r="S95" s="8">
        <v>110</v>
      </c>
      <c r="T95" s="3">
        <v>147</v>
      </c>
      <c r="U95" s="8">
        <v>1296.1959999999999</v>
      </c>
      <c r="V95" s="8">
        <v>524.26900000000001</v>
      </c>
      <c r="W95" s="8">
        <v>752.85199999999998</v>
      </c>
      <c r="X95" s="8">
        <v>132.18100000000001</v>
      </c>
      <c r="Y95" s="8">
        <v>4.9400000000000004</v>
      </c>
      <c r="Z95" s="8">
        <v>8.0150000000000006</v>
      </c>
      <c r="AA95" s="8">
        <v>21.7</v>
      </c>
      <c r="AB95" s="8">
        <v>290.5</v>
      </c>
      <c r="AC95" s="8">
        <v>12282</v>
      </c>
      <c r="AD95" s="8">
        <v>2920</v>
      </c>
      <c r="AE95" s="8">
        <v>268</v>
      </c>
      <c r="AF95" s="8" cm="1">
        <f t="array" aca="1" ref="AF95" ca="1">_xlfn.XLOOKUP($A95,    INDIRECT("'" &amp; AF$16 &amp; "'!$A$20:$A$219"),    _xlfn.XLOOKUP(AF$18,INDIRECT("'" &amp; AF$16 &amp; "'!$B$18:$BC$18"), INDIRECT("'" &amp; AF$16 &amp; "'!$B$20:$BC$219"),"XXXXX",0,1),    "XX",    0,    1)</f>
        <v>15</v>
      </c>
      <c r="AG95" s="8" cm="1">
        <f t="array" aca="1" ref="AG95" ca="1">_xlfn.XLOOKUP($A95,    INDIRECT("'" &amp; AG$16 &amp; "'!$A$20:$A$219"),    _xlfn.XLOOKUP(AG$18,INDIRECT("'" &amp; AG$16 &amp; "'!$B$18:$BC$18"), INDIRECT("'" &amp; AG$16 &amp; "'!$B$20:$BC$219"),"XXXXX",0,1),    "XX",    0,    1)</f>
        <v>15</v>
      </c>
      <c r="AH95" s="8" cm="1">
        <f t="array" aca="1" ref="AH95" ca="1">_xlfn.XLOOKUP($A95,    INDIRECT("'" &amp; AH$16 &amp; "'!$A$20:$A$219"),    _xlfn.XLOOKUP(AH$18,INDIRECT("'" &amp; AH$16 &amp; "'!$B$18:$BC$18"), INDIRECT("'" &amp; AH$16 &amp; "'!$B$20:$BC$219"),"XXXXX",0,1),    "XX",    0,    1)</f>
        <v>19</v>
      </c>
      <c r="AI95" s="8" cm="1">
        <f t="array" aca="1" ref="AI95" ca="1">_xlfn.XLOOKUP($A95,    INDIRECT("'" &amp; AI$16 &amp; "'!$A$20:$A$219"),    _xlfn.XLOOKUP(AI$18,INDIRECT("'" &amp; AI$16 &amp; "'!$B$18:$BC$18"), INDIRECT("'" &amp; AI$16 &amp; "'!$B$20:$BC$219"),"XXXXX",0,1),    "XX",    0,    1)</f>
        <v>19</v>
      </c>
      <c r="AJ95" s="8" cm="1">
        <f t="array" aca="1" ref="AJ95" ca="1">_xlfn.XLOOKUP($A95,    INDIRECT("'" &amp; AJ$16 &amp; "'!$A$20:$A$219"),    _xlfn.XLOOKUP(AJ$18,INDIRECT("'" &amp; AJ$16 &amp; "'!$B$18:$BC$18"), INDIRECT("'" &amp; AJ$16 &amp; "'!$B$20:$BC$219"),"XXXXX",0,1),    "XX",    0,    1)</f>
        <v>19</v>
      </c>
      <c r="AK95" s="8" cm="1">
        <f t="array" aca="1" ref="AK95" ca="1">_xlfn.XLOOKUP($A95,    INDIRECT("'" &amp; AK$16 &amp; "'!$A$20:$A$219"),    _xlfn.XLOOKUP(AK$18,INDIRECT("'" &amp; AK$16 &amp; "'!$B$18:$BC$18"), INDIRECT("'" &amp; AK$16 &amp; "'!$B$20:$BC$219"),"XXXXX",0,1),    "XX",    0,    1)</f>
        <v>19</v>
      </c>
      <c r="AM95" s="16"/>
      <c r="AW95" s="8">
        <v>1</v>
      </c>
      <c r="AX95" s="8">
        <f t="shared" ca="1" si="39"/>
        <v>1.5</v>
      </c>
      <c r="AY95" s="8">
        <f t="shared" ca="1" si="34"/>
        <v>1.5</v>
      </c>
      <c r="AZ95" s="8">
        <f t="shared" ca="1" si="35"/>
        <v>1.9</v>
      </c>
      <c r="BA95" s="8">
        <f t="shared" ca="1" si="36"/>
        <v>1.9</v>
      </c>
      <c r="BB95" s="8">
        <f t="shared" ca="1" si="37"/>
        <v>1.9</v>
      </c>
      <c r="BC95" s="8">
        <f t="shared" ca="1" si="38"/>
        <v>1.9</v>
      </c>
      <c r="BE95" s="8">
        <f t="shared" ca="1" si="40"/>
        <v>0</v>
      </c>
      <c r="BF95" s="8">
        <f t="shared" ca="1" si="41"/>
        <v>0</v>
      </c>
      <c r="BG95" s="8">
        <f t="shared" ca="1" si="42"/>
        <v>0</v>
      </c>
    </row>
    <row r="96" spans="1:59" x14ac:dyDescent="0.2">
      <c r="A96" s="8" t="s">
        <v>98</v>
      </c>
      <c r="B96" s="8" t="s">
        <v>265</v>
      </c>
      <c r="C96" s="8">
        <v>-30.8</v>
      </c>
      <c r="D96" s="8">
        <v>474045.4</v>
      </c>
      <c r="E96" s="8">
        <v>5960023.2999999998</v>
      </c>
      <c r="F96" s="8">
        <v>0</v>
      </c>
      <c r="G96" s="8">
        <v>-0.6</v>
      </c>
      <c r="H96" s="8">
        <v>0</v>
      </c>
      <c r="I96" s="8">
        <v>2</v>
      </c>
      <c r="J96" s="8">
        <v>0</v>
      </c>
      <c r="K96" s="8">
        <v>-62.6</v>
      </c>
      <c r="L96" s="8">
        <v>31.8</v>
      </c>
      <c r="M96" s="8">
        <v>1516.0550000000001</v>
      </c>
      <c r="N96" s="8">
        <v>88</v>
      </c>
      <c r="O96" s="8">
        <v>8</v>
      </c>
      <c r="P96" s="8">
        <v>10</v>
      </c>
      <c r="Q96" s="8">
        <v>3.12</v>
      </c>
      <c r="R96" s="8">
        <v>66</v>
      </c>
      <c r="S96" s="8">
        <v>110</v>
      </c>
      <c r="T96" s="3">
        <v>147</v>
      </c>
      <c r="U96" s="8">
        <v>1296.1579999999999</v>
      </c>
      <c r="V96" s="8">
        <v>586.64800000000002</v>
      </c>
      <c r="W96" s="8">
        <v>752.85199999999998</v>
      </c>
      <c r="X96" s="8">
        <v>132.18100000000001</v>
      </c>
      <c r="Y96" s="8">
        <v>4.9400000000000004</v>
      </c>
      <c r="Z96" s="8">
        <v>8.0150000000000006</v>
      </c>
      <c r="AA96" s="8">
        <v>21.7</v>
      </c>
      <c r="AB96" s="8">
        <v>290.5</v>
      </c>
      <c r="AC96" s="8">
        <v>12463</v>
      </c>
      <c r="AD96" s="8">
        <v>2926</v>
      </c>
      <c r="AE96" s="8">
        <v>268</v>
      </c>
      <c r="AF96" s="8" cm="1">
        <f t="array" aca="1" ref="AF96" ca="1">_xlfn.XLOOKUP($A96,    INDIRECT("'" &amp; AF$16 &amp; "'!$A$20:$A$219"),    _xlfn.XLOOKUP(AF$18,INDIRECT("'" &amp; AF$16 &amp; "'!$B$18:$BC$18"), INDIRECT("'" &amp; AF$16 &amp; "'!$B$20:$BC$219"),"XXXXX",0,1),    "XX",    0,    1)</f>
        <v>17</v>
      </c>
      <c r="AG96" s="8" cm="1">
        <f t="array" aca="1" ref="AG96" ca="1">_xlfn.XLOOKUP($A96,    INDIRECT("'" &amp; AG$16 &amp; "'!$A$20:$A$219"),    _xlfn.XLOOKUP(AG$18,INDIRECT("'" &amp; AG$16 &amp; "'!$B$18:$BC$18"), INDIRECT("'" &amp; AG$16 &amp; "'!$B$20:$BC$219"),"XXXXX",0,1),    "XX",    0,    1)</f>
        <v>17</v>
      </c>
      <c r="AH96" s="8" cm="1">
        <f t="array" aca="1" ref="AH96" ca="1">_xlfn.XLOOKUP($A96,    INDIRECT("'" &amp; AH$16 &amp; "'!$A$20:$A$219"),    _xlfn.XLOOKUP(AH$18,INDIRECT("'" &amp; AH$16 &amp; "'!$B$18:$BC$18"), INDIRECT("'" &amp; AH$16 &amp; "'!$B$20:$BC$219"),"XXXXX",0,1),    "XX",    0,    1)</f>
        <v>21</v>
      </c>
      <c r="AI96" s="8" cm="1">
        <f t="array" aca="1" ref="AI96" ca="1">_xlfn.XLOOKUP($A96,    INDIRECT("'" &amp; AI$16 &amp; "'!$A$20:$A$219"),    _xlfn.XLOOKUP(AI$18,INDIRECT("'" &amp; AI$16 &amp; "'!$B$18:$BC$18"), INDIRECT("'" &amp; AI$16 &amp; "'!$B$20:$BC$219"),"XXXXX",0,1),    "XX",    0,    1)</f>
        <v>21</v>
      </c>
      <c r="AJ96" s="8" cm="1">
        <f t="array" aca="1" ref="AJ96" ca="1">_xlfn.XLOOKUP($A96,    INDIRECT("'" &amp; AJ$16 &amp; "'!$A$20:$A$219"),    _xlfn.XLOOKUP(AJ$18,INDIRECT("'" &amp; AJ$16 &amp; "'!$B$18:$BC$18"), INDIRECT("'" &amp; AJ$16 &amp; "'!$B$20:$BC$219"),"XXXXX",0,1),    "XX",    0,    1)</f>
        <v>23</v>
      </c>
      <c r="AK96" s="8" cm="1">
        <f t="array" aca="1" ref="AK96" ca="1">_xlfn.XLOOKUP($A96,    INDIRECT("'" &amp; AK$16 &amp; "'!$A$20:$A$219"),    _xlfn.XLOOKUP(AK$18,INDIRECT("'" &amp; AK$16 &amp; "'!$B$18:$BC$18"), INDIRECT("'" &amp; AK$16 &amp; "'!$B$20:$BC$219"),"XXXXX",0,1),    "XX",    0,    1)</f>
        <v>23</v>
      </c>
      <c r="AM96" s="16"/>
      <c r="AW96" s="8">
        <v>1</v>
      </c>
      <c r="AX96" s="8">
        <f t="shared" ca="1" si="39"/>
        <v>1.7</v>
      </c>
      <c r="AY96" s="8">
        <f t="shared" ca="1" si="34"/>
        <v>1.7</v>
      </c>
      <c r="AZ96" s="8">
        <f t="shared" ca="1" si="35"/>
        <v>2.1</v>
      </c>
      <c r="BA96" s="8">
        <f t="shared" ca="1" si="36"/>
        <v>2.1</v>
      </c>
      <c r="BB96" s="8">
        <f t="shared" ca="1" si="37"/>
        <v>2.2999999999999998</v>
      </c>
      <c r="BC96" s="8">
        <f t="shared" ca="1" si="38"/>
        <v>2.2999999999999998</v>
      </c>
      <c r="BE96" s="8">
        <f t="shared" ca="1" si="40"/>
        <v>0</v>
      </c>
      <c r="BF96" s="8">
        <f t="shared" ca="1" si="41"/>
        <v>0</v>
      </c>
      <c r="BG96" s="8">
        <f t="shared" ca="1" si="42"/>
        <v>0</v>
      </c>
    </row>
    <row r="97" spans="1:59" x14ac:dyDescent="0.2">
      <c r="A97" s="8" t="s">
        <v>132</v>
      </c>
      <c r="B97" s="8" t="s">
        <v>265</v>
      </c>
      <c r="C97" s="8">
        <v>-30.3</v>
      </c>
      <c r="D97" s="8">
        <v>477385.7</v>
      </c>
      <c r="E97" s="8">
        <v>5958021.7999999998</v>
      </c>
      <c r="F97" s="8">
        <v>0</v>
      </c>
      <c r="G97" s="8">
        <v>-0.7</v>
      </c>
      <c r="H97" s="8">
        <v>0</v>
      </c>
      <c r="I97" s="8">
        <v>2</v>
      </c>
      <c r="J97" s="8">
        <v>0</v>
      </c>
      <c r="K97" s="8">
        <v>-60.2</v>
      </c>
      <c r="L97" s="8">
        <v>29.9</v>
      </c>
      <c r="M97" s="8">
        <v>1464.59</v>
      </c>
      <c r="N97" s="8">
        <v>85.6</v>
      </c>
      <c r="O97" s="8">
        <v>8</v>
      </c>
      <c r="P97" s="8">
        <v>10</v>
      </c>
      <c r="Q97" s="8">
        <v>2.92</v>
      </c>
      <c r="R97" s="8">
        <v>66</v>
      </c>
      <c r="S97" s="8">
        <v>110</v>
      </c>
      <c r="T97" s="3">
        <v>147</v>
      </c>
      <c r="U97" s="8">
        <v>1296.171</v>
      </c>
      <c r="V97" s="8">
        <v>555.66</v>
      </c>
      <c r="W97" s="8">
        <v>752.85199999999998</v>
      </c>
      <c r="X97" s="8">
        <v>132.18100000000001</v>
      </c>
      <c r="Y97" s="8">
        <v>4.9400000000000004</v>
      </c>
      <c r="Z97" s="8">
        <v>8.0150000000000006</v>
      </c>
      <c r="AA97" s="8">
        <v>21.7</v>
      </c>
      <c r="AB97" s="8">
        <v>290.5</v>
      </c>
      <c r="AC97" s="8">
        <v>12313</v>
      </c>
      <c r="AD97" s="8">
        <v>2895</v>
      </c>
      <c r="AE97" s="8">
        <v>268</v>
      </c>
      <c r="AF97" s="8" cm="1">
        <f t="array" aca="1" ref="AF97" ca="1">_xlfn.XLOOKUP($A97,    INDIRECT("'" &amp; AF$16 &amp; "'!$A$20:$A$219"),    _xlfn.XLOOKUP(AF$18,INDIRECT("'" &amp; AF$16 &amp; "'!$B$18:$BC$18"), INDIRECT("'" &amp; AF$16 &amp; "'!$B$20:$BC$219"),"XXXXX",0,1),    "XX",    0,    1)</f>
        <v>15</v>
      </c>
      <c r="AG97" s="8" cm="1">
        <f t="array" aca="1" ref="AG97" ca="1">_xlfn.XLOOKUP($A97,    INDIRECT("'" &amp; AG$16 &amp; "'!$A$20:$A$219"),    _xlfn.XLOOKUP(AG$18,INDIRECT("'" &amp; AG$16 &amp; "'!$B$18:$BC$18"), INDIRECT("'" &amp; AG$16 &amp; "'!$B$20:$BC$219"),"XXXXX",0,1),    "XX",    0,    1)</f>
        <v>15</v>
      </c>
      <c r="AH97" s="8" cm="1">
        <f t="array" aca="1" ref="AH97" ca="1">_xlfn.XLOOKUP($A97,    INDIRECT("'" &amp; AH$16 &amp; "'!$A$20:$A$219"),    _xlfn.XLOOKUP(AH$18,INDIRECT("'" &amp; AH$16 &amp; "'!$B$18:$BC$18"), INDIRECT("'" &amp; AH$16 &amp; "'!$B$20:$BC$219"),"XXXXX",0,1),    "XX",    0,    1)</f>
        <v>19</v>
      </c>
      <c r="AI97" s="8" cm="1">
        <f t="array" aca="1" ref="AI97" ca="1">_xlfn.XLOOKUP($A97,    INDIRECT("'" &amp; AI$16 &amp; "'!$A$20:$A$219"),    _xlfn.XLOOKUP(AI$18,INDIRECT("'" &amp; AI$16 &amp; "'!$B$18:$BC$18"), INDIRECT("'" &amp; AI$16 &amp; "'!$B$20:$BC$219"),"XXXXX",0,1),    "XX",    0,    1)</f>
        <v>19</v>
      </c>
      <c r="AJ97" s="8" cm="1">
        <f t="array" aca="1" ref="AJ97" ca="1">_xlfn.XLOOKUP($A97,    INDIRECT("'" &amp; AJ$16 &amp; "'!$A$20:$A$219"),    _xlfn.XLOOKUP(AJ$18,INDIRECT("'" &amp; AJ$16 &amp; "'!$B$18:$BC$18"), INDIRECT("'" &amp; AJ$16 &amp; "'!$B$20:$BC$219"),"XXXXX",0,1),    "XX",    0,    1)</f>
        <v>21</v>
      </c>
      <c r="AK97" s="8" cm="1">
        <f t="array" aca="1" ref="AK97" ca="1">_xlfn.XLOOKUP($A97,    INDIRECT("'" &amp; AK$16 &amp; "'!$A$20:$A$219"),    _xlfn.XLOOKUP(AK$18,INDIRECT("'" &amp; AK$16 &amp; "'!$B$18:$BC$18"), INDIRECT("'" &amp; AK$16 &amp; "'!$B$20:$BC$219"),"XXXXX",0,1),    "XX",    0,    1)</f>
        <v>21</v>
      </c>
      <c r="AM97" s="16"/>
      <c r="AW97" s="8">
        <v>1</v>
      </c>
      <c r="AX97" s="8">
        <f t="shared" ca="1" si="39"/>
        <v>1.5</v>
      </c>
      <c r="AY97" s="8">
        <f t="shared" ca="1" si="34"/>
        <v>1.5</v>
      </c>
      <c r="AZ97" s="8">
        <f t="shared" ca="1" si="35"/>
        <v>1.9</v>
      </c>
      <c r="BA97" s="8">
        <f t="shared" ca="1" si="36"/>
        <v>1.9</v>
      </c>
      <c r="BB97" s="8">
        <f t="shared" ca="1" si="37"/>
        <v>2.1</v>
      </c>
      <c r="BC97" s="8">
        <f t="shared" ca="1" si="38"/>
        <v>2.1</v>
      </c>
      <c r="BE97" s="8">
        <f t="shared" ca="1" si="40"/>
        <v>0</v>
      </c>
      <c r="BF97" s="8">
        <f t="shared" ca="1" si="41"/>
        <v>0</v>
      </c>
      <c r="BG97" s="8">
        <f t="shared" ca="1" si="42"/>
        <v>0</v>
      </c>
    </row>
    <row r="98" spans="1:59" x14ac:dyDescent="0.2">
      <c r="A98" s="8" t="s">
        <v>126</v>
      </c>
      <c r="B98" s="8" t="s">
        <v>269</v>
      </c>
      <c r="C98" s="8">
        <v>-32.5</v>
      </c>
      <c r="D98" s="8">
        <v>479762.7</v>
      </c>
      <c r="E98" s="8">
        <v>5957543.5</v>
      </c>
      <c r="F98" s="8">
        <v>0</v>
      </c>
      <c r="G98" s="8">
        <v>-0.7</v>
      </c>
      <c r="H98" s="8">
        <v>0</v>
      </c>
      <c r="I98" s="8">
        <v>2</v>
      </c>
      <c r="J98" s="8">
        <v>0</v>
      </c>
      <c r="K98" s="8">
        <v>-61</v>
      </c>
      <c r="L98" s="8">
        <v>28.5</v>
      </c>
      <c r="M98" s="8">
        <v>1507.2</v>
      </c>
      <c r="N98" s="8">
        <v>86.4</v>
      </c>
      <c r="O98" s="8">
        <v>8</v>
      </c>
      <c r="P98" s="8">
        <v>10</v>
      </c>
      <c r="Q98" s="8">
        <v>2.78</v>
      </c>
      <c r="R98" s="8">
        <v>68</v>
      </c>
      <c r="S98" s="8">
        <v>110</v>
      </c>
      <c r="T98" s="3">
        <v>147</v>
      </c>
      <c r="U98" s="8">
        <v>1295.92</v>
      </c>
      <c r="V98" s="8">
        <v>580.654</v>
      </c>
      <c r="W98" s="8">
        <v>752.85199999999998</v>
      </c>
      <c r="X98" s="8">
        <v>132.18100000000001</v>
      </c>
      <c r="Y98" s="8">
        <v>4.9400000000000004</v>
      </c>
      <c r="Z98" s="8">
        <v>8.0150000000000006</v>
      </c>
      <c r="AA98" s="8">
        <v>21.7</v>
      </c>
      <c r="AB98" s="8">
        <v>290.5</v>
      </c>
      <c r="AC98" s="8">
        <v>12362</v>
      </c>
      <c r="AD98" s="8">
        <v>3031</v>
      </c>
      <c r="AE98" s="8">
        <v>268</v>
      </c>
      <c r="AF98" s="8" cm="1">
        <f t="array" aca="1" ref="AF98" ca="1">_xlfn.XLOOKUP($A98,    INDIRECT("'" &amp; AF$16 &amp; "'!$A$20:$A$219"),    _xlfn.XLOOKUP(AF$18,INDIRECT("'" &amp; AF$16 &amp; "'!$B$18:$BC$18"), INDIRECT("'" &amp; AF$16 &amp; "'!$B$20:$BC$219"),"XXXXX",0,1),    "XX",    0,    1)</f>
        <v>15</v>
      </c>
      <c r="AG98" s="8" cm="1">
        <f t="array" aca="1" ref="AG98" ca="1">_xlfn.XLOOKUP($A98,    INDIRECT("'" &amp; AG$16 &amp; "'!$A$20:$A$219"),    _xlfn.XLOOKUP(AG$18,INDIRECT("'" &amp; AG$16 &amp; "'!$B$18:$BC$18"), INDIRECT("'" &amp; AG$16 &amp; "'!$B$20:$BC$219"),"XXXXX",0,1),    "XX",    0,    1)</f>
        <v>15</v>
      </c>
      <c r="AH98" s="8" cm="1">
        <f t="array" aca="1" ref="AH98" ca="1">_xlfn.XLOOKUP($A98,    INDIRECT("'" &amp; AH$16 &amp; "'!$A$20:$A$219"),    _xlfn.XLOOKUP(AH$18,INDIRECT("'" &amp; AH$16 &amp; "'!$B$18:$BC$18"), INDIRECT("'" &amp; AH$16 &amp; "'!$B$20:$BC$219"),"XXXXX",0,1),    "XX",    0,    1)</f>
        <v>17</v>
      </c>
      <c r="AI98" s="8" cm="1">
        <f t="array" aca="1" ref="AI98" ca="1">_xlfn.XLOOKUP($A98,    INDIRECT("'" &amp; AI$16 &amp; "'!$A$20:$A$219"),    _xlfn.XLOOKUP(AI$18,INDIRECT("'" &amp; AI$16 &amp; "'!$B$18:$BC$18"), INDIRECT("'" &amp; AI$16 &amp; "'!$B$20:$BC$219"),"XXXXX",0,1),    "XX",    0,    1)</f>
        <v>17</v>
      </c>
      <c r="AJ98" s="8" cm="1">
        <f t="array" aca="1" ref="AJ98" ca="1">_xlfn.XLOOKUP($A98,    INDIRECT("'" &amp; AJ$16 &amp; "'!$A$20:$A$219"),    _xlfn.XLOOKUP(AJ$18,INDIRECT("'" &amp; AJ$16 &amp; "'!$B$18:$BC$18"), INDIRECT("'" &amp; AJ$16 &amp; "'!$B$20:$BC$219"),"XXXXX",0,1),    "XX",    0,    1)</f>
        <v>19</v>
      </c>
      <c r="AK98" s="8" cm="1">
        <f t="array" aca="1" ref="AK98" ca="1">_xlfn.XLOOKUP($A98,    INDIRECT("'" &amp; AK$16 &amp; "'!$A$20:$A$219"),    _xlfn.XLOOKUP(AK$18,INDIRECT("'" &amp; AK$16 &amp; "'!$B$18:$BC$18"), INDIRECT("'" &amp; AK$16 &amp; "'!$B$20:$BC$219"),"XXXXX",0,1),    "XX",    0,    1)</f>
        <v>19</v>
      </c>
      <c r="AM98" s="16"/>
      <c r="AW98" s="8">
        <v>1</v>
      </c>
      <c r="AX98" s="8">
        <f t="shared" ca="1" si="39"/>
        <v>1.5</v>
      </c>
      <c r="AY98" s="8">
        <f t="shared" ca="1" si="34"/>
        <v>1.5</v>
      </c>
      <c r="AZ98" s="8">
        <f t="shared" ca="1" si="35"/>
        <v>1.7</v>
      </c>
      <c r="BA98" s="8">
        <f t="shared" ca="1" si="36"/>
        <v>1.7</v>
      </c>
      <c r="BB98" s="8">
        <f t="shared" ca="1" si="37"/>
        <v>1.9</v>
      </c>
      <c r="BC98" s="8">
        <f t="shared" ca="1" si="38"/>
        <v>1.9</v>
      </c>
      <c r="BE98" s="8">
        <f t="shared" ca="1" si="40"/>
        <v>0</v>
      </c>
      <c r="BF98" s="8">
        <f t="shared" ca="1" si="41"/>
        <v>0</v>
      </c>
      <c r="BG98" s="8">
        <f t="shared" ca="1" si="42"/>
        <v>0</v>
      </c>
    </row>
    <row r="99" spans="1:59" x14ac:dyDescent="0.2">
      <c r="A99" s="8" t="s">
        <v>43</v>
      </c>
      <c r="B99" s="8" t="s">
        <v>265</v>
      </c>
      <c r="C99" s="8">
        <v>-36.1</v>
      </c>
      <c r="D99" s="8">
        <v>480034.7</v>
      </c>
      <c r="E99" s="8">
        <v>5960381.7000000002</v>
      </c>
      <c r="F99" s="8">
        <v>0</v>
      </c>
      <c r="G99" s="8">
        <v>-0.7</v>
      </c>
      <c r="H99" s="8">
        <v>0</v>
      </c>
      <c r="I99" s="8">
        <v>2</v>
      </c>
      <c r="J99" s="8">
        <v>0</v>
      </c>
      <c r="K99" s="8">
        <v>-64.7</v>
      </c>
      <c r="L99" s="8">
        <v>28.6</v>
      </c>
      <c r="M99" s="8">
        <v>1654.4780000000001</v>
      </c>
      <c r="N99" s="8">
        <v>90.1</v>
      </c>
      <c r="O99" s="8">
        <v>8</v>
      </c>
      <c r="P99" s="8">
        <v>10</v>
      </c>
      <c r="Q99" s="8">
        <v>2.79</v>
      </c>
      <c r="R99" s="8">
        <v>68</v>
      </c>
      <c r="S99" s="8">
        <v>110</v>
      </c>
      <c r="T99" s="3">
        <v>147</v>
      </c>
      <c r="U99" s="8">
        <v>1357.7460000000001</v>
      </c>
      <c r="V99" s="8">
        <v>427.81</v>
      </c>
      <c r="W99" s="8">
        <v>752.85199999999998</v>
      </c>
      <c r="X99" s="8">
        <v>132.18100000000001</v>
      </c>
      <c r="Y99" s="8">
        <v>4.9400000000000004</v>
      </c>
      <c r="Z99" s="8">
        <v>8.0150000000000006</v>
      </c>
      <c r="AA99" s="8">
        <v>21.7</v>
      </c>
      <c r="AB99" s="8">
        <v>290.5</v>
      </c>
      <c r="AC99" s="8">
        <v>12591</v>
      </c>
      <c r="AD99" s="8">
        <v>3254</v>
      </c>
      <c r="AE99" s="8">
        <v>268</v>
      </c>
      <c r="AF99" s="8" cm="1">
        <f t="array" aca="1" ref="AF99" ca="1">_xlfn.XLOOKUP($A99,    INDIRECT("'" &amp; AF$16 &amp; "'!$A$20:$A$219"),    _xlfn.XLOOKUP(AF$18,INDIRECT("'" &amp; AF$16 &amp; "'!$B$18:$BC$18"), INDIRECT("'" &amp; AF$16 &amp; "'!$B$20:$BC$219"),"XXXXX",0,1),    "XX",    0,    1)</f>
        <v>15</v>
      </c>
      <c r="AG99" s="8" cm="1">
        <f t="array" aca="1" ref="AG99" ca="1">_xlfn.XLOOKUP($A99,    INDIRECT("'" &amp; AG$16 &amp; "'!$A$20:$A$219"),    _xlfn.XLOOKUP(AG$18,INDIRECT("'" &amp; AG$16 &amp; "'!$B$18:$BC$18"), INDIRECT("'" &amp; AG$16 &amp; "'!$B$20:$BC$219"),"XXXXX",0,1),    "XX",    0,    1)</f>
        <v>15</v>
      </c>
      <c r="AH99" s="8" cm="1">
        <f t="array" aca="1" ref="AH99" ca="1">_xlfn.XLOOKUP($A99,    INDIRECT("'" &amp; AH$16 &amp; "'!$A$20:$A$219"),    _xlfn.XLOOKUP(AH$18,INDIRECT("'" &amp; AH$16 &amp; "'!$B$18:$BC$18"), INDIRECT("'" &amp; AH$16 &amp; "'!$B$20:$BC$219"),"XXXXX",0,1),    "XX",    0,    1)</f>
        <v>19</v>
      </c>
      <c r="AI99" s="8" cm="1">
        <f t="array" aca="1" ref="AI99" ca="1">_xlfn.XLOOKUP($A99,    INDIRECT("'" &amp; AI$16 &amp; "'!$A$20:$A$219"),    _xlfn.XLOOKUP(AI$18,INDIRECT("'" &amp; AI$16 &amp; "'!$B$18:$BC$18"), INDIRECT("'" &amp; AI$16 &amp; "'!$B$20:$BC$219"),"XXXXX",0,1),    "XX",    0,    1)</f>
        <v>19</v>
      </c>
      <c r="AJ99" s="8" cm="1">
        <f t="array" aca="1" ref="AJ99" ca="1">_xlfn.XLOOKUP($A99,    INDIRECT("'" &amp; AJ$16 &amp; "'!$A$20:$A$219"),    _xlfn.XLOOKUP(AJ$18,INDIRECT("'" &amp; AJ$16 &amp; "'!$B$18:$BC$18"), INDIRECT("'" &amp; AJ$16 &amp; "'!$B$20:$BC$219"),"XXXXX",0,1),    "XX",    0,    1)</f>
        <v>19</v>
      </c>
      <c r="AK99" s="8" cm="1">
        <f t="array" aca="1" ref="AK99" ca="1">_xlfn.XLOOKUP($A99,    INDIRECT("'" &amp; AK$16 &amp; "'!$A$20:$A$219"),    _xlfn.XLOOKUP(AK$18,INDIRECT("'" &amp; AK$16 &amp; "'!$B$18:$BC$18"), INDIRECT("'" &amp; AK$16 &amp; "'!$B$20:$BC$219"),"XXXXX",0,1),    "XX",    0,    1)</f>
        <v>19</v>
      </c>
      <c r="AM99" s="16"/>
      <c r="AW99" s="8">
        <v>1</v>
      </c>
      <c r="AX99" s="8">
        <f t="shared" ca="1" si="39"/>
        <v>1.5</v>
      </c>
      <c r="AY99" s="8">
        <f t="shared" ca="1" si="34"/>
        <v>1.5</v>
      </c>
      <c r="AZ99" s="8">
        <f t="shared" ca="1" si="35"/>
        <v>1.9</v>
      </c>
      <c r="BA99" s="8">
        <f t="shared" ca="1" si="36"/>
        <v>1.9</v>
      </c>
      <c r="BB99" s="8">
        <f t="shared" ca="1" si="37"/>
        <v>1.9</v>
      </c>
      <c r="BC99" s="8">
        <f t="shared" ca="1" si="38"/>
        <v>1.9</v>
      </c>
      <c r="BE99" s="8">
        <f t="shared" ca="1" si="40"/>
        <v>0</v>
      </c>
      <c r="BF99" s="8">
        <f t="shared" ca="1" si="41"/>
        <v>0</v>
      </c>
      <c r="BG99" s="8">
        <f t="shared" ca="1" si="42"/>
        <v>0</v>
      </c>
    </row>
    <row r="100" spans="1:59" x14ac:dyDescent="0.2">
      <c r="A100" s="8" t="s">
        <v>39</v>
      </c>
      <c r="B100" s="8" t="s">
        <v>269</v>
      </c>
      <c r="C100" s="8">
        <v>-36.299999999999997</v>
      </c>
      <c r="D100" s="8">
        <v>479021</v>
      </c>
      <c r="E100" s="8">
        <v>5965200</v>
      </c>
      <c r="F100" s="8">
        <v>0</v>
      </c>
      <c r="G100" s="8">
        <v>-0.6</v>
      </c>
      <c r="H100" s="8">
        <v>0</v>
      </c>
      <c r="I100" s="8">
        <v>2</v>
      </c>
      <c r="J100" s="8">
        <v>0</v>
      </c>
      <c r="K100" s="8">
        <v>-65.900000000000006</v>
      </c>
      <c r="L100" s="8">
        <v>29.6</v>
      </c>
      <c r="M100" s="8">
        <v>1692.1030000000001</v>
      </c>
      <c r="N100" s="8">
        <v>91.3</v>
      </c>
      <c r="O100" s="8">
        <v>8</v>
      </c>
      <c r="P100" s="8">
        <v>10</v>
      </c>
      <c r="Q100" s="8">
        <v>2.9</v>
      </c>
      <c r="R100" s="8">
        <v>68</v>
      </c>
      <c r="S100" s="8">
        <v>110</v>
      </c>
      <c r="T100" s="3">
        <v>147</v>
      </c>
      <c r="U100" s="8">
        <v>1357.671</v>
      </c>
      <c r="V100" s="8">
        <v>421.99099999999999</v>
      </c>
      <c r="W100" s="8">
        <v>752.85199999999998</v>
      </c>
      <c r="X100" s="8">
        <v>132.18100000000001</v>
      </c>
      <c r="Y100" s="8">
        <v>4.9400000000000004</v>
      </c>
      <c r="Z100" s="8">
        <v>8.0150000000000006</v>
      </c>
      <c r="AA100" s="8">
        <v>21.7</v>
      </c>
      <c r="AB100" s="8">
        <v>290.5</v>
      </c>
      <c r="AC100" s="8">
        <v>12665</v>
      </c>
      <c r="AD100" s="8">
        <v>3267</v>
      </c>
      <c r="AE100" s="8">
        <v>268</v>
      </c>
      <c r="AF100" s="8" cm="1">
        <f t="array" aca="1" ref="AF100" ca="1">_xlfn.XLOOKUP($A100,    INDIRECT("'" &amp; AF$16 &amp; "'!$A$20:$A$219"),    _xlfn.XLOOKUP(AF$18,INDIRECT("'" &amp; AF$16 &amp; "'!$B$18:$BC$18"), INDIRECT("'" &amp; AF$16 &amp; "'!$B$20:$BC$219"),"XXXXX",0,1),    "XX",    0,    1)</f>
        <v>15</v>
      </c>
      <c r="AG100" s="8" cm="1">
        <f t="array" aca="1" ref="AG100" ca="1">_xlfn.XLOOKUP($A100,    INDIRECT("'" &amp; AG$16 &amp; "'!$A$20:$A$219"),    _xlfn.XLOOKUP(AG$18,INDIRECT("'" &amp; AG$16 &amp; "'!$B$18:$BC$18"), INDIRECT("'" &amp; AG$16 &amp; "'!$B$20:$BC$219"),"XXXXX",0,1),    "XX",    0,    1)</f>
        <v>15</v>
      </c>
      <c r="AH100" s="8" cm="1">
        <f t="array" aca="1" ref="AH100" ca="1">_xlfn.XLOOKUP($A100,    INDIRECT("'" &amp; AH$16 &amp; "'!$A$20:$A$219"),    _xlfn.XLOOKUP(AH$18,INDIRECT("'" &amp; AH$16 &amp; "'!$B$18:$BC$18"), INDIRECT("'" &amp; AH$16 &amp; "'!$B$20:$BC$219"),"XXXXX",0,1),    "XX",    0,    1)</f>
        <v>19</v>
      </c>
      <c r="AI100" s="8" cm="1">
        <f t="array" aca="1" ref="AI100" ca="1">_xlfn.XLOOKUP($A100,    INDIRECT("'" &amp; AI$16 &amp; "'!$A$20:$A$219"),    _xlfn.XLOOKUP(AI$18,INDIRECT("'" &amp; AI$16 &amp; "'!$B$18:$BC$18"), INDIRECT("'" &amp; AI$16 &amp; "'!$B$20:$BC$219"),"XXXXX",0,1),    "XX",    0,    1)</f>
        <v>19</v>
      </c>
      <c r="AJ100" s="8" cm="1">
        <f t="array" aca="1" ref="AJ100" ca="1">_xlfn.XLOOKUP($A100,    INDIRECT("'" &amp; AJ$16 &amp; "'!$A$20:$A$219"),    _xlfn.XLOOKUP(AJ$18,INDIRECT("'" &amp; AJ$16 &amp; "'!$B$18:$BC$18"), INDIRECT("'" &amp; AJ$16 &amp; "'!$B$20:$BC$219"),"XXXXX",0,1),    "XX",    0,    1)</f>
        <v>21</v>
      </c>
      <c r="AK100" s="8" cm="1">
        <f t="array" aca="1" ref="AK100" ca="1">_xlfn.XLOOKUP($A100,    INDIRECT("'" &amp; AK$16 &amp; "'!$A$20:$A$219"),    _xlfn.XLOOKUP(AK$18,INDIRECT("'" &amp; AK$16 &amp; "'!$B$18:$BC$18"), INDIRECT("'" &amp; AK$16 &amp; "'!$B$20:$BC$219"),"XXXXX",0,1),    "XX",    0,    1)</f>
        <v>21</v>
      </c>
      <c r="AM100" s="16"/>
      <c r="AW100" s="8">
        <v>1</v>
      </c>
      <c r="AX100" s="8">
        <f t="shared" ca="1" si="39"/>
        <v>1.5</v>
      </c>
      <c r="AY100" s="8">
        <f t="shared" ca="1" si="34"/>
        <v>1.5</v>
      </c>
      <c r="AZ100" s="8">
        <f t="shared" ca="1" si="35"/>
        <v>1.9</v>
      </c>
      <c r="BA100" s="8">
        <f t="shared" ca="1" si="36"/>
        <v>1.9</v>
      </c>
      <c r="BB100" s="8">
        <f t="shared" ca="1" si="37"/>
        <v>2.1</v>
      </c>
      <c r="BC100" s="8">
        <f t="shared" ca="1" si="38"/>
        <v>2.1</v>
      </c>
      <c r="BE100" s="8">
        <f t="shared" ca="1" si="40"/>
        <v>0</v>
      </c>
      <c r="BF100" s="8">
        <f t="shared" ca="1" si="41"/>
        <v>0</v>
      </c>
      <c r="BG100" s="8">
        <f t="shared" ca="1" si="42"/>
        <v>0</v>
      </c>
    </row>
    <row r="101" spans="1:59" x14ac:dyDescent="0.2">
      <c r="A101" s="8" t="s">
        <v>149</v>
      </c>
      <c r="B101" s="8" t="s">
        <v>265</v>
      </c>
      <c r="C101" s="8">
        <v>-28</v>
      </c>
      <c r="D101" s="8">
        <v>478501.4</v>
      </c>
      <c r="E101" s="8">
        <v>5969120</v>
      </c>
      <c r="F101" s="8">
        <v>0</v>
      </c>
      <c r="G101" s="8">
        <v>-0.6</v>
      </c>
      <c r="H101" s="8">
        <v>0</v>
      </c>
      <c r="I101" s="8">
        <v>2</v>
      </c>
      <c r="J101" s="8">
        <v>0</v>
      </c>
      <c r="K101" s="8">
        <v>-59.9</v>
      </c>
      <c r="L101" s="8">
        <v>31.9</v>
      </c>
      <c r="M101" s="8">
        <v>1453.9970000000001</v>
      </c>
      <c r="N101" s="8">
        <v>85.3</v>
      </c>
      <c r="O101" s="8">
        <v>8</v>
      </c>
      <c r="P101" s="8">
        <v>10</v>
      </c>
      <c r="Q101" s="8">
        <v>3.13</v>
      </c>
      <c r="R101" s="8">
        <v>68</v>
      </c>
      <c r="S101" s="8">
        <v>110</v>
      </c>
      <c r="T101" s="3">
        <v>147</v>
      </c>
      <c r="U101" s="8">
        <v>1296.171</v>
      </c>
      <c r="V101" s="8">
        <v>455.983</v>
      </c>
      <c r="W101" s="8">
        <v>752.85199999999998</v>
      </c>
      <c r="X101" s="8">
        <v>132.18100000000001</v>
      </c>
      <c r="Y101" s="8">
        <v>4.9400000000000004</v>
      </c>
      <c r="Z101" s="8">
        <v>8.0150000000000006</v>
      </c>
      <c r="AA101" s="8">
        <v>21.7</v>
      </c>
      <c r="AB101" s="8">
        <v>290.5</v>
      </c>
      <c r="AC101" s="8">
        <v>12295</v>
      </c>
      <c r="AD101" s="8">
        <v>2751</v>
      </c>
      <c r="AE101" s="8">
        <v>268</v>
      </c>
      <c r="AF101" s="8" cm="1">
        <f t="array" aca="1" ref="AF101" ca="1">_xlfn.XLOOKUP($A101,    INDIRECT("'" &amp; AF$16 &amp; "'!$A$20:$A$219"),    _xlfn.XLOOKUP(AF$18,INDIRECT("'" &amp; AF$16 &amp; "'!$B$18:$BC$18"), INDIRECT("'" &amp; AF$16 &amp; "'!$B$20:$BC$219"),"XXXXX",0,1),    "XX",    0,    1)</f>
        <v>17</v>
      </c>
      <c r="AG101" s="8" cm="1">
        <f t="array" aca="1" ref="AG101" ca="1">_xlfn.XLOOKUP($A101,    INDIRECT("'" &amp; AG$16 &amp; "'!$A$20:$A$219"),    _xlfn.XLOOKUP(AG$18,INDIRECT("'" &amp; AG$16 &amp; "'!$B$18:$BC$18"), INDIRECT("'" &amp; AG$16 &amp; "'!$B$20:$BC$219"),"XXXXX",0,1),    "XX",    0,    1)</f>
        <v>17</v>
      </c>
      <c r="AH101" s="8" cm="1">
        <f t="array" aca="1" ref="AH101" ca="1">_xlfn.XLOOKUP($A101,    INDIRECT("'" &amp; AH$16 &amp; "'!$A$20:$A$219"),    _xlfn.XLOOKUP(AH$18,INDIRECT("'" &amp; AH$16 &amp; "'!$B$18:$BC$18"), INDIRECT("'" &amp; AH$16 &amp; "'!$B$20:$BC$219"),"XXXXX",0,1),    "XX",    0,    1)</f>
        <v>21</v>
      </c>
      <c r="AI101" s="8" cm="1">
        <f t="array" aca="1" ref="AI101" ca="1">_xlfn.XLOOKUP($A101,    INDIRECT("'" &amp; AI$16 &amp; "'!$A$20:$A$219"),    _xlfn.XLOOKUP(AI$18,INDIRECT("'" &amp; AI$16 &amp; "'!$B$18:$BC$18"), INDIRECT("'" &amp; AI$16 &amp; "'!$B$20:$BC$219"),"XXXXX",0,1),    "XX",    0,    1)</f>
        <v>21</v>
      </c>
      <c r="AJ101" s="8" cm="1">
        <f t="array" aca="1" ref="AJ101" ca="1">_xlfn.XLOOKUP($A101,    INDIRECT("'" &amp; AJ$16 &amp; "'!$A$20:$A$219"),    _xlfn.XLOOKUP(AJ$18,INDIRECT("'" &amp; AJ$16 &amp; "'!$B$18:$BC$18"), INDIRECT("'" &amp; AJ$16 &amp; "'!$B$20:$BC$219"),"XXXXX",0,1),    "XX",    0,    1)</f>
        <v>23</v>
      </c>
      <c r="AK101" s="8" cm="1">
        <f t="array" aca="1" ref="AK101" ca="1">_xlfn.XLOOKUP($A101,    INDIRECT("'" &amp; AK$16 &amp; "'!$A$20:$A$219"),    _xlfn.XLOOKUP(AK$18,INDIRECT("'" &amp; AK$16 &amp; "'!$B$18:$BC$18"), INDIRECT("'" &amp; AK$16 &amp; "'!$B$20:$BC$219"),"XXXXX",0,1),    "XX",    0,    1)</f>
        <v>23</v>
      </c>
      <c r="AM101" s="16"/>
      <c r="AW101" s="8">
        <v>1</v>
      </c>
      <c r="AX101" s="8">
        <f t="shared" ca="1" si="39"/>
        <v>1.7</v>
      </c>
      <c r="AY101" s="8">
        <f t="shared" ca="1" si="34"/>
        <v>1.7</v>
      </c>
      <c r="AZ101" s="8">
        <f t="shared" ca="1" si="35"/>
        <v>2.1</v>
      </c>
      <c r="BA101" s="8">
        <f t="shared" ca="1" si="36"/>
        <v>2.1</v>
      </c>
      <c r="BB101" s="8">
        <f t="shared" ca="1" si="37"/>
        <v>2.2999999999999998</v>
      </c>
      <c r="BC101" s="8">
        <f t="shared" ca="1" si="38"/>
        <v>2.2999999999999998</v>
      </c>
      <c r="BE101" s="8">
        <f t="shared" ca="1" si="40"/>
        <v>0</v>
      </c>
      <c r="BF101" s="8">
        <f t="shared" ca="1" si="41"/>
        <v>0</v>
      </c>
      <c r="BG101" s="8">
        <f t="shared" ca="1" si="42"/>
        <v>0</v>
      </c>
    </row>
    <row r="102" spans="1:59" x14ac:dyDescent="0.2">
      <c r="A102" s="8" t="s">
        <v>55</v>
      </c>
      <c r="B102" s="8" t="s">
        <v>265</v>
      </c>
      <c r="C102" s="8">
        <v>-37.799999999999997</v>
      </c>
      <c r="D102" s="8">
        <v>478233</v>
      </c>
      <c r="E102" s="8">
        <v>5972520</v>
      </c>
      <c r="F102" s="8">
        <v>0</v>
      </c>
      <c r="G102" s="8">
        <v>-0.7</v>
      </c>
      <c r="H102" s="8">
        <v>0</v>
      </c>
      <c r="I102" s="8">
        <v>2</v>
      </c>
      <c r="J102" s="8">
        <v>0</v>
      </c>
      <c r="K102" s="8">
        <v>-64.3</v>
      </c>
      <c r="L102" s="8">
        <v>26.5</v>
      </c>
      <c r="M102" s="8">
        <v>1671.463</v>
      </c>
      <c r="N102" s="8">
        <v>89.7</v>
      </c>
      <c r="O102" s="8">
        <v>8</v>
      </c>
      <c r="P102" s="8">
        <v>10</v>
      </c>
      <c r="Q102" s="8">
        <v>2.58</v>
      </c>
      <c r="R102" s="8">
        <v>68</v>
      </c>
      <c r="S102" s="8">
        <v>110</v>
      </c>
      <c r="T102" s="3">
        <v>147</v>
      </c>
      <c r="U102" s="8">
        <v>1357.6079999999999</v>
      </c>
      <c r="V102" s="8">
        <v>483.73</v>
      </c>
      <c r="W102" s="8">
        <v>752.85199999999998</v>
      </c>
      <c r="X102" s="8">
        <v>132.18100000000001</v>
      </c>
      <c r="Y102" s="8">
        <v>4.9400000000000004</v>
      </c>
      <c r="Z102" s="8">
        <v>8.0150000000000006</v>
      </c>
      <c r="AA102" s="8">
        <v>21.7</v>
      </c>
      <c r="AB102" s="8">
        <v>290.5</v>
      </c>
      <c r="AC102" s="8">
        <v>12565</v>
      </c>
      <c r="AD102" s="8">
        <v>3360</v>
      </c>
      <c r="AE102" s="8">
        <v>268</v>
      </c>
      <c r="AF102" s="8" cm="1">
        <f t="array" aca="1" ref="AF102" ca="1">_xlfn.XLOOKUP($A102,    INDIRECT("'" &amp; AF$16 &amp; "'!$A$20:$A$219"),    _xlfn.XLOOKUP(AF$18,INDIRECT("'" &amp; AF$16 &amp; "'!$B$18:$BC$18"), INDIRECT("'" &amp; AF$16 &amp; "'!$B$20:$BC$219"),"XXXXX",0,1),    "XX",    0,    1)</f>
        <v>15</v>
      </c>
      <c r="AG102" s="8" cm="1">
        <f t="array" aca="1" ref="AG102" ca="1">_xlfn.XLOOKUP($A102,    INDIRECT("'" &amp; AG$16 &amp; "'!$A$20:$A$219"),    _xlfn.XLOOKUP(AG$18,INDIRECT("'" &amp; AG$16 &amp; "'!$B$18:$BC$18"), INDIRECT("'" &amp; AG$16 &amp; "'!$B$20:$BC$219"),"XXXXX",0,1),    "XX",    0,    1)</f>
        <v>15</v>
      </c>
      <c r="AH102" s="8" cm="1">
        <f t="array" aca="1" ref="AH102" ca="1">_xlfn.XLOOKUP($A102,    INDIRECT("'" &amp; AH$16 &amp; "'!$A$20:$A$219"),    _xlfn.XLOOKUP(AH$18,INDIRECT("'" &amp; AH$16 &amp; "'!$B$18:$BC$18"), INDIRECT("'" &amp; AH$16 &amp; "'!$B$20:$BC$219"),"XXXXX",0,1),    "XX",    0,    1)</f>
        <v>15</v>
      </c>
      <c r="AI102" s="8" cm="1">
        <f t="array" aca="1" ref="AI102" ca="1">_xlfn.XLOOKUP($A102,    INDIRECT("'" &amp; AI$16 &amp; "'!$A$20:$A$219"),    _xlfn.XLOOKUP(AI$18,INDIRECT("'" &amp; AI$16 &amp; "'!$B$18:$BC$18"), INDIRECT("'" &amp; AI$16 &amp; "'!$B$20:$BC$219"),"XXXXX",0,1),    "XX",    0,    1)</f>
        <v>15</v>
      </c>
      <c r="AJ102" s="8" cm="1">
        <f t="array" aca="1" ref="AJ102" ca="1">_xlfn.XLOOKUP($A102,    INDIRECT("'" &amp; AJ$16 &amp; "'!$A$20:$A$219"),    _xlfn.XLOOKUP(AJ$18,INDIRECT("'" &amp; AJ$16 &amp; "'!$B$18:$BC$18"), INDIRECT("'" &amp; AJ$16 &amp; "'!$B$20:$BC$219"),"XXXXX",0,1),    "XX",    0,    1)</f>
        <v>17</v>
      </c>
      <c r="AK102" s="8" cm="1">
        <f t="array" aca="1" ref="AK102" ca="1">_xlfn.XLOOKUP($A102,    INDIRECT("'" &amp; AK$16 &amp; "'!$A$20:$A$219"),    _xlfn.XLOOKUP(AK$18,INDIRECT("'" &amp; AK$16 &amp; "'!$B$18:$BC$18"), INDIRECT("'" &amp; AK$16 &amp; "'!$B$20:$BC$219"),"XXXXX",0,1),    "XX",    0,    1)</f>
        <v>17</v>
      </c>
      <c r="AM102" s="16"/>
      <c r="AW102" s="8">
        <v>1</v>
      </c>
      <c r="AX102" s="8">
        <f t="shared" ca="1" si="39"/>
        <v>1.5</v>
      </c>
      <c r="AY102" s="8">
        <f t="shared" ca="1" si="34"/>
        <v>1.5</v>
      </c>
      <c r="AZ102" s="8">
        <f t="shared" ca="1" si="35"/>
        <v>1.5</v>
      </c>
      <c r="BA102" s="8">
        <f t="shared" ca="1" si="36"/>
        <v>1.5</v>
      </c>
      <c r="BB102" s="8">
        <f t="shared" ca="1" si="37"/>
        <v>1.7</v>
      </c>
      <c r="BC102" s="8">
        <f t="shared" ca="1" si="38"/>
        <v>1.7</v>
      </c>
      <c r="BE102" s="8">
        <f t="shared" ca="1" si="40"/>
        <v>0</v>
      </c>
      <c r="BF102" s="8">
        <f t="shared" ca="1" si="41"/>
        <v>0</v>
      </c>
      <c r="BG102" s="8">
        <f t="shared" ca="1" si="42"/>
        <v>0</v>
      </c>
    </row>
    <row r="103" spans="1:59" x14ac:dyDescent="0.2">
      <c r="A103" s="8" t="s">
        <v>107</v>
      </c>
      <c r="B103" s="8" t="s">
        <v>265</v>
      </c>
      <c r="C103" s="8">
        <v>-36.4</v>
      </c>
      <c r="D103" s="8">
        <v>455369.7</v>
      </c>
      <c r="E103" s="8">
        <v>5970324.9000000004</v>
      </c>
      <c r="F103" s="8">
        <v>0</v>
      </c>
      <c r="G103" s="8">
        <v>-0.6</v>
      </c>
      <c r="H103" s="8">
        <v>0</v>
      </c>
      <c r="I103" s="8">
        <v>2</v>
      </c>
      <c r="J103" s="8">
        <v>0</v>
      </c>
      <c r="K103" s="8">
        <v>-62</v>
      </c>
      <c r="L103" s="8">
        <v>25.6</v>
      </c>
      <c r="M103" s="8">
        <v>1579.0930000000001</v>
      </c>
      <c r="N103" s="8">
        <v>87.4</v>
      </c>
      <c r="O103" s="8">
        <v>8</v>
      </c>
      <c r="P103" s="8">
        <v>10</v>
      </c>
      <c r="Q103" s="8">
        <v>2.5</v>
      </c>
      <c r="R103" s="8">
        <v>68</v>
      </c>
      <c r="S103" s="8">
        <v>110</v>
      </c>
      <c r="T103" s="3">
        <v>147</v>
      </c>
      <c r="U103" s="8">
        <v>1295.568</v>
      </c>
      <c r="V103" s="8">
        <v>552.04100000000005</v>
      </c>
      <c r="W103" s="8">
        <v>752.85199999999998</v>
      </c>
      <c r="X103" s="8">
        <v>132.18100000000001</v>
      </c>
      <c r="Y103" s="8">
        <v>4.9400000000000004</v>
      </c>
      <c r="Z103" s="8">
        <v>8.0150000000000006</v>
      </c>
      <c r="AA103" s="8">
        <v>21.7</v>
      </c>
      <c r="AB103" s="8">
        <v>290.5</v>
      </c>
      <c r="AC103" s="8">
        <v>12423</v>
      </c>
      <c r="AD103" s="8">
        <v>3273</v>
      </c>
      <c r="AE103" s="8">
        <v>268</v>
      </c>
      <c r="AF103" s="8" cm="1">
        <f t="array" aca="1" ref="AF103" ca="1">_xlfn.XLOOKUP($A103,    INDIRECT("'" &amp; AF$16 &amp; "'!$A$20:$A$219"),    _xlfn.XLOOKUP(AF$18,INDIRECT("'" &amp; AF$16 &amp; "'!$B$18:$BC$18"), INDIRECT("'" &amp; AF$16 &amp; "'!$B$20:$BC$219"),"XXXXX",0,1),    "XX",    0,    1)</f>
        <v>15</v>
      </c>
      <c r="AG103" s="8" cm="1">
        <f t="array" aca="1" ref="AG103" ca="1">_xlfn.XLOOKUP($A103,    INDIRECT("'" &amp; AG$16 &amp; "'!$A$20:$A$219"),    _xlfn.XLOOKUP(AG$18,INDIRECT("'" &amp; AG$16 &amp; "'!$B$18:$BC$18"), INDIRECT("'" &amp; AG$16 &amp; "'!$B$20:$BC$219"),"XXXXX",0,1),    "XX",    0,    1)</f>
        <v>15</v>
      </c>
      <c r="AH103" s="8" cm="1">
        <f t="array" aca="1" ref="AH103" ca="1">_xlfn.XLOOKUP($A103,    INDIRECT("'" &amp; AH$16 &amp; "'!$A$20:$A$219"),    _xlfn.XLOOKUP(AH$18,INDIRECT("'" &amp; AH$16 &amp; "'!$B$18:$BC$18"), INDIRECT("'" &amp; AH$16 &amp; "'!$B$20:$BC$219"),"XXXXX",0,1),    "XX",    0,    1)</f>
        <v>15</v>
      </c>
      <c r="AI103" s="8" cm="1">
        <f t="array" aca="1" ref="AI103" ca="1">_xlfn.XLOOKUP($A103,    INDIRECT("'" &amp; AI$16 &amp; "'!$A$20:$A$219"),    _xlfn.XLOOKUP(AI$18,INDIRECT("'" &amp; AI$16 &amp; "'!$B$18:$BC$18"), INDIRECT("'" &amp; AI$16 &amp; "'!$B$20:$BC$219"),"XXXXX",0,1),    "XX",    0,    1)</f>
        <v>15</v>
      </c>
      <c r="AJ103" s="8" cm="1">
        <f t="array" aca="1" ref="AJ103" ca="1">_xlfn.XLOOKUP($A103,    INDIRECT("'" &amp; AJ$16 &amp; "'!$A$20:$A$219"),    _xlfn.XLOOKUP(AJ$18,INDIRECT("'" &amp; AJ$16 &amp; "'!$B$18:$BC$18"), INDIRECT("'" &amp; AJ$16 &amp; "'!$B$20:$BC$219"),"XXXXX",0,1),    "XX",    0,    1)</f>
        <v>17</v>
      </c>
      <c r="AK103" s="8" cm="1">
        <f t="array" aca="1" ref="AK103" ca="1">_xlfn.XLOOKUP($A103,    INDIRECT("'" &amp; AK$16 &amp; "'!$A$20:$A$219"),    _xlfn.XLOOKUP(AK$18,INDIRECT("'" &amp; AK$16 &amp; "'!$B$18:$BC$18"), INDIRECT("'" &amp; AK$16 &amp; "'!$B$20:$BC$219"),"XXXXX",0,1),    "XX",    0,    1)</f>
        <v>17</v>
      </c>
      <c r="AM103" s="16"/>
      <c r="AW103" s="8">
        <v>1</v>
      </c>
      <c r="AX103" s="8">
        <f t="shared" ca="1" si="39"/>
        <v>1.5</v>
      </c>
      <c r="AY103" s="8">
        <f t="shared" ca="1" si="34"/>
        <v>1.5</v>
      </c>
      <c r="AZ103" s="8">
        <f t="shared" ca="1" si="35"/>
        <v>1.5</v>
      </c>
      <c r="BA103" s="8">
        <f t="shared" ca="1" si="36"/>
        <v>1.5</v>
      </c>
      <c r="BB103" s="8">
        <f t="shared" ca="1" si="37"/>
        <v>1.7</v>
      </c>
      <c r="BC103" s="8">
        <f t="shared" ca="1" si="38"/>
        <v>1.7</v>
      </c>
      <c r="BE103" s="8">
        <f t="shared" ca="1" si="40"/>
        <v>0</v>
      </c>
      <c r="BF103" s="8">
        <f t="shared" ca="1" si="41"/>
        <v>0</v>
      </c>
      <c r="BG103" s="8">
        <f t="shared" ca="1" si="42"/>
        <v>0</v>
      </c>
    </row>
    <row r="104" spans="1:59" x14ac:dyDescent="0.2">
      <c r="A104" s="8" t="s">
        <v>44</v>
      </c>
      <c r="B104" s="8" t="s">
        <v>265</v>
      </c>
      <c r="C104" s="8">
        <v>-37.4</v>
      </c>
      <c r="D104" s="8">
        <v>457232.9</v>
      </c>
      <c r="E104" s="8">
        <v>5970498.7000000002</v>
      </c>
      <c r="F104" s="8">
        <v>0</v>
      </c>
      <c r="G104" s="8">
        <v>-0.6</v>
      </c>
      <c r="H104" s="8">
        <v>0</v>
      </c>
      <c r="I104" s="8">
        <v>2</v>
      </c>
      <c r="J104" s="8">
        <v>0</v>
      </c>
      <c r="K104" s="8">
        <v>-65.3</v>
      </c>
      <c r="L104" s="8">
        <v>27.9</v>
      </c>
      <c r="M104" s="8">
        <v>1659.8589999999999</v>
      </c>
      <c r="N104" s="8">
        <v>90.7</v>
      </c>
      <c r="O104" s="8">
        <v>8</v>
      </c>
      <c r="P104" s="8">
        <v>10</v>
      </c>
      <c r="Q104" s="8">
        <v>2.73</v>
      </c>
      <c r="R104" s="8">
        <v>68</v>
      </c>
      <c r="S104" s="8">
        <v>110</v>
      </c>
      <c r="T104" s="3">
        <v>147</v>
      </c>
      <c r="U104" s="8">
        <v>1357.7840000000001</v>
      </c>
      <c r="V104" s="8">
        <v>427.822</v>
      </c>
      <c r="W104" s="8">
        <v>752.85199999999998</v>
      </c>
      <c r="X104" s="8">
        <v>132.18100000000001</v>
      </c>
      <c r="Y104" s="8">
        <v>4.9400000000000004</v>
      </c>
      <c r="Z104" s="8">
        <v>8.0150000000000006</v>
      </c>
      <c r="AA104" s="8">
        <v>21.7</v>
      </c>
      <c r="AB104" s="8">
        <v>290.5</v>
      </c>
      <c r="AC104" s="8">
        <v>12628</v>
      </c>
      <c r="AD104" s="8">
        <v>3335</v>
      </c>
      <c r="AE104" s="8">
        <v>268</v>
      </c>
      <c r="AF104" s="8" cm="1">
        <f t="array" aca="1" ref="AF104" ca="1">_xlfn.XLOOKUP($A104,    INDIRECT("'" &amp; AF$16 &amp; "'!$A$20:$A$219"),    _xlfn.XLOOKUP(AF$18,INDIRECT("'" &amp; AF$16 &amp; "'!$B$18:$BC$18"), INDIRECT("'" &amp; AF$16 &amp; "'!$B$20:$BC$219"),"XXXXX",0,1),    "XX",    0,    1)</f>
        <v>15</v>
      </c>
      <c r="AG104" s="8" cm="1">
        <f t="array" aca="1" ref="AG104" ca="1">_xlfn.XLOOKUP($A104,    INDIRECT("'" &amp; AG$16 &amp; "'!$A$20:$A$219"),    _xlfn.XLOOKUP(AG$18,INDIRECT("'" &amp; AG$16 &amp; "'!$B$18:$BC$18"), INDIRECT("'" &amp; AG$16 &amp; "'!$B$20:$BC$219"),"XXXXX",0,1),    "XX",    0,    1)</f>
        <v>15</v>
      </c>
      <c r="AH104" s="8" cm="1">
        <f t="array" aca="1" ref="AH104" ca="1">_xlfn.XLOOKUP($A104,    INDIRECT("'" &amp; AH$16 &amp; "'!$A$20:$A$219"),    _xlfn.XLOOKUP(AH$18,INDIRECT("'" &amp; AH$16 &amp; "'!$B$18:$BC$18"), INDIRECT("'" &amp; AH$16 &amp; "'!$B$20:$BC$219"),"XXXXX",0,1),    "XX",    0,    1)</f>
        <v>17</v>
      </c>
      <c r="AI104" s="8" cm="1">
        <f t="array" aca="1" ref="AI104" ca="1">_xlfn.XLOOKUP($A104,    INDIRECT("'" &amp; AI$16 &amp; "'!$A$20:$A$219"),    _xlfn.XLOOKUP(AI$18,INDIRECT("'" &amp; AI$16 &amp; "'!$B$18:$BC$18"), INDIRECT("'" &amp; AI$16 &amp; "'!$B$20:$BC$219"),"XXXXX",0,1),    "XX",    0,    1)</f>
        <v>17</v>
      </c>
      <c r="AJ104" s="8" cm="1">
        <f t="array" aca="1" ref="AJ104" ca="1">_xlfn.XLOOKUP($A104,    INDIRECT("'" &amp; AJ$16 &amp; "'!$A$20:$A$219"),    _xlfn.XLOOKUP(AJ$18,INDIRECT("'" &amp; AJ$16 &amp; "'!$B$18:$BC$18"), INDIRECT("'" &amp; AJ$16 &amp; "'!$B$20:$BC$219"),"XXXXX",0,1),    "XX",    0,    1)</f>
        <v>19</v>
      </c>
      <c r="AK104" s="8" cm="1">
        <f t="array" aca="1" ref="AK104" ca="1">_xlfn.XLOOKUP($A104,    INDIRECT("'" &amp; AK$16 &amp; "'!$A$20:$A$219"),    _xlfn.XLOOKUP(AK$18,INDIRECT("'" &amp; AK$16 &amp; "'!$B$18:$BC$18"), INDIRECT("'" &amp; AK$16 &amp; "'!$B$20:$BC$219"),"XXXXX",0,1),    "XX",    0,    1)</f>
        <v>19</v>
      </c>
      <c r="AM104" s="16"/>
      <c r="AW104" s="8">
        <v>1</v>
      </c>
      <c r="AX104" s="8">
        <f t="shared" ca="1" si="39"/>
        <v>1.5</v>
      </c>
      <c r="AY104" s="8">
        <f t="shared" ca="1" si="34"/>
        <v>1.5</v>
      </c>
      <c r="AZ104" s="8">
        <f t="shared" ca="1" si="35"/>
        <v>1.7</v>
      </c>
      <c r="BA104" s="8">
        <f t="shared" ca="1" si="36"/>
        <v>1.7</v>
      </c>
      <c r="BB104" s="8">
        <f t="shared" ca="1" si="37"/>
        <v>1.9</v>
      </c>
      <c r="BC104" s="8">
        <f t="shared" ca="1" si="38"/>
        <v>1.9</v>
      </c>
      <c r="BE104" s="8">
        <f t="shared" ca="1" si="40"/>
        <v>0</v>
      </c>
      <c r="BF104" s="8">
        <f t="shared" ca="1" si="41"/>
        <v>0</v>
      </c>
      <c r="BG104" s="8">
        <f t="shared" ca="1" si="42"/>
        <v>0</v>
      </c>
    </row>
    <row r="105" spans="1:59" x14ac:dyDescent="0.2">
      <c r="A105" s="8" t="s">
        <v>137</v>
      </c>
      <c r="B105" s="8" t="s">
        <v>265</v>
      </c>
      <c r="C105" s="8">
        <v>-36.200000000000003</v>
      </c>
      <c r="D105" s="8">
        <v>460452</v>
      </c>
      <c r="E105" s="8">
        <v>5968518</v>
      </c>
      <c r="F105" s="8">
        <v>0</v>
      </c>
      <c r="G105" s="8">
        <v>-0.7</v>
      </c>
      <c r="H105" s="8">
        <v>0</v>
      </c>
      <c r="I105" s="8">
        <v>2</v>
      </c>
      <c r="J105" s="8">
        <v>0</v>
      </c>
      <c r="K105" s="8">
        <v>-59.728999999999999</v>
      </c>
      <c r="L105" s="8">
        <v>23.529</v>
      </c>
      <c r="M105" s="8">
        <v>1561.0119999999999</v>
      </c>
      <c r="N105" s="8">
        <v>85.129000000000005</v>
      </c>
      <c r="O105" s="8">
        <v>8</v>
      </c>
      <c r="P105" s="8">
        <v>10</v>
      </c>
      <c r="Q105" s="8">
        <v>2.2829000000000002</v>
      </c>
      <c r="R105" s="8">
        <v>68</v>
      </c>
      <c r="S105" s="8">
        <v>110</v>
      </c>
      <c r="T105" s="3">
        <v>147</v>
      </c>
      <c r="U105" s="8">
        <v>1233.125</v>
      </c>
      <c r="V105" s="8">
        <v>521.03899999999999</v>
      </c>
      <c r="W105" s="8">
        <v>752.85199999999998</v>
      </c>
      <c r="X105" s="8">
        <v>132.18100000000001</v>
      </c>
      <c r="Y105" s="8">
        <v>4.9400000000000004</v>
      </c>
      <c r="Z105" s="8">
        <v>8.0150000000000006</v>
      </c>
      <c r="AA105" s="8">
        <v>21.7</v>
      </c>
      <c r="AB105" s="8">
        <v>290.5</v>
      </c>
      <c r="AC105" s="8">
        <v>12281</v>
      </c>
      <c r="AD105" s="8">
        <v>3261</v>
      </c>
      <c r="AE105" s="8">
        <v>268</v>
      </c>
      <c r="AF105" s="8" cm="1">
        <f t="array" aca="1" ref="AF105" ca="1">_xlfn.XLOOKUP($A105,    INDIRECT("'" &amp; AF$16 &amp; "'!$A$20:$A$219"),    _xlfn.XLOOKUP(AF$18,INDIRECT("'" &amp; AF$16 &amp; "'!$B$18:$BC$18"), INDIRECT("'" &amp; AF$16 &amp; "'!$B$20:$BC$219"),"XXXXX",0,1),    "XX",    0,    1)</f>
        <v>15</v>
      </c>
      <c r="AG105" s="8" cm="1">
        <f t="array" aca="1" ref="AG105" ca="1">_xlfn.XLOOKUP($A105,    INDIRECT("'" &amp; AG$16 &amp; "'!$A$20:$A$219"),    _xlfn.XLOOKUP(AG$18,INDIRECT("'" &amp; AG$16 &amp; "'!$B$18:$BC$18"), INDIRECT("'" &amp; AG$16 &amp; "'!$B$20:$BC$219"),"XXXXX",0,1),    "XX",    0,    1)</f>
        <v>15</v>
      </c>
      <c r="AH105" s="8" cm="1">
        <f t="array" aca="1" ref="AH105" ca="1">_xlfn.XLOOKUP($A105,    INDIRECT("'" &amp; AH$16 &amp; "'!$A$20:$A$219"),    _xlfn.XLOOKUP(AH$18,INDIRECT("'" &amp; AH$16 &amp; "'!$B$18:$BC$18"), INDIRECT("'" &amp; AH$16 &amp; "'!$B$20:$BC$219"),"XXXXX",0,1),    "XX",    0,    1)</f>
        <v>15</v>
      </c>
      <c r="AI105" s="8" cm="1">
        <f t="array" aca="1" ref="AI105" ca="1">_xlfn.XLOOKUP($A105,    INDIRECT("'" &amp; AI$16 &amp; "'!$A$20:$A$219"),    _xlfn.XLOOKUP(AI$18,INDIRECT("'" &amp; AI$16 &amp; "'!$B$18:$BC$18"), INDIRECT("'" &amp; AI$16 &amp; "'!$B$20:$BC$219"),"XXXXX",0,1),    "XX",    0,    1)</f>
        <v>15</v>
      </c>
      <c r="AJ105" s="8" cm="1">
        <f t="array" aca="1" ref="AJ105" ca="1">_xlfn.XLOOKUP($A105,    INDIRECT("'" &amp; AJ$16 &amp; "'!$A$20:$A$219"),    _xlfn.XLOOKUP(AJ$18,INDIRECT("'" &amp; AJ$16 &amp; "'!$B$18:$BC$18"), INDIRECT("'" &amp; AJ$16 &amp; "'!$B$20:$BC$219"),"XXXXX",0,1),    "XX",    0,    1)</f>
        <v>15</v>
      </c>
      <c r="AK105" s="8" cm="1">
        <f t="array" aca="1" ref="AK105" ca="1">_xlfn.XLOOKUP($A105,    INDIRECT("'" &amp; AK$16 &amp; "'!$A$20:$A$219"),    _xlfn.XLOOKUP(AK$18,INDIRECT("'" &amp; AK$16 &amp; "'!$B$18:$BC$18"), INDIRECT("'" &amp; AK$16 &amp; "'!$B$20:$BC$219"),"XXXXX",0,1),    "XX",    0,    1)</f>
        <v>15</v>
      </c>
      <c r="AM105" s="16"/>
      <c r="AW105" s="8">
        <v>1</v>
      </c>
      <c r="AX105" s="8">
        <f t="shared" ca="1" si="39"/>
        <v>1.5</v>
      </c>
      <c r="AY105" s="8">
        <f t="shared" ca="1" si="34"/>
        <v>1.5</v>
      </c>
      <c r="AZ105" s="8">
        <f t="shared" ca="1" si="35"/>
        <v>1.5</v>
      </c>
      <c r="BA105" s="8">
        <f t="shared" ca="1" si="36"/>
        <v>1.5</v>
      </c>
      <c r="BB105" s="8">
        <f t="shared" ca="1" si="37"/>
        <v>1.5</v>
      </c>
      <c r="BC105" s="8">
        <f t="shared" ca="1" si="38"/>
        <v>1.5</v>
      </c>
      <c r="BE105" s="8">
        <f t="shared" ca="1" si="40"/>
        <v>0</v>
      </c>
      <c r="BF105" s="8">
        <f t="shared" ca="1" si="41"/>
        <v>0</v>
      </c>
      <c r="BG105" s="8">
        <f t="shared" ca="1" si="42"/>
        <v>0</v>
      </c>
    </row>
    <row r="106" spans="1:59" x14ac:dyDescent="0.2">
      <c r="A106" s="8" t="s">
        <v>210</v>
      </c>
      <c r="B106" s="8" t="s">
        <v>265</v>
      </c>
      <c r="C106" s="8">
        <v>-41.1</v>
      </c>
      <c r="D106" s="8">
        <v>463631.6</v>
      </c>
      <c r="E106" s="8">
        <v>5966681.5999999996</v>
      </c>
      <c r="F106" s="8">
        <v>0</v>
      </c>
      <c r="G106" s="8">
        <v>-0.6</v>
      </c>
      <c r="H106" s="8">
        <v>0</v>
      </c>
      <c r="I106" s="8">
        <v>2</v>
      </c>
      <c r="J106" s="8">
        <v>0</v>
      </c>
      <c r="K106" s="8">
        <v>-72.900000000000006</v>
      </c>
      <c r="L106" s="8">
        <v>31.8</v>
      </c>
      <c r="M106" s="8">
        <v>1938.019</v>
      </c>
      <c r="N106" s="8">
        <v>98.3</v>
      </c>
      <c r="O106" s="8">
        <v>8</v>
      </c>
      <c r="P106" s="8">
        <v>11</v>
      </c>
      <c r="Q106" s="8">
        <v>2.8363999999999998</v>
      </c>
      <c r="R106" s="8">
        <v>70</v>
      </c>
      <c r="S106" s="8">
        <v>117</v>
      </c>
      <c r="T106" s="3">
        <v>149</v>
      </c>
      <c r="U106" s="8">
        <v>1575.5840000000001</v>
      </c>
      <c r="V106" s="8">
        <v>438.428</v>
      </c>
      <c r="W106" s="8">
        <v>752.85199999999998</v>
      </c>
      <c r="X106" s="8">
        <v>132.18100000000001</v>
      </c>
      <c r="Y106" s="8">
        <v>4.9400000000000004</v>
      </c>
      <c r="Z106" s="8">
        <v>8.0150000000000006</v>
      </c>
      <c r="AA106" s="8">
        <v>21.7</v>
      </c>
      <c r="AB106" s="8">
        <v>290.5</v>
      </c>
      <c r="AC106" s="8">
        <v>13430</v>
      </c>
      <c r="AD106" s="8">
        <v>3710</v>
      </c>
      <c r="AE106" s="8">
        <v>268</v>
      </c>
      <c r="AF106" s="8" cm="1">
        <f t="array" aca="1" ref="AF106" ca="1">_xlfn.XLOOKUP($A106,    INDIRECT("'" &amp; AF$16 &amp; "'!$A$20:$A$219"),    _xlfn.XLOOKUP(AF$18,INDIRECT("'" &amp; AF$16 &amp; "'!$B$18:$BC$18"), INDIRECT("'" &amp; AF$16 &amp; "'!$B$20:$BC$219"),"XXXXX",0,1),    "XX",    0,    1)</f>
        <v>17</v>
      </c>
      <c r="AG106" s="8" cm="1">
        <f t="array" aca="1" ref="AG106" ca="1">_xlfn.XLOOKUP($A106,    INDIRECT("'" &amp; AG$16 &amp; "'!$A$20:$A$219"),    _xlfn.XLOOKUP(AG$18,INDIRECT("'" &amp; AG$16 &amp; "'!$B$18:$BC$18"), INDIRECT("'" &amp; AG$16 &amp; "'!$B$20:$BC$219"),"XXXXX",0,1),    "XX",    0,    1)</f>
        <v>17</v>
      </c>
      <c r="AH106" s="8" cm="1">
        <f t="array" aca="1" ref="AH106" ca="1">_xlfn.XLOOKUP($A106,    INDIRECT("'" &amp; AH$16 &amp; "'!$A$20:$A$219"),    _xlfn.XLOOKUP(AH$18,INDIRECT("'" &amp; AH$16 &amp; "'!$B$18:$BC$18"), INDIRECT("'" &amp; AH$16 &amp; "'!$B$20:$BC$219"),"XXXXX",0,1),    "XX",    0,    1)</f>
        <v>21</v>
      </c>
      <c r="AI106" s="8" cm="1">
        <f t="array" aca="1" ref="AI106" ca="1">_xlfn.XLOOKUP($A106,    INDIRECT("'" &amp; AI$16 &amp; "'!$A$20:$A$219"),    _xlfn.XLOOKUP(AI$18,INDIRECT("'" &amp; AI$16 &amp; "'!$B$18:$BC$18"), INDIRECT("'" &amp; AI$16 &amp; "'!$B$20:$BC$219"),"XXXXX",0,1),    "XX",    0,    1)</f>
        <v>21</v>
      </c>
      <c r="AJ106" s="8" cm="1">
        <f t="array" aca="1" ref="AJ106" ca="1">_xlfn.XLOOKUP($A106,    INDIRECT("'" &amp; AJ$16 &amp; "'!$A$20:$A$219"),    _xlfn.XLOOKUP(AJ$18,INDIRECT("'" &amp; AJ$16 &amp; "'!$B$18:$BC$18"), INDIRECT("'" &amp; AJ$16 &amp; "'!$B$20:$BC$219"),"XXXXX",0,1),    "XX",    0,    1)</f>
        <v>23</v>
      </c>
      <c r="AK106" s="8" cm="1">
        <f t="array" aca="1" ref="AK106" ca="1">_xlfn.XLOOKUP($A106,    INDIRECT("'" &amp; AK$16 &amp; "'!$A$20:$A$219"),    _xlfn.XLOOKUP(AK$18,INDIRECT("'" &amp; AK$16 &amp; "'!$B$18:$BC$18"), INDIRECT("'" &amp; AK$16 &amp; "'!$B$20:$BC$219"),"XXXXX",0,1),    "XX",    0,    1)</f>
        <v>23</v>
      </c>
      <c r="AM106" s="16"/>
      <c r="AW106" s="8">
        <v>1</v>
      </c>
      <c r="AX106" s="8">
        <f t="shared" ca="1" si="39"/>
        <v>1.5454545454545454</v>
      </c>
      <c r="AY106" s="8">
        <f t="shared" ca="1" si="34"/>
        <v>1.5454545454545454</v>
      </c>
      <c r="AZ106" s="8">
        <f t="shared" ca="1" si="35"/>
        <v>1.9090909090909092</v>
      </c>
      <c r="BA106" s="8">
        <f t="shared" ca="1" si="36"/>
        <v>1.9090909090909092</v>
      </c>
      <c r="BB106" s="8">
        <f t="shared" ca="1" si="37"/>
        <v>2.0909090909090908</v>
      </c>
      <c r="BC106" s="8">
        <f t="shared" ca="1" si="38"/>
        <v>2.0909090909090908</v>
      </c>
      <c r="BE106" s="8">
        <f t="shared" ca="1" si="40"/>
        <v>0</v>
      </c>
      <c r="BF106" s="8">
        <f t="shared" ca="1" si="41"/>
        <v>0</v>
      </c>
      <c r="BG106" s="8">
        <f t="shared" ca="1" si="42"/>
        <v>0</v>
      </c>
    </row>
    <row r="107" spans="1:59" x14ac:dyDescent="0.2">
      <c r="A107" s="8" t="s">
        <v>96</v>
      </c>
      <c r="B107" s="8" t="s">
        <v>265</v>
      </c>
      <c r="C107" s="8">
        <v>-34.700000000000003</v>
      </c>
      <c r="D107" s="8">
        <v>467332</v>
      </c>
      <c r="E107" s="8">
        <v>5964066.0999999996</v>
      </c>
      <c r="F107" s="8">
        <v>0</v>
      </c>
      <c r="G107" s="8">
        <v>-0.6</v>
      </c>
      <c r="H107" s="8">
        <v>0</v>
      </c>
      <c r="I107" s="8">
        <v>2</v>
      </c>
      <c r="J107" s="8">
        <v>0</v>
      </c>
      <c r="K107" s="8">
        <v>-63.1</v>
      </c>
      <c r="L107" s="8">
        <v>28.4</v>
      </c>
      <c r="M107" s="8">
        <v>1589.6179999999999</v>
      </c>
      <c r="N107" s="8">
        <v>88.5</v>
      </c>
      <c r="O107" s="8">
        <v>8</v>
      </c>
      <c r="P107" s="8">
        <v>10</v>
      </c>
      <c r="Q107" s="8">
        <v>2.78</v>
      </c>
      <c r="R107" s="8">
        <v>68</v>
      </c>
      <c r="S107" s="8">
        <v>110</v>
      </c>
      <c r="T107" s="3">
        <v>147</v>
      </c>
      <c r="U107" s="8">
        <v>1357.9849999999999</v>
      </c>
      <c r="V107" s="8">
        <v>515.34699999999998</v>
      </c>
      <c r="W107" s="8">
        <v>752.85199999999998</v>
      </c>
      <c r="X107" s="8">
        <v>132.18100000000001</v>
      </c>
      <c r="Y107" s="8">
        <v>4.9400000000000004</v>
      </c>
      <c r="Z107" s="8">
        <v>8.0150000000000006</v>
      </c>
      <c r="AA107" s="8">
        <v>21.7</v>
      </c>
      <c r="AB107" s="8">
        <v>290.5</v>
      </c>
      <c r="AC107" s="8">
        <v>12492</v>
      </c>
      <c r="AD107" s="8">
        <v>3167</v>
      </c>
      <c r="AE107" s="8">
        <v>268</v>
      </c>
      <c r="AF107" s="8" cm="1">
        <f t="array" aca="1" ref="AF107" ca="1">_xlfn.XLOOKUP($A107,    INDIRECT("'" &amp; AF$16 &amp; "'!$A$20:$A$219"),    _xlfn.XLOOKUP(AF$18,INDIRECT("'" &amp; AF$16 &amp; "'!$B$18:$BC$18"), INDIRECT("'" &amp; AF$16 &amp; "'!$B$20:$BC$219"),"XXXXX",0,1),    "XX",    0,    1)</f>
        <v>15</v>
      </c>
      <c r="AG107" s="8" cm="1">
        <f t="array" aca="1" ref="AG107" ca="1">_xlfn.XLOOKUP($A107,    INDIRECT("'" &amp; AG$16 &amp; "'!$A$20:$A$219"),    _xlfn.XLOOKUP(AG$18,INDIRECT("'" &amp; AG$16 &amp; "'!$B$18:$BC$18"), INDIRECT("'" &amp; AG$16 &amp; "'!$B$20:$BC$219"),"XXXXX",0,1),    "XX",    0,    1)</f>
        <v>15</v>
      </c>
      <c r="AH107" s="8" cm="1">
        <f t="array" aca="1" ref="AH107" ca="1">_xlfn.XLOOKUP($A107,    INDIRECT("'" &amp; AH$16 &amp; "'!$A$20:$A$219"),    _xlfn.XLOOKUP(AH$18,INDIRECT("'" &amp; AH$16 &amp; "'!$B$18:$BC$18"), INDIRECT("'" &amp; AH$16 &amp; "'!$B$20:$BC$219"),"XXXXX",0,1),    "XX",    0,    1)</f>
        <v>17</v>
      </c>
      <c r="AI107" s="8" cm="1">
        <f t="array" aca="1" ref="AI107" ca="1">_xlfn.XLOOKUP($A107,    INDIRECT("'" &amp; AI$16 &amp; "'!$A$20:$A$219"),    _xlfn.XLOOKUP(AI$18,INDIRECT("'" &amp; AI$16 &amp; "'!$B$18:$BC$18"), INDIRECT("'" &amp; AI$16 &amp; "'!$B$20:$BC$219"),"XXXXX",0,1),    "XX",    0,    1)</f>
        <v>17</v>
      </c>
      <c r="AJ107" s="8" cm="1">
        <f t="array" aca="1" ref="AJ107" ca="1">_xlfn.XLOOKUP($A107,    INDIRECT("'" &amp; AJ$16 &amp; "'!$A$20:$A$219"),    _xlfn.XLOOKUP(AJ$18,INDIRECT("'" &amp; AJ$16 &amp; "'!$B$18:$BC$18"), INDIRECT("'" &amp; AJ$16 &amp; "'!$B$20:$BC$219"),"XXXXX",0,1),    "XX",    0,    1)</f>
        <v>19</v>
      </c>
      <c r="AK107" s="8" cm="1">
        <f t="array" aca="1" ref="AK107" ca="1">_xlfn.XLOOKUP($A107,    INDIRECT("'" &amp; AK$16 &amp; "'!$A$20:$A$219"),    _xlfn.XLOOKUP(AK$18,INDIRECT("'" &amp; AK$16 &amp; "'!$B$18:$BC$18"), INDIRECT("'" &amp; AK$16 &amp; "'!$B$20:$BC$219"),"XXXXX",0,1),    "XX",    0,    1)</f>
        <v>19</v>
      </c>
      <c r="AM107" s="16"/>
      <c r="AW107" s="8">
        <v>1</v>
      </c>
      <c r="AX107" s="8">
        <f t="shared" ca="1" si="39"/>
        <v>1.5</v>
      </c>
      <c r="AY107" s="8">
        <f t="shared" ca="1" si="34"/>
        <v>1.5</v>
      </c>
      <c r="AZ107" s="8">
        <f t="shared" ca="1" si="35"/>
        <v>1.7</v>
      </c>
      <c r="BA107" s="8">
        <f t="shared" ca="1" si="36"/>
        <v>1.7</v>
      </c>
      <c r="BB107" s="8">
        <f t="shared" ca="1" si="37"/>
        <v>1.9</v>
      </c>
      <c r="BC107" s="8">
        <f t="shared" ca="1" si="38"/>
        <v>1.9</v>
      </c>
      <c r="BE107" s="8">
        <f t="shared" ca="1" si="40"/>
        <v>0</v>
      </c>
      <c r="BF107" s="8">
        <f t="shared" ca="1" si="41"/>
        <v>0</v>
      </c>
      <c r="BG107" s="8">
        <f t="shared" ca="1" si="42"/>
        <v>0</v>
      </c>
    </row>
    <row r="108" spans="1:59" x14ac:dyDescent="0.2">
      <c r="A108" s="8" t="s">
        <v>142</v>
      </c>
      <c r="B108" s="8" t="s">
        <v>265</v>
      </c>
      <c r="C108" s="8">
        <v>-31.2</v>
      </c>
      <c r="D108" s="8">
        <v>470403.1</v>
      </c>
      <c r="E108" s="8">
        <v>5962485.2999999998</v>
      </c>
      <c r="F108" s="8">
        <v>0</v>
      </c>
      <c r="G108" s="8">
        <v>-0.6</v>
      </c>
      <c r="H108" s="8">
        <v>0</v>
      </c>
      <c r="I108" s="8">
        <v>2</v>
      </c>
      <c r="J108" s="8">
        <v>0</v>
      </c>
      <c r="K108" s="8">
        <v>-60.2</v>
      </c>
      <c r="L108" s="8">
        <v>29</v>
      </c>
      <c r="M108" s="8">
        <v>1468.6020000000001</v>
      </c>
      <c r="N108" s="8">
        <v>85.6</v>
      </c>
      <c r="O108" s="8">
        <v>8</v>
      </c>
      <c r="P108" s="8">
        <v>10</v>
      </c>
      <c r="Q108" s="8">
        <v>2.84</v>
      </c>
      <c r="R108" s="8">
        <v>68</v>
      </c>
      <c r="S108" s="8">
        <v>110</v>
      </c>
      <c r="T108" s="3">
        <v>147</v>
      </c>
      <c r="U108" s="8">
        <v>1296.1079999999999</v>
      </c>
      <c r="V108" s="8">
        <v>524.20600000000002</v>
      </c>
      <c r="W108" s="8">
        <v>752.85199999999998</v>
      </c>
      <c r="X108" s="8">
        <v>132.18100000000001</v>
      </c>
      <c r="Y108" s="8">
        <v>4.9400000000000004</v>
      </c>
      <c r="Z108" s="8">
        <v>8.0150000000000006</v>
      </c>
      <c r="AA108" s="8">
        <v>21.7</v>
      </c>
      <c r="AB108" s="8">
        <v>290.5</v>
      </c>
      <c r="AC108" s="8">
        <v>12313</v>
      </c>
      <c r="AD108" s="8">
        <v>2951</v>
      </c>
      <c r="AE108" s="8">
        <v>268</v>
      </c>
      <c r="AF108" s="8" cm="1">
        <f t="array" aca="1" ref="AF108" ca="1">_xlfn.XLOOKUP($A108,    INDIRECT("'" &amp; AF$16 &amp; "'!$A$20:$A$219"),    _xlfn.XLOOKUP(AF$18,INDIRECT("'" &amp; AF$16 &amp; "'!$B$18:$BC$18"), INDIRECT("'" &amp; AF$16 &amp; "'!$B$20:$BC$219"),"XXXXX",0,1),    "XX",    0,    1)</f>
        <v>15</v>
      </c>
      <c r="AG108" s="8" cm="1">
        <f t="array" aca="1" ref="AG108" ca="1">_xlfn.XLOOKUP($A108,    INDIRECT("'" &amp; AG$16 &amp; "'!$A$20:$A$219"),    _xlfn.XLOOKUP(AG$18,INDIRECT("'" &amp; AG$16 &amp; "'!$B$18:$BC$18"), INDIRECT("'" &amp; AG$16 &amp; "'!$B$20:$BC$219"),"XXXXX",0,1),    "XX",    0,    1)</f>
        <v>15</v>
      </c>
      <c r="AH108" s="8" cm="1">
        <f t="array" aca="1" ref="AH108" ca="1">_xlfn.XLOOKUP($A108,    INDIRECT("'" &amp; AH$16 &amp; "'!$A$20:$A$219"),    _xlfn.XLOOKUP(AH$18,INDIRECT("'" &amp; AH$16 &amp; "'!$B$18:$BC$18"), INDIRECT("'" &amp; AH$16 &amp; "'!$B$20:$BC$219"),"XXXXX",0,1),    "XX",    0,    1)</f>
        <v>19</v>
      </c>
      <c r="AI108" s="8" cm="1">
        <f t="array" aca="1" ref="AI108" ca="1">_xlfn.XLOOKUP($A108,    INDIRECT("'" &amp; AI$16 &amp; "'!$A$20:$A$219"),    _xlfn.XLOOKUP(AI$18,INDIRECT("'" &amp; AI$16 &amp; "'!$B$18:$BC$18"), INDIRECT("'" &amp; AI$16 &amp; "'!$B$20:$BC$219"),"XXXXX",0,1),    "XX",    0,    1)</f>
        <v>19</v>
      </c>
      <c r="AJ108" s="8" cm="1">
        <f t="array" aca="1" ref="AJ108" ca="1">_xlfn.XLOOKUP($A108,    INDIRECT("'" &amp; AJ$16 &amp; "'!$A$20:$A$219"),    _xlfn.XLOOKUP(AJ$18,INDIRECT("'" &amp; AJ$16 &amp; "'!$B$18:$BC$18"), INDIRECT("'" &amp; AJ$16 &amp; "'!$B$20:$BC$219"),"XXXXX",0,1),    "XX",    0,    1)</f>
        <v>19</v>
      </c>
      <c r="AK108" s="8" cm="1">
        <f t="array" aca="1" ref="AK108" ca="1">_xlfn.XLOOKUP($A108,    INDIRECT("'" &amp; AK$16 &amp; "'!$A$20:$A$219"),    _xlfn.XLOOKUP(AK$18,INDIRECT("'" &amp; AK$16 &amp; "'!$B$18:$BC$18"), INDIRECT("'" &amp; AK$16 &amp; "'!$B$20:$BC$219"),"XXXXX",0,1),    "XX",    0,    1)</f>
        <v>19</v>
      </c>
      <c r="AM108" s="16"/>
      <c r="AW108" s="8">
        <v>1</v>
      </c>
      <c r="AX108" s="8">
        <f t="shared" ca="1" si="39"/>
        <v>1.5</v>
      </c>
      <c r="AY108" s="8">
        <f t="shared" ca="1" si="34"/>
        <v>1.5</v>
      </c>
      <c r="AZ108" s="8">
        <f t="shared" ca="1" si="35"/>
        <v>1.9</v>
      </c>
      <c r="BA108" s="8">
        <f t="shared" ca="1" si="36"/>
        <v>1.9</v>
      </c>
      <c r="BB108" s="8">
        <f t="shared" ca="1" si="37"/>
        <v>1.9</v>
      </c>
      <c r="BC108" s="8">
        <f t="shared" ca="1" si="38"/>
        <v>1.9</v>
      </c>
      <c r="BE108" s="8">
        <f t="shared" ca="1" si="40"/>
        <v>0</v>
      </c>
      <c r="BF108" s="8">
        <f t="shared" ca="1" si="41"/>
        <v>0</v>
      </c>
      <c r="BG108" s="8">
        <f t="shared" ca="1" si="42"/>
        <v>0</v>
      </c>
    </row>
    <row r="109" spans="1:59" x14ac:dyDescent="0.2">
      <c r="A109" s="8" t="s">
        <v>147</v>
      </c>
      <c r="B109" s="8" t="s">
        <v>265</v>
      </c>
      <c r="C109" s="8">
        <v>-30.2</v>
      </c>
      <c r="D109" s="8">
        <v>473116.5</v>
      </c>
      <c r="E109" s="8">
        <v>5961515</v>
      </c>
      <c r="F109" s="8">
        <v>0</v>
      </c>
      <c r="G109" s="8">
        <v>-0.7</v>
      </c>
      <c r="H109" s="8">
        <v>0</v>
      </c>
      <c r="I109" s="8">
        <v>2</v>
      </c>
      <c r="J109" s="8">
        <v>0</v>
      </c>
      <c r="K109" s="8">
        <v>-59.7</v>
      </c>
      <c r="L109" s="8">
        <v>29.5</v>
      </c>
      <c r="M109" s="8">
        <v>1444.606</v>
      </c>
      <c r="N109" s="8">
        <v>85.1</v>
      </c>
      <c r="O109" s="8">
        <v>8</v>
      </c>
      <c r="P109" s="8">
        <v>10</v>
      </c>
      <c r="Q109" s="8">
        <v>2.88</v>
      </c>
      <c r="R109" s="8">
        <v>64</v>
      </c>
      <c r="S109" s="8">
        <v>110</v>
      </c>
      <c r="T109" s="3">
        <v>147</v>
      </c>
      <c r="U109" s="8">
        <v>1296.2090000000001</v>
      </c>
      <c r="V109" s="8">
        <v>524.69600000000003</v>
      </c>
      <c r="W109" s="8">
        <v>752.85199999999998</v>
      </c>
      <c r="X109" s="8">
        <v>132.18100000000001</v>
      </c>
      <c r="Y109" s="8">
        <v>4.9400000000000004</v>
      </c>
      <c r="Z109" s="8">
        <v>8.0150000000000006</v>
      </c>
      <c r="AA109" s="8">
        <v>21.7</v>
      </c>
      <c r="AB109" s="8">
        <v>290.5</v>
      </c>
      <c r="AC109" s="8">
        <v>12282</v>
      </c>
      <c r="AD109" s="8">
        <v>2889</v>
      </c>
      <c r="AE109" s="8">
        <v>268</v>
      </c>
      <c r="AF109" s="8" cm="1">
        <f t="array" aca="1" ref="AF109" ca="1">_xlfn.XLOOKUP($A109,    INDIRECT("'" &amp; AF$16 &amp; "'!$A$20:$A$219"),    _xlfn.XLOOKUP(AF$18,INDIRECT("'" &amp; AF$16 &amp; "'!$B$18:$BC$18"), INDIRECT("'" &amp; AF$16 &amp; "'!$B$20:$BC$219"),"XXXXX",0,1),    "XX",    0,    1)</f>
        <v>15</v>
      </c>
      <c r="AG109" s="8" cm="1">
        <f t="array" aca="1" ref="AG109" ca="1">_xlfn.XLOOKUP($A109,    INDIRECT("'" &amp; AG$16 &amp; "'!$A$20:$A$219"),    _xlfn.XLOOKUP(AG$18,INDIRECT("'" &amp; AG$16 &amp; "'!$B$18:$BC$18"), INDIRECT("'" &amp; AG$16 &amp; "'!$B$20:$BC$219"),"XXXXX",0,1),    "XX",    0,    1)</f>
        <v>15</v>
      </c>
      <c r="AH109" s="8" cm="1">
        <f t="array" aca="1" ref="AH109" ca="1">_xlfn.XLOOKUP($A109,    INDIRECT("'" &amp; AH$16 &amp; "'!$A$20:$A$219"),    _xlfn.XLOOKUP(AH$18,INDIRECT("'" &amp; AH$16 &amp; "'!$B$18:$BC$18"), INDIRECT("'" &amp; AH$16 &amp; "'!$B$20:$BC$219"),"XXXXX",0,1),    "XX",    0,    1)</f>
        <v>19</v>
      </c>
      <c r="AI109" s="8" cm="1">
        <f t="array" aca="1" ref="AI109" ca="1">_xlfn.XLOOKUP($A109,    INDIRECT("'" &amp; AI$16 &amp; "'!$A$20:$A$219"),    _xlfn.XLOOKUP(AI$18,INDIRECT("'" &amp; AI$16 &amp; "'!$B$18:$BC$18"), INDIRECT("'" &amp; AI$16 &amp; "'!$B$20:$BC$219"),"XXXXX",0,1),    "XX",    0,    1)</f>
        <v>19</v>
      </c>
      <c r="AJ109" s="8" cm="1">
        <f t="array" aca="1" ref="AJ109" ca="1">_xlfn.XLOOKUP($A109,    INDIRECT("'" &amp; AJ$16 &amp; "'!$A$20:$A$219"),    _xlfn.XLOOKUP(AJ$18,INDIRECT("'" &amp; AJ$16 &amp; "'!$B$18:$BC$18"), INDIRECT("'" &amp; AJ$16 &amp; "'!$B$20:$BC$219"),"XXXXX",0,1),    "XX",    0,    1)</f>
        <v>21</v>
      </c>
      <c r="AK109" s="8" cm="1">
        <f t="array" aca="1" ref="AK109" ca="1">_xlfn.XLOOKUP($A109,    INDIRECT("'" &amp; AK$16 &amp; "'!$A$20:$A$219"),    _xlfn.XLOOKUP(AK$18,INDIRECT("'" &amp; AK$16 &amp; "'!$B$18:$BC$18"), INDIRECT("'" &amp; AK$16 &amp; "'!$B$20:$BC$219"),"XXXXX",0,1),    "XX",    0,    1)</f>
        <v>21</v>
      </c>
      <c r="AM109" s="16"/>
      <c r="AW109" s="8">
        <v>1</v>
      </c>
      <c r="AX109" s="8">
        <f t="shared" ca="1" si="39"/>
        <v>1.5</v>
      </c>
      <c r="AY109" s="8">
        <f t="shared" ca="1" si="34"/>
        <v>1.5</v>
      </c>
      <c r="AZ109" s="8">
        <f t="shared" ca="1" si="35"/>
        <v>1.9</v>
      </c>
      <c r="BA109" s="8">
        <f t="shared" ca="1" si="36"/>
        <v>1.9</v>
      </c>
      <c r="BB109" s="8">
        <f t="shared" ca="1" si="37"/>
        <v>2.1</v>
      </c>
      <c r="BC109" s="8">
        <f t="shared" ca="1" si="38"/>
        <v>2.1</v>
      </c>
      <c r="BE109" s="8">
        <f t="shared" ca="1" si="40"/>
        <v>0</v>
      </c>
      <c r="BF109" s="8">
        <f t="shared" ca="1" si="41"/>
        <v>0</v>
      </c>
      <c r="BG109" s="8">
        <f t="shared" ca="1" si="42"/>
        <v>0</v>
      </c>
    </row>
    <row r="110" spans="1:59" x14ac:dyDescent="0.2">
      <c r="A110" s="8" t="s">
        <v>143</v>
      </c>
      <c r="B110" s="8" t="s">
        <v>265</v>
      </c>
      <c r="C110" s="8">
        <v>-30</v>
      </c>
      <c r="D110" s="8">
        <v>476536.9</v>
      </c>
      <c r="E110" s="8">
        <v>5959385.4000000004</v>
      </c>
      <c r="F110" s="8">
        <v>0</v>
      </c>
      <c r="G110" s="8">
        <v>-0.7</v>
      </c>
      <c r="H110" s="8">
        <v>0</v>
      </c>
      <c r="I110" s="8">
        <v>2</v>
      </c>
      <c r="J110" s="8">
        <v>0</v>
      </c>
      <c r="K110" s="8">
        <v>-59.8</v>
      </c>
      <c r="L110" s="8">
        <v>29.8</v>
      </c>
      <c r="M110" s="8">
        <v>1449.8040000000001</v>
      </c>
      <c r="N110" s="8">
        <v>85.2</v>
      </c>
      <c r="O110" s="8">
        <v>8</v>
      </c>
      <c r="P110" s="8">
        <v>10</v>
      </c>
      <c r="Q110" s="8">
        <v>2.91</v>
      </c>
      <c r="R110" s="8">
        <v>68</v>
      </c>
      <c r="S110" s="8">
        <v>110</v>
      </c>
      <c r="T110" s="3">
        <v>147</v>
      </c>
      <c r="U110" s="8">
        <v>1296.183</v>
      </c>
      <c r="V110" s="8">
        <v>549.80399999999997</v>
      </c>
      <c r="W110" s="8">
        <v>752.85199999999998</v>
      </c>
      <c r="X110" s="8">
        <v>132.18100000000001</v>
      </c>
      <c r="Y110" s="8">
        <v>4.9400000000000004</v>
      </c>
      <c r="Z110" s="8">
        <v>8.0150000000000006</v>
      </c>
      <c r="AA110" s="8">
        <v>21.7</v>
      </c>
      <c r="AB110" s="8">
        <v>290.5</v>
      </c>
      <c r="AC110" s="8">
        <v>12289</v>
      </c>
      <c r="AD110" s="8">
        <v>2876</v>
      </c>
      <c r="AE110" s="8">
        <v>268</v>
      </c>
      <c r="AF110" s="8" cm="1">
        <f t="array" aca="1" ref="AF110" ca="1">_xlfn.XLOOKUP($A110,    INDIRECT("'" &amp; AF$16 &amp; "'!$A$20:$A$219"),    _xlfn.XLOOKUP(AF$18,INDIRECT("'" &amp; AF$16 &amp; "'!$B$18:$BC$18"), INDIRECT("'" &amp; AF$16 &amp; "'!$B$20:$BC$219"),"XXXXX",0,1),    "XX",    0,    1)</f>
        <v>15</v>
      </c>
      <c r="AG110" s="8" cm="1">
        <f t="array" aca="1" ref="AG110" ca="1">_xlfn.XLOOKUP($A110,    INDIRECT("'" &amp; AG$16 &amp; "'!$A$20:$A$219"),    _xlfn.XLOOKUP(AG$18,INDIRECT("'" &amp; AG$16 &amp; "'!$B$18:$BC$18"), INDIRECT("'" &amp; AG$16 &amp; "'!$B$20:$BC$219"),"XXXXX",0,1),    "XX",    0,    1)</f>
        <v>15</v>
      </c>
      <c r="AH110" s="8" cm="1">
        <f t="array" aca="1" ref="AH110" ca="1">_xlfn.XLOOKUP($A110,    INDIRECT("'" &amp; AH$16 &amp; "'!$A$20:$A$219"),    _xlfn.XLOOKUP(AH$18,INDIRECT("'" &amp; AH$16 &amp; "'!$B$18:$BC$18"), INDIRECT("'" &amp; AH$16 &amp; "'!$B$20:$BC$219"),"XXXXX",0,1),    "XX",    0,    1)</f>
        <v>19</v>
      </c>
      <c r="AI110" s="8" cm="1">
        <f t="array" aca="1" ref="AI110" ca="1">_xlfn.XLOOKUP($A110,    INDIRECT("'" &amp; AI$16 &amp; "'!$A$20:$A$219"),    _xlfn.XLOOKUP(AI$18,INDIRECT("'" &amp; AI$16 &amp; "'!$B$18:$BC$18"), INDIRECT("'" &amp; AI$16 &amp; "'!$B$20:$BC$219"),"XXXXX",0,1),    "XX",    0,    1)</f>
        <v>19</v>
      </c>
      <c r="AJ110" s="8" cm="1">
        <f t="array" aca="1" ref="AJ110" ca="1">_xlfn.XLOOKUP($A110,    INDIRECT("'" &amp; AJ$16 &amp; "'!$A$20:$A$219"),    _xlfn.XLOOKUP(AJ$18,INDIRECT("'" &amp; AJ$16 &amp; "'!$B$18:$BC$18"), INDIRECT("'" &amp; AJ$16 &amp; "'!$B$20:$BC$219"),"XXXXX",0,1),    "XX",    0,    1)</f>
        <v>21</v>
      </c>
      <c r="AK110" s="8" cm="1">
        <f t="array" aca="1" ref="AK110" ca="1">_xlfn.XLOOKUP($A110,    INDIRECT("'" &amp; AK$16 &amp; "'!$A$20:$A$219"),    _xlfn.XLOOKUP(AK$18,INDIRECT("'" &amp; AK$16 &amp; "'!$B$18:$BC$18"), INDIRECT("'" &amp; AK$16 &amp; "'!$B$20:$BC$219"),"XXXXX",0,1),    "XX",    0,    1)</f>
        <v>21</v>
      </c>
      <c r="AM110" s="16"/>
      <c r="AW110" s="8">
        <v>1</v>
      </c>
      <c r="AX110" s="8">
        <f t="shared" ca="1" si="39"/>
        <v>1.5</v>
      </c>
      <c r="AY110" s="8">
        <f t="shared" ca="1" si="34"/>
        <v>1.5</v>
      </c>
      <c r="AZ110" s="8">
        <f t="shared" ca="1" si="35"/>
        <v>1.9</v>
      </c>
      <c r="BA110" s="8">
        <f t="shared" ca="1" si="36"/>
        <v>1.9</v>
      </c>
      <c r="BB110" s="8">
        <f t="shared" ca="1" si="37"/>
        <v>2.1</v>
      </c>
      <c r="BC110" s="8">
        <f t="shared" ca="1" si="38"/>
        <v>2.1</v>
      </c>
      <c r="BE110" s="8">
        <f t="shared" ca="1" si="40"/>
        <v>0</v>
      </c>
      <c r="BF110" s="8">
        <f t="shared" ca="1" si="41"/>
        <v>0</v>
      </c>
      <c r="BG110" s="8">
        <f t="shared" ca="1" si="42"/>
        <v>0</v>
      </c>
    </row>
    <row r="111" spans="1:59" x14ac:dyDescent="0.2">
      <c r="A111" s="8" t="s">
        <v>146</v>
      </c>
      <c r="B111" s="8" t="s">
        <v>269</v>
      </c>
      <c r="C111" s="8">
        <v>-31.3</v>
      </c>
      <c r="D111" s="8">
        <v>478945.5</v>
      </c>
      <c r="E111" s="8">
        <v>5958856.7999999998</v>
      </c>
      <c r="F111" s="8">
        <v>0</v>
      </c>
      <c r="G111" s="8">
        <v>-0.7</v>
      </c>
      <c r="H111" s="8">
        <v>0</v>
      </c>
      <c r="I111" s="8">
        <v>2</v>
      </c>
      <c r="J111" s="8">
        <v>0</v>
      </c>
      <c r="K111" s="8">
        <v>-59.8</v>
      </c>
      <c r="L111" s="8">
        <v>28.5</v>
      </c>
      <c r="M111" s="8">
        <v>1458.9590000000001</v>
      </c>
      <c r="N111" s="8">
        <v>85.2</v>
      </c>
      <c r="O111" s="8">
        <v>8</v>
      </c>
      <c r="P111" s="8">
        <v>10</v>
      </c>
      <c r="Q111" s="8">
        <v>2.78</v>
      </c>
      <c r="R111" s="8">
        <v>68</v>
      </c>
      <c r="S111" s="8">
        <v>110</v>
      </c>
      <c r="T111" s="3">
        <v>147</v>
      </c>
      <c r="U111" s="8">
        <v>1296.1210000000001</v>
      </c>
      <c r="V111" s="8">
        <v>611.75599999999997</v>
      </c>
      <c r="W111" s="8">
        <v>752.85199999999998</v>
      </c>
      <c r="X111" s="8">
        <v>132.18100000000001</v>
      </c>
      <c r="Y111" s="8">
        <v>4.9400000000000004</v>
      </c>
      <c r="Z111" s="8">
        <v>8.0150000000000006</v>
      </c>
      <c r="AA111" s="8">
        <v>21.7</v>
      </c>
      <c r="AB111" s="8">
        <v>290.5</v>
      </c>
      <c r="AC111" s="8">
        <v>12288</v>
      </c>
      <c r="AD111" s="8">
        <v>2957</v>
      </c>
      <c r="AE111" s="8">
        <v>268</v>
      </c>
      <c r="AF111" s="8" cm="1">
        <f t="array" aca="1" ref="AF111" ca="1">_xlfn.XLOOKUP($A111,    INDIRECT("'" &amp; AF$16 &amp; "'!$A$20:$A$219"),    _xlfn.XLOOKUP(AF$18,INDIRECT("'" &amp; AF$16 &amp; "'!$B$18:$BC$18"), INDIRECT("'" &amp; AF$16 &amp; "'!$B$20:$BC$219"),"XXXXX",0,1),    "XX",    0,    1)</f>
        <v>15</v>
      </c>
      <c r="AG111" s="8" cm="1">
        <f t="array" aca="1" ref="AG111" ca="1">_xlfn.XLOOKUP($A111,    INDIRECT("'" &amp; AG$16 &amp; "'!$A$20:$A$219"),    _xlfn.XLOOKUP(AG$18,INDIRECT("'" &amp; AG$16 &amp; "'!$B$18:$BC$18"), INDIRECT("'" &amp; AG$16 &amp; "'!$B$20:$BC$219"),"XXXXX",0,1),    "XX",    0,    1)</f>
        <v>15</v>
      </c>
      <c r="AH111" s="8" cm="1">
        <f t="array" aca="1" ref="AH111" ca="1">_xlfn.XLOOKUP($A111,    INDIRECT("'" &amp; AH$16 &amp; "'!$A$20:$A$219"),    _xlfn.XLOOKUP(AH$18,INDIRECT("'" &amp; AH$16 &amp; "'!$B$18:$BC$18"), INDIRECT("'" &amp; AH$16 &amp; "'!$B$20:$BC$219"),"XXXXX",0,1),    "XX",    0,    1)</f>
        <v>17</v>
      </c>
      <c r="AI111" s="8" cm="1">
        <f t="array" aca="1" ref="AI111" ca="1">_xlfn.XLOOKUP($A111,    INDIRECT("'" &amp; AI$16 &amp; "'!$A$20:$A$219"),    _xlfn.XLOOKUP(AI$18,INDIRECT("'" &amp; AI$16 &amp; "'!$B$18:$BC$18"), INDIRECT("'" &amp; AI$16 &amp; "'!$B$20:$BC$219"),"XXXXX",0,1),    "XX",    0,    1)</f>
        <v>17</v>
      </c>
      <c r="AJ111" s="8" cm="1">
        <f t="array" aca="1" ref="AJ111" ca="1">_xlfn.XLOOKUP($A111,    INDIRECT("'" &amp; AJ$16 &amp; "'!$A$20:$A$219"),    _xlfn.XLOOKUP(AJ$18,INDIRECT("'" &amp; AJ$16 &amp; "'!$B$18:$BC$18"), INDIRECT("'" &amp; AJ$16 &amp; "'!$B$20:$BC$219"),"XXXXX",0,1),    "XX",    0,    1)</f>
        <v>19</v>
      </c>
      <c r="AK111" s="8" cm="1">
        <f t="array" aca="1" ref="AK111" ca="1">_xlfn.XLOOKUP($A111,    INDIRECT("'" &amp; AK$16 &amp; "'!$A$20:$A$219"),    _xlfn.XLOOKUP(AK$18,INDIRECT("'" &amp; AK$16 &amp; "'!$B$18:$BC$18"), INDIRECT("'" &amp; AK$16 &amp; "'!$B$20:$BC$219"),"XXXXX",0,1),    "XX",    0,    1)</f>
        <v>19</v>
      </c>
      <c r="AM111" s="16"/>
      <c r="AW111" s="8">
        <v>1</v>
      </c>
      <c r="AX111" s="8">
        <f t="shared" ca="1" si="39"/>
        <v>1.5</v>
      </c>
      <c r="AY111" s="8">
        <f t="shared" ca="1" si="34"/>
        <v>1.5</v>
      </c>
      <c r="AZ111" s="8">
        <f t="shared" ca="1" si="35"/>
        <v>1.7</v>
      </c>
      <c r="BA111" s="8">
        <f t="shared" ca="1" si="36"/>
        <v>1.7</v>
      </c>
      <c r="BB111" s="8">
        <f t="shared" ca="1" si="37"/>
        <v>1.9</v>
      </c>
      <c r="BC111" s="8">
        <f t="shared" ca="1" si="38"/>
        <v>1.9</v>
      </c>
      <c r="BE111" s="8">
        <f t="shared" ca="1" si="40"/>
        <v>0</v>
      </c>
      <c r="BF111" s="8">
        <f t="shared" ca="1" si="41"/>
        <v>0</v>
      </c>
      <c r="BG111" s="8">
        <f t="shared" ca="1" si="42"/>
        <v>0</v>
      </c>
    </row>
    <row r="112" spans="1:59" x14ac:dyDescent="0.2">
      <c r="A112" s="8" t="s">
        <v>166</v>
      </c>
      <c r="B112" s="8" t="s">
        <v>265</v>
      </c>
      <c r="C112" s="8">
        <v>-41.9</v>
      </c>
      <c r="D112" s="8">
        <v>479046</v>
      </c>
      <c r="E112" s="8">
        <v>5961970</v>
      </c>
      <c r="F112" s="8">
        <v>0</v>
      </c>
      <c r="G112" s="8">
        <v>-0.6</v>
      </c>
      <c r="H112" s="8">
        <v>0</v>
      </c>
      <c r="I112" s="8">
        <v>2</v>
      </c>
      <c r="J112" s="8">
        <v>0</v>
      </c>
      <c r="K112" s="8">
        <v>-75.7</v>
      </c>
      <c r="L112" s="8">
        <v>33.799999999999997</v>
      </c>
      <c r="M112" s="8">
        <v>1968.748</v>
      </c>
      <c r="N112" s="8">
        <v>101.1</v>
      </c>
      <c r="O112" s="8">
        <v>8</v>
      </c>
      <c r="P112" s="8">
        <v>10.5</v>
      </c>
      <c r="Q112" s="8">
        <v>3.1619000000000002</v>
      </c>
      <c r="R112" s="8">
        <v>72</v>
      </c>
      <c r="S112" s="8">
        <v>112</v>
      </c>
      <c r="T112" s="3">
        <v>146</v>
      </c>
      <c r="U112" s="8">
        <v>1536.672</v>
      </c>
      <c r="V112" s="8">
        <v>394.46499999999997</v>
      </c>
      <c r="W112" s="8">
        <v>752.85199999999998</v>
      </c>
      <c r="X112" s="8">
        <v>132.18100000000001</v>
      </c>
      <c r="Y112" s="8">
        <v>4.9400000000000004</v>
      </c>
      <c r="Z112" s="8">
        <v>8.0150000000000006</v>
      </c>
      <c r="AA112" s="8">
        <v>21.7</v>
      </c>
      <c r="AB112" s="8">
        <v>290.5</v>
      </c>
      <c r="AC112" s="8">
        <v>13453</v>
      </c>
      <c r="AD112" s="8">
        <v>3694</v>
      </c>
      <c r="AE112" s="8">
        <v>268</v>
      </c>
      <c r="AF112" s="8" cm="1">
        <f t="array" aca="1" ref="AF112" ca="1">_xlfn.XLOOKUP($A112,    INDIRECT("'" &amp; AF$16 &amp; "'!$A$20:$A$219"),    _xlfn.XLOOKUP(AF$18,INDIRECT("'" &amp; AF$16 &amp; "'!$B$18:$BC$18"), INDIRECT("'" &amp; AF$16 &amp; "'!$B$20:$BC$219"),"XXXXX",0,1),    "XX",    0,    1)</f>
        <v>19</v>
      </c>
      <c r="AG112" s="8" cm="1">
        <f t="array" aca="1" ref="AG112" ca="1">_xlfn.XLOOKUP($A112,    INDIRECT("'" &amp; AG$16 &amp; "'!$A$20:$A$219"),    _xlfn.XLOOKUP(AG$18,INDIRECT("'" &amp; AG$16 &amp; "'!$B$18:$BC$18"), INDIRECT("'" &amp; AG$16 &amp; "'!$B$20:$BC$219"),"XXXXX",0,1),    "XX",    0,    1)</f>
        <v>19</v>
      </c>
      <c r="AH112" s="8" cm="1">
        <f t="array" aca="1" ref="AH112" ca="1">_xlfn.XLOOKUP($A112,    INDIRECT("'" &amp; AH$16 &amp; "'!$A$20:$A$219"),    _xlfn.XLOOKUP(AH$18,INDIRECT("'" &amp; AH$16 &amp; "'!$B$18:$BC$18"), INDIRECT("'" &amp; AH$16 &amp; "'!$B$20:$BC$219"),"XXXXX",0,1),    "XX",    0,    1)</f>
        <v>23</v>
      </c>
      <c r="AI112" s="8" cm="1">
        <f t="array" aca="1" ref="AI112" ca="1">_xlfn.XLOOKUP($A112,    INDIRECT("'" &amp; AI$16 &amp; "'!$A$20:$A$219"),    _xlfn.XLOOKUP(AI$18,INDIRECT("'" &amp; AI$16 &amp; "'!$B$18:$BC$18"), INDIRECT("'" &amp; AI$16 &amp; "'!$B$20:$BC$219"),"XXXXX",0,1),    "XX",    0,    1)</f>
        <v>23</v>
      </c>
      <c r="AJ112" s="8" cm="1">
        <f t="array" aca="1" ref="AJ112" ca="1">_xlfn.XLOOKUP($A112,    INDIRECT("'" &amp; AJ$16 &amp; "'!$A$20:$A$219"),    _xlfn.XLOOKUP(AJ$18,INDIRECT("'" &amp; AJ$16 &amp; "'!$B$18:$BC$18"), INDIRECT("'" &amp; AJ$16 &amp; "'!$B$20:$BC$219"),"XXXXX",0,1),    "XX",    0,    1)</f>
        <v>24.6</v>
      </c>
      <c r="AK112" s="8" cm="1">
        <f t="array" aca="1" ref="AK112" ca="1">_xlfn.XLOOKUP($A112,    INDIRECT("'" &amp; AK$16 &amp; "'!$A$20:$A$219"),    _xlfn.XLOOKUP(AK$18,INDIRECT("'" &amp; AK$16 &amp; "'!$B$18:$BC$18"), INDIRECT("'" &amp; AK$16 &amp; "'!$B$20:$BC$219"),"XXXXX",0,1),    "XX",    0,    1)</f>
        <v>24.6</v>
      </c>
      <c r="AM112" s="16"/>
      <c r="AW112" s="8">
        <v>1</v>
      </c>
      <c r="AX112" s="8">
        <f t="shared" ca="1" si="39"/>
        <v>1.8095238095238095</v>
      </c>
      <c r="AY112" s="8">
        <f t="shared" ca="1" si="34"/>
        <v>1.8095238095238095</v>
      </c>
      <c r="AZ112" s="8">
        <f t="shared" ca="1" si="35"/>
        <v>2.1904761904761907</v>
      </c>
      <c r="BA112" s="8">
        <f t="shared" ca="1" si="36"/>
        <v>2.1904761904761907</v>
      </c>
      <c r="BB112" s="8">
        <f t="shared" ca="1" si="37"/>
        <v>2.342857142857143</v>
      </c>
      <c r="BC112" s="8">
        <f t="shared" ca="1" si="38"/>
        <v>2.342857142857143</v>
      </c>
      <c r="BE112" s="8">
        <f t="shared" ca="1" si="40"/>
        <v>0</v>
      </c>
      <c r="BF112" s="8">
        <f t="shared" ca="1" si="41"/>
        <v>0</v>
      </c>
      <c r="BG112" s="8">
        <f t="shared" ca="1" si="42"/>
        <v>0</v>
      </c>
    </row>
    <row r="113" spans="1:59" x14ac:dyDescent="0.2">
      <c r="A113" s="8" t="s">
        <v>115</v>
      </c>
      <c r="B113" s="8" t="s">
        <v>269</v>
      </c>
      <c r="C113" s="8">
        <v>-32.5</v>
      </c>
      <c r="D113" s="8">
        <v>478022.8</v>
      </c>
      <c r="E113" s="8">
        <v>5966804</v>
      </c>
      <c r="F113" s="8">
        <v>0</v>
      </c>
      <c r="G113" s="8">
        <v>-0.7</v>
      </c>
      <c r="H113" s="8">
        <v>0</v>
      </c>
      <c r="I113" s="8">
        <v>2</v>
      </c>
      <c r="J113" s="8">
        <v>0</v>
      </c>
      <c r="K113" s="8">
        <v>-61.9</v>
      </c>
      <c r="L113" s="8">
        <v>29.4</v>
      </c>
      <c r="M113" s="8">
        <v>1533.354</v>
      </c>
      <c r="N113" s="8">
        <v>87.3</v>
      </c>
      <c r="O113" s="8">
        <v>8</v>
      </c>
      <c r="P113" s="8">
        <v>10</v>
      </c>
      <c r="Q113" s="8">
        <v>2.87</v>
      </c>
      <c r="R113" s="8">
        <v>68</v>
      </c>
      <c r="S113" s="8">
        <v>110</v>
      </c>
      <c r="T113" s="3">
        <v>147</v>
      </c>
      <c r="U113" s="8">
        <v>1295.857</v>
      </c>
      <c r="V113" s="8">
        <v>522.81100000000004</v>
      </c>
      <c r="W113" s="8">
        <v>752.85199999999998</v>
      </c>
      <c r="X113" s="8">
        <v>132.18100000000001</v>
      </c>
      <c r="Y113" s="8">
        <v>4.9400000000000004</v>
      </c>
      <c r="Z113" s="8">
        <v>8.0150000000000006</v>
      </c>
      <c r="AA113" s="8">
        <v>21.7</v>
      </c>
      <c r="AB113" s="8">
        <v>290.5</v>
      </c>
      <c r="AC113" s="8">
        <v>12418</v>
      </c>
      <c r="AD113" s="8">
        <v>3031</v>
      </c>
      <c r="AE113" s="8">
        <v>268</v>
      </c>
      <c r="AF113" s="8" cm="1">
        <f t="array" aca="1" ref="AF113" ca="1">_xlfn.XLOOKUP($A113,    INDIRECT("'" &amp; AF$16 &amp; "'!$A$20:$A$219"),    _xlfn.XLOOKUP(AF$18,INDIRECT("'" &amp; AF$16 &amp; "'!$B$18:$BC$18"), INDIRECT("'" &amp; AF$16 &amp; "'!$B$20:$BC$219"),"XXXXX",0,1),    "XX",    0,    1)</f>
        <v>15</v>
      </c>
      <c r="AG113" s="8" cm="1">
        <f t="array" aca="1" ref="AG113" ca="1">_xlfn.XLOOKUP($A113,    INDIRECT("'" &amp; AG$16 &amp; "'!$A$20:$A$219"),    _xlfn.XLOOKUP(AG$18,INDIRECT("'" &amp; AG$16 &amp; "'!$B$18:$BC$18"), INDIRECT("'" &amp; AG$16 &amp; "'!$B$20:$BC$219"),"XXXXX",0,1),    "XX",    0,    1)</f>
        <v>15</v>
      </c>
      <c r="AH113" s="8" cm="1">
        <f t="array" aca="1" ref="AH113" ca="1">_xlfn.XLOOKUP($A113,    INDIRECT("'" &amp; AH$16 &amp; "'!$A$20:$A$219"),    _xlfn.XLOOKUP(AH$18,INDIRECT("'" &amp; AH$16 &amp; "'!$B$18:$BC$18"), INDIRECT("'" &amp; AH$16 &amp; "'!$B$20:$BC$219"),"XXXXX",0,1),    "XX",    0,    1)</f>
        <v>19</v>
      </c>
      <c r="AI113" s="8" cm="1">
        <f t="array" aca="1" ref="AI113" ca="1">_xlfn.XLOOKUP($A113,    INDIRECT("'" &amp; AI$16 &amp; "'!$A$20:$A$219"),    _xlfn.XLOOKUP(AI$18,INDIRECT("'" &amp; AI$16 &amp; "'!$B$18:$BC$18"), INDIRECT("'" &amp; AI$16 &amp; "'!$B$20:$BC$219"),"XXXXX",0,1),    "XX",    0,    1)</f>
        <v>19</v>
      </c>
      <c r="AJ113" s="8" cm="1">
        <f t="array" aca="1" ref="AJ113" ca="1">_xlfn.XLOOKUP($A113,    INDIRECT("'" &amp; AJ$16 &amp; "'!$A$20:$A$219"),    _xlfn.XLOOKUP(AJ$18,INDIRECT("'" &amp; AJ$16 &amp; "'!$B$18:$BC$18"), INDIRECT("'" &amp; AJ$16 &amp; "'!$B$20:$BC$219"),"XXXXX",0,1),    "XX",    0,    1)</f>
        <v>21</v>
      </c>
      <c r="AK113" s="8" cm="1">
        <f t="array" aca="1" ref="AK113" ca="1">_xlfn.XLOOKUP($A113,    INDIRECT("'" &amp; AK$16 &amp; "'!$A$20:$A$219"),    _xlfn.XLOOKUP(AK$18,INDIRECT("'" &amp; AK$16 &amp; "'!$B$18:$BC$18"), INDIRECT("'" &amp; AK$16 &amp; "'!$B$20:$BC$219"),"XXXXX",0,1),    "XX",    0,    1)</f>
        <v>21</v>
      </c>
      <c r="AM113" s="16"/>
      <c r="AW113" s="8">
        <v>1</v>
      </c>
      <c r="AX113" s="8">
        <f t="shared" ca="1" si="39"/>
        <v>1.5</v>
      </c>
      <c r="AY113" s="8">
        <f t="shared" ca="1" si="34"/>
        <v>1.5</v>
      </c>
      <c r="AZ113" s="8">
        <f t="shared" ca="1" si="35"/>
        <v>1.9</v>
      </c>
      <c r="BA113" s="8">
        <f t="shared" ca="1" si="36"/>
        <v>1.9</v>
      </c>
      <c r="BB113" s="8">
        <f t="shared" ca="1" si="37"/>
        <v>2.1</v>
      </c>
      <c r="BC113" s="8">
        <f t="shared" ca="1" si="38"/>
        <v>2.1</v>
      </c>
      <c r="BE113" s="8">
        <f t="shared" ca="1" si="40"/>
        <v>0</v>
      </c>
      <c r="BF113" s="8">
        <f t="shared" ca="1" si="41"/>
        <v>0</v>
      </c>
      <c r="BG113" s="8">
        <f t="shared" ca="1" si="42"/>
        <v>0</v>
      </c>
    </row>
    <row r="114" spans="1:59" x14ac:dyDescent="0.2">
      <c r="A114" s="8" t="s">
        <v>89</v>
      </c>
      <c r="B114" s="8" t="s">
        <v>265</v>
      </c>
      <c r="C114" s="8">
        <v>-31</v>
      </c>
      <c r="D114" s="8">
        <v>477596.6</v>
      </c>
      <c r="E114" s="8">
        <v>5970570</v>
      </c>
      <c r="F114" s="8">
        <v>0</v>
      </c>
      <c r="G114" s="8">
        <v>-0.6</v>
      </c>
      <c r="H114" s="8">
        <v>0</v>
      </c>
      <c r="I114" s="8">
        <v>2</v>
      </c>
      <c r="J114" s="8">
        <v>0</v>
      </c>
      <c r="K114" s="8">
        <v>-63.7</v>
      </c>
      <c r="L114" s="8">
        <v>32.700000000000003</v>
      </c>
      <c r="M114" s="8">
        <v>1516.56</v>
      </c>
      <c r="N114" s="8">
        <v>89.1</v>
      </c>
      <c r="O114" s="8">
        <v>8</v>
      </c>
      <c r="P114" s="8">
        <v>10</v>
      </c>
      <c r="Q114" s="8">
        <v>3.21</v>
      </c>
      <c r="R114" s="8">
        <v>68</v>
      </c>
      <c r="S114" s="8">
        <v>110</v>
      </c>
      <c r="T114" s="3">
        <v>147</v>
      </c>
      <c r="U114" s="8">
        <v>1358.575</v>
      </c>
      <c r="V114" s="8">
        <v>611.78099999999995</v>
      </c>
      <c r="W114" s="8">
        <v>752.85199999999998</v>
      </c>
      <c r="X114" s="8">
        <v>132.18100000000001</v>
      </c>
      <c r="Y114" s="8">
        <v>4.9400000000000004</v>
      </c>
      <c r="Z114" s="8">
        <v>8.0150000000000006</v>
      </c>
      <c r="AA114" s="8">
        <v>21.7</v>
      </c>
      <c r="AB114" s="8">
        <v>290.5</v>
      </c>
      <c r="AC114" s="8">
        <v>12532</v>
      </c>
      <c r="AD114" s="8">
        <v>2939</v>
      </c>
      <c r="AE114" s="8">
        <v>268</v>
      </c>
      <c r="AF114" s="8" cm="1">
        <f t="array" aca="1" ref="AF114" ca="1">_xlfn.XLOOKUP($A114,    INDIRECT("'" &amp; AF$16 &amp; "'!$A$20:$A$219"),    _xlfn.XLOOKUP(AF$18,INDIRECT("'" &amp; AF$16 &amp; "'!$B$18:$BC$18"), INDIRECT("'" &amp; AF$16 &amp; "'!$B$20:$BC$219"),"XXXXX",0,1),    "XX",    0,    1)</f>
        <v>19</v>
      </c>
      <c r="AG114" s="8" cm="1">
        <f t="array" aca="1" ref="AG114" ca="1">_xlfn.XLOOKUP($A114,    INDIRECT("'" &amp; AG$16 &amp; "'!$A$20:$A$219"),    _xlfn.XLOOKUP(AG$18,INDIRECT("'" &amp; AG$16 &amp; "'!$B$18:$BC$18"), INDIRECT("'" &amp; AG$16 &amp; "'!$B$20:$BC$219"),"XXXXX",0,1),    "XX",    0,    1)</f>
        <v>19</v>
      </c>
      <c r="AH114" s="8" cm="1">
        <f t="array" aca="1" ref="AH114" ca="1">_xlfn.XLOOKUP($A114,    INDIRECT("'" &amp; AH$16 &amp; "'!$A$20:$A$219"),    _xlfn.XLOOKUP(AH$18,INDIRECT("'" &amp; AH$16 &amp; "'!$B$18:$BC$18"), INDIRECT("'" &amp; AH$16 &amp; "'!$B$20:$BC$219"),"XXXXX",0,1),    "XX",    0,    1)</f>
        <v>23</v>
      </c>
      <c r="AI114" s="8" cm="1">
        <f t="array" aca="1" ref="AI114" ca="1">_xlfn.XLOOKUP($A114,    INDIRECT("'" &amp; AI$16 &amp; "'!$A$20:$A$219"),    _xlfn.XLOOKUP(AI$18,INDIRECT("'" &amp; AI$16 &amp; "'!$B$18:$BC$18"), INDIRECT("'" &amp; AI$16 &amp; "'!$B$20:$BC$219"),"XXXXX",0,1),    "XX",    0,    1)</f>
        <v>23</v>
      </c>
      <c r="AJ114" s="8" cm="1">
        <f t="array" aca="1" ref="AJ114" ca="1">_xlfn.XLOOKUP($A114,    INDIRECT("'" &amp; AJ$16 &amp; "'!$A$20:$A$219"),    _xlfn.XLOOKUP(AJ$18,INDIRECT("'" &amp; AJ$16 &amp; "'!$B$18:$BC$18"), INDIRECT("'" &amp; AJ$16 &amp; "'!$B$20:$BC$219"),"XXXXX",0,1),    "XX",    0,    1)</f>
        <v>23</v>
      </c>
      <c r="AK114" s="8" cm="1">
        <f t="array" aca="1" ref="AK114" ca="1">_xlfn.XLOOKUP($A114,    INDIRECT("'" &amp; AK$16 &amp; "'!$A$20:$A$219"),    _xlfn.XLOOKUP(AK$18,INDIRECT("'" &amp; AK$16 &amp; "'!$B$18:$BC$18"), INDIRECT("'" &amp; AK$16 &amp; "'!$B$20:$BC$219"),"XXXXX",0,1),    "XX",    0,    1)</f>
        <v>23</v>
      </c>
      <c r="AM114" s="16"/>
      <c r="AW114" s="8">
        <v>1</v>
      </c>
      <c r="AX114" s="8">
        <f t="shared" ca="1" si="39"/>
        <v>1.9</v>
      </c>
      <c r="AY114" s="8">
        <f t="shared" ca="1" si="34"/>
        <v>1.9</v>
      </c>
      <c r="AZ114" s="8">
        <f t="shared" ca="1" si="35"/>
        <v>2.2999999999999998</v>
      </c>
      <c r="BA114" s="8">
        <f t="shared" ca="1" si="36"/>
        <v>2.2999999999999998</v>
      </c>
      <c r="BB114" s="8">
        <f t="shared" ca="1" si="37"/>
        <v>2.2999999999999998</v>
      </c>
      <c r="BC114" s="8">
        <f t="shared" ca="1" si="38"/>
        <v>2.2999999999999998</v>
      </c>
      <c r="BE114" s="8">
        <f t="shared" ca="1" si="40"/>
        <v>0</v>
      </c>
      <c r="BF114" s="8">
        <f t="shared" ca="1" si="41"/>
        <v>0</v>
      </c>
      <c r="BG114" s="8">
        <f t="shared" ca="1" si="42"/>
        <v>0</v>
      </c>
    </row>
    <row r="115" spans="1:59" x14ac:dyDescent="0.2">
      <c r="A115" s="8" t="s">
        <v>76</v>
      </c>
      <c r="B115" s="8" t="s">
        <v>265</v>
      </c>
      <c r="C115" s="8">
        <v>-36.700000000000003</v>
      </c>
      <c r="D115" s="8">
        <v>454650.5</v>
      </c>
      <c r="E115" s="8">
        <v>5971468.7999999998</v>
      </c>
      <c r="F115" s="8">
        <v>0</v>
      </c>
      <c r="G115" s="8">
        <v>-0.7</v>
      </c>
      <c r="H115" s="8">
        <v>0</v>
      </c>
      <c r="I115" s="8">
        <v>2</v>
      </c>
      <c r="J115" s="8">
        <v>0</v>
      </c>
      <c r="K115" s="8">
        <v>-63.4</v>
      </c>
      <c r="L115" s="8">
        <v>26.7</v>
      </c>
      <c r="M115" s="8">
        <v>1630.3330000000001</v>
      </c>
      <c r="N115" s="8">
        <v>88.8</v>
      </c>
      <c r="O115" s="8">
        <v>8</v>
      </c>
      <c r="P115" s="8">
        <v>10</v>
      </c>
      <c r="Q115" s="8">
        <v>2.6</v>
      </c>
      <c r="R115" s="8">
        <v>68</v>
      </c>
      <c r="S115" s="8">
        <v>110</v>
      </c>
      <c r="T115" s="3">
        <v>147</v>
      </c>
      <c r="U115" s="8">
        <v>1295.442</v>
      </c>
      <c r="V115" s="8">
        <v>490.16399999999999</v>
      </c>
      <c r="W115" s="8">
        <v>752.85199999999998</v>
      </c>
      <c r="X115" s="8">
        <v>132.18100000000001</v>
      </c>
      <c r="Y115" s="8">
        <v>4.9400000000000004</v>
      </c>
      <c r="Z115" s="8">
        <v>8.0150000000000006</v>
      </c>
      <c r="AA115" s="8">
        <v>21.7</v>
      </c>
      <c r="AB115" s="8">
        <v>290.5</v>
      </c>
      <c r="AC115" s="8">
        <v>12510</v>
      </c>
      <c r="AD115" s="8">
        <v>3292</v>
      </c>
      <c r="AE115" s="8">
        <v>268</v>
      </c>
      <c r="AF115" s="8" cm="1">
        <f t="array" aca="1" ref="AF115" ca="1">_xlfn.XLOOKUP($A115,    INDIRECT("'" &amp; AF$16 &amp; "'!$A$20:$A$219"),    _xlfn.XLOOKUP(AF$18,INDIRECT("'" &amp; AF$16 &amp; "'!$B$18:$BC$18"), INDIRECT("'" &amp; AF$16 &amp; "'!$B$20:$BC$219"),"XXXXX",0,1),    "XX",    0,    1)</f>
        <v>15</v>
      </c>
      <c r="AG115" s="8" cm="1">
        <f t="array" aca="1" ref="AG115" ca="1">_xlfn.XLOOKUP($A115,    INDIRECT("'" &amp; AG$16 &amp; "'!$A$20:$A$219"),    _xlfn.XLOOKUP(AG$18,INDIRECT("'" &amp; AG$16 &amp; "'!$B$18:$BC$18"), INDIRECT("'" &amp; AG$16 &amp; "'!$B$20:$BC$219"),"XXXXX",0,1),    "XX",    0,    1)</f>
        <v>15</v>
      </c>
      <c r="AH115" s="8" cm="1">
        <f t="array" aca="1" ref="AH115" ca="1">_xlfn.XLOOKUP($A115,    INDIRECT("'" &amp; AH$16 &amp; "'!$A$20:$A$219"),    _xlfn.XLOOKUP(AH$18,INDIRECT("'" &amp; AH$16 &amp; "'!$B$18:$BC$18"), INDIRECT("'" &amp; AH$16 &amp; "'!$B$20:$BC$219"),"XXXXX",0,1),    "XX",    0,    1)</f>
        <v>17</v>
      </c>
      <c r="AI115" s="8" cm="1">
        <f t="array" aca="1" ref="AI115" ca="1">_xlfn.XLOOKUP($A115,    INDIRECT("'" &amp; AI$16 &amp; "'!$A$20:$A$219"),    _xlfn.XLOOKUP(AI$18,INDIRECT("'" &amp; AI$16 &amp; "'!$B$18:$BC$18"), INDIRECT("'" &amp; AI$16 &amp; "'!$B$20:$BC$219"),"XXXXX",0,1),    "XX",    0,    1)</f>
        <v>17</v>
      </c>
      <c r="AJ115" s="8" cm="1">
        <f t="array" aca="1" ref="AJ115" ca="1">_xlfn.XLOOKUP($A115,    INDIRECT("'" &amp; AJ$16 &amp; "'!$A$20:$A$219"),    _xlfn.XLOOKUP(AJ$18,INDIRECT("'" &amp; AJ$16 &amp; "'!$B$18:$BC$18"), INDIRECT("'" &amp; AJ$16 &amp; "'!$B$20:$BC$219"),"XXXXX",0,1),    "XX",    0,    1)</f>
        <v>17</v>
      </c>
      <c r="AK115" s="8" cm="1">
        <f t="array" aca="1" ref="AK115" ca="1">_xlfn.XLOOKUP($A115,    INDIRECT("'" &amp; AK$16 &amp; "'!$A$20:$A$219"),    _xlfn.XLOOKUP(AK$18,INDIRECT("'" &amp; AK$16 &amp; "'!$B$18:$BC$18"), INDIRECT("'" &amp; AK$16 &amp; "'!$B$20:$BC$219"),"XXXXX",0,1),    "XX",    0,    1)</f>
        <v>17</v>
      </c>
      <c r="AM115" s="16"/>
      <c r="AW115" s="8">
        <v>1</v>
      </c>
      <c r="AX115" s="8">
        <f t="shared" ca="1" si="39"/>
        <v>1.5</v>
      </c>
      <c r="AY115" s="8">
        <f t="shared" ca="1" si="34"/>
        <v>1.5</v>
      </c>
      <c r="AZ115" s="8">
        <f t="shared" ca="1" si="35"/>
        <v>1.7</v>
      </c>
      <c r="BA115" s="8">
        <f t="shared" ca="1" si="36"/>
        <v>1.7</v>
      </c>
      <c r="BB115" s="8">
        <f t="shared" ca="1" si="37"/>
        <v>1.7</v>
      </c>
      <c r="BC115" s="8">
        <f t="shared" ca="1" si="38"/>
        <v>1.7</v>
      </c>
      <c r="BE115" s="8">
        <f t="shared" ca="1" si="40"/>
        <v>0</v>
      </c>
      <c r="BF115" s="8">
        <f t="shared" ca="1" si="41"/>
        <v>0</v>
      </c>
      <c r="BG115" s="8">
        <f t="shared" ca="1" si="42"/>
        <v>0</v>
      </c>
    </row>
    <row r="116" spans="1:59" x14ac:dyDescent="0.2">
      <c r="A116" s="8" t="s">
        <v>46</v>
      </c>
      <c r="B116" s="8" t="s">
        <v>265</v>
      </c>
      <c r="C116" s="8">
        <v>-36.799999999999997</v>
      </c>
      <c r="D116" s="8">
        <v>456375</v>
      </c>
      <c r="E116" s="8">
        <v>5971877.2000000002</v>
      </c>
      <c r="F116" s="8">
        <v>0</v>
      </c>
      <c r="G116" s="8">
        <v>-0.6</v>
      </c>
      <c r="H116" s="8">
        <v>0</v>
      </c>
      <c r="I116" s="8">
        <v>2</v>
      </c>
      <c r="J116" s="8">
        <v>0</v>
      </c>
      <c r="K116" s="8">
        <v>-65.3</v>
      </c>
      <c r="L116" s="8">
        <v>28.5</v>
      </c>
      <c r="M116" s="8">
        <v>1648.7059999999999</v>
      </c>
      <c r="N116" s="8">
        <v>90.7</v>
      </c>
      <c r="O116" s="8">
        <v>8</v>
      </c>
      <c r="P116" s="8">
        <v>10</v>
      </c>
      <c r="Q116" s="8">
        <v>2.79</v>
      </c>
      <c r="R116" s="8">
        <v>68</v>
      </c>
      <c r="S116" s="8">
        <v>110</v>
      </c>
      <c r="T116" s="3">
        <v>147</v>
      </c>
      <c r="U116" s="8">
        <v>1357.8589999999999</v>
      </c>
      <c r="V116" s="8">
        <v>521.58000000000004</v>
      </c>
      <c r="W116" s="8">
        <v>752.85199999999998</v>
      </c>
      <c r="X116" s="8">
        <v>132.18100000000001</v>
      </c>
      <c r="Y116" s="8">
        <v>4.9400000000000004</v>
      </c>
      <c r="Z116" s="8">
        <v>8.0150000000000006</v>
      </c>
      <c r="AA116" s="8">
        <v>21.7</v>
      </c>
      <c r="AB116" s="8">
        <v>290.5</v>
      </c>
      <c r="AC116" s="8">
        <v>12629</v>
      </c>
      <c r="AD116" s="8">
        <v>3298</v>
      </c>
      <c r="AE116" s="8">
        <v>268</v>
      </c>
      <c r="AF116" s="8" cm="1">
        <f t="array" aca="1" ref="AF116" ca="1">_xlfn.XLOOKUP($A116,    INDIRECT("'" &amp; AF$16 &amp; "'!$A$20:$A$219"),    _xlfn.XLOOKUP(AF$18,INDIRECT("'" &amp; AF$16 &amp; "'!$B$18:$BC$18"), INDIRECT("'" &amp; AF$16 &amp; "'!$B$20:$BC$219"),"XXXXX",0,1),    "XX",    0,    1)</f>
        <v>15</v>
      </c>
      <c r="AG116" s="8" cm="1">
        <f t="array" aca="1" ref="AG116" ca="1">_xlfn.XLOOKUP($A116,    INDIRECT("'" &amp; AG$16 &amp; "'!$A$20:$A$219"),    _xlfn.XLOOKUP(AG$18,INDIRECT("'" &amp; AG$16 &amp; "'!$B$18:$BC$18"), INDIRECT("'" &amp; AG$16 &amp; "'!$B$20:$BC$219"),"XXXXX",0,1),    "XX",    0,    1)</f>
        <v>15</v>
      </c>
      <c r="AH116" s="8" cm="1">
        <f t="array" aca="1" ref="AH116" ca="1">_xlfn.XLOOKUP($A116,    INDIRECT("'" &amp; AH$16 &amp; "'!$A$20:$A$219"),    _xlfn.XLOOKUP(AH$18,INDIRECT("'" &amp; AH$16 &amp; "'!$B$18:$BC$18"), INDIRECT("'" &amp; AH$16 &amp; "'!$B$20:$BC$219"),"XXXXX",0,1),    "XX",    0,    1)</f>
        <v>17</v>
      </c>
      <c r="AI116" s="8" cm="1">
        <f t="array" aca="1" ref="AI116" ca="1">_xlfn.XLOOKUP($A116,    INDIRECT("'" &amp; AI$16 &amp; "'!$A$20:$A$219"),    _xlfn.XLOOKUP(AI$18,INDIRECT("'" &amp; AI$16 &amp; "'!$B$18:$BC$18"), INDIRECT("'" &amp; AI$16 &amp; "'!$B$20:$BC$219"),"XXXXX",0,1),    "XX",    0,    1)</f>
        <v>17</v>
      </c>
      <c r="AJ116" s="8" cm="1">
        <f t="array" aca="1" ref="AJ116" ca="1">_xlfn.XLOOKUP($A116,    INDIRECT("'" &amp; AJ$16 &amp; "'!$A$20:$A$219"),    _xlfn.XLOOKUP(AJ$18,INDIRECT("'" &amp; AJ$16 &amp; "'!$B$18:$BC$18"), INDIRECT("'" &amp; AJ$16 &amp; "'!$B$20:$BC$219"),"XXXXX",0,1),    "XX",    0,    1)</f>
        <v>19</v>
      </c>
      <c r="AK116" s="8" cm="1">
        <f t="array" aca="1" ref="AK116" ca="1">_xlfn.XLOOKUP($A116,    INDIRECT("'" &amp; AK$16 &amp; "'!$A$20:$A$219"),    _xlfn.XLOOKUP(AK$18,INDIRECT("'" &amp; AK$16 &amp; "'!$B$18:$BC$18"), INDIRECT("'" &amp; AK$16 &amp; "'!$B$20:$BC$219"),"XXXXX",0,1),    "XX",    0,    1)</f>
        <v>19</v>
      </c>
      <c r="AM116" s="16"/>
      <c r="AW116" s="8">
        <v>1</v>
      </c>
      <c r="AX116" s="8">
        <f t="shared" ca="1" si="39"/>
        <v>1.5</v>
      </c>
      <c r="AY116" s="8">
        <f t="shared" ref="AY116:AY147" ca="1" si="43">AG116/$P116</f>
        <v>1.5</v>
      </c>
      <c r="AZ116" s="8">
        <f t="shared" ref="AZ116:AZ147" ca="1" si="44">AH116/$P116</f>
        <v>1.7</v>
      </c>
      <c r="BA116" s="8">
        <f t="shared" ref="BA116:BA147" ca="1" si="45">AI116/$P116</f>
        <v>1.7</v>
      </c>
      <c r="BB116" s="8">
        <f t="shared" ref="BB116:BB147" ca="1" si="46">AJ116/$P116</f>
        <v>1.9</v>
      </c>
      <c r="BC116" s="8">
        <f t="shared" ref="BC116:BC147" ca="1" si="47">AK116/$P116</f>
        <v>1.9</v>
      </c>
      <c r="BE116" s="8">
        <f t="shared" ca="1" si="40"/>
        <v>0</v>
      </c>
      <c r="BF116" s="8">
        <f t="shared" ca="1" si="41"/>
        <v>0</v>
      </c>
      <c r="BG116" s="8">
        <f t="shared" ca="1" si="42"/>
        <v>0</v>
      </c>
    </row>
    <row r="117" spans="1:59" x14ac:dyDescent="0.2">
      <c r="A117" s="8" t="s">
        <v>63</v>
      </c>
      <c r="B117" s="8" t="s">
        <v>265</v>
      </c>
      <c r="C117" s="8">
        <v>-36.9</v>
      </c>
      <c r="D117" s="8">
        <v>459722</v>
      </c>
      <c r="E117" s="8">
        <v>5969686.7000000002</v>
      </c>
      <c r="F117" s="8">
        <v>0</v>
      </c>
      <c r="G117" s="8">
        <v>-0.7</v>
      </c>
      <c r="H117" s="8">
        <v>0</v>
      </c>
      <c r="I117" s="8">
        <v>2</v>
      </c>
      <c r="J117" s="8">
        <v>0</v>
      </c>
      <c r="K117" s="8">
        <v>-64.3</v>
      </c>
      <c r="L117" s="8">
        <v>27.4</v>
      </c>
      <c r="M117" s="8">
        <v>1647.576</v>
      </c>
      <c r="N117" s="8">
        <v>89.7</v>
      </c>
      <c r="O117" s="8">
        <v>8</v>
      </c>
      <c r="P117" s="8">
        <v>10</v>
      </c>
      <c r="Q117" s="8">
        <v>2.67</v>
      </c>
      <c r="R117" s="8">
        <v>68</v>
      </c>
      <c r="S117" s="8">
        <v>110</v>
      </c>
      <c r="T117" s="3">
        <v>147</v>
      </c>
      <c r="U117" s="8">
        <v>1357.759</v>
      </c>
      <c r="V117" s="8">
        <v>427.81</v>
      </c>
      <c r="W117" s="8">
        <v>752.85199999999998</v>
      </c>
      <c r="X117" s="8">
        <v>132.18100000000001</v>
      </c>
      <c r="Y117" s="8">
        <v>4.9400000000000004</v>
      </c>
      <c r="Z117" s="8">
        <v>8.0150000000000006</v>
      </c>
      <c r="AA117" s="8">
        <v>21.7</v>
      </c>
      <c r="AB117" s="8">
        <v>290.5</v>
      </c>
      <c r="AC117" s="8">
        <v>12566</v>
      </c>
      <c r="AD117" s="8">
        <v>3304</v>
      </c>
      <c r="AE117" s="8">
        <v>268</v>
      </c>
      <c r="AF117" s="8" cm="1">
        <f t="array" aca="1" ref="AF117" ca="1">_xlfn.XLOOKUP($A117,    INDIRECT("'" &amp; AF$16 &amp; "'!$A$20:$A$219"),    _xlfn.XLOOKUP(AF$18,INDIRECT("'" &amp; AF$16 &amp; "'!$B$18:$BC$18"), INDIRECT("'" &amp; AF$16 &amp; "'!$B$20:$BC$219"),"XXXXX",0,1),    "XX",    0,    1)</f>
        <v>15</v>
      </c>
      <c r="AG117" s="8" cm="1">
        <f t="array" aca="1" ref="AG117" ca="1">_xlfn.XLOOKUP($A117,    INDIRECT("'" &amp; AG$16 &amp; "'!$A$20:$A$219"),    _xlfn.XLOOKUP(AG$18,INDIRECT("'" &amp; AG$16 &amp; "'!$B$18:$BC$18"), INDIRECT("'" &amp; AG$16 &amp; "'!$B$20:$BC$219"),"XXXXX",0,1),    "XX",    0,    1)</f>
        <v>15</v>
      </c>
      <c r="AH117" s="8" cm="1">
        <f t="array" aca="1" ref="AH117" ca="1">_xlfn.XLOOKUP($A117,    INDIRECT("'" &amp; AH$16 &amp; "'!$A$20:$A$219"),    _xlfn.XLOOKUP(AH$18,INDIRECT("'" &amp; AH$16 &amp; "'!$B$18:$BC$18"), INDIRECT("'" &amp; AH$16 &amp; "'!$B$20:$BC$219"),"XXXXX",0,1),    "XX",    0,    1)</f>
        <v>17</v>
      </c>
      <c r="AI117" s="8" cm="1">
        <f t="array" aca="1" ref="AI117" ca="1">_xlfn.XLOOKUP($A117,    INDIRECT("'" &amp; AI$16 &amp; "'!$A$20:$A$219"),    _xlfn.XLOOKUP(AI$18,INDIRECT("'" &amp; AI$16 &amp; "'!$B$18:$BC$18"), INDIRECT("'" &amp; AI$16 &amp; "'!$B$20:$BC$219"),"XXXXX",0,1),    "XX",    0,    1)</f>
        <v>17</v>
      </c>
      <c r="AJ117" s="8" cm="1">
        <f t="array" aca="1" ref="AJ117" ca="1">_xlfn.XLOOKUP($A117,    INDIRECT("'" &amp; AJ$16 &amp; "'!$A$20:$A$219"),    _xlfn.XLOOKUP(AJ$18,INDIRECT("'" &amp; AJ$16 &amp; "'!$B$18:$BC$18"), INDIRECT("'" &amp; AJ$16 &amp; "'!$B$20:$BC$219"),"XXXXX",0,1),    "XX",    0,    1)</f>
        <v>19</v>
      </c>
      <c r="AK117" s="8" cm="1">
        <f t="array" aca="1" ref="AK117" ca="1">_xlfn.XLOOKUP($A117,    INDIRECT("'" &amp; AK$16 &amp; "'!$A$20:$A$219"),    _xlfn.XLOOKUP(AK$18,INDIRECT("'" &amp; AK$16 &amp; "'!$B$18:$BC$18"), INDIRECT("'" &amp; AK$16 &amp; "'!$B$20:$BC$219"),"XXXXX",0,1),    "XX",    0,    1)</f>
        <v>19</v>
      </c>
      <c r="AM117" s="16"/>
      <c r="AW117" s="8">
        <v>1</v>
      </c>
      <c r="AX117" s="8">
        <f t="shared" ca="1" si="39"/>
        <v>1.5</v>
      </c>
      <c r="AY117" s="8">
        <f t="shared" ca="1" si="43"/>
        <v>1.5</v>
      </c>
      <c r="AZ117" s="8">
        <f t="shared" ca="1" si="44"/>
        <v>1.7</v>
      </c>
      <c r="BA117" s="8">
        <f t="shared" ca="1" si="45"/>
        <v>1.7</v>
      </c>
      <c r="BB117" s="8">
        <f t="shared" ca="1" si="46"/>
        <v>1.9</v>
      </c>
      <c r="BC117" s="8">
        <f t="shared" ca="1" si="47"/>
        <v>1.9</v>
      </c>
      <c r="BE117" s="8">
        <f t="shared" ca="1" si="40"/>
        <v>0</v>
      </c>
      <c r="BF117" s="8">
        <f t="shared" ca="1" si="41"/>
        <v>0</v>
      </c>
      <c r="BG117" s="8">
        <f t="shared" ca="1" si="42"/>
        <v>0</v>
      </c>
    </row>
    <row r="118" spans="1:59" x14ac:dyDescent="0.2">
      <c r="A118" s="8" t="s">
        <v>59</v>
      </c>
      <c r="B118" s="8" t="s">
        <v>265</v>
      </c>
      <c r="C118" s="8">
        <v>-37.9</v>
      </c>
      <c r="D118" s="8">
        <v>462427.36</v>
      </c>
      <c r="E118" s="8">
        <v>5968596.3700000001</v>
      </c>
      <c r="F118" s="8">
        <v>0</v>
      </c>
      <c r="G118" s="8">
        <v>-0.7</v>
      </c>
      <c r="H118" s="8">
        <v>0</v>
      </c>
      <c r="I118" s="8">
        <v>2</v>
      </c>
      <c r="J118" s="8">
        <v>0</v>
      </c>
      <c r="K118" s="8">
        <v>-66.8</v>
      </c>
      <c r="L118" s="8">
        <v>28.9</v>
      </c>
      <c r="M118" s="8">
        <v>1713.3889999999999</v>
      </c>
      <c r="N118" s="8">
        <v>92.2</v>
      </c>
      <c r="O118" s="8">
        <v>8</v>
      </c>
      <c r="P118" s="8">
        <v>10</v>
      </c>
      <c r="Q118" s="8">
        <v>2.82</v>
      </c>
      <c r="R118" s="8">
        <v>68</v>
      </c>
      <c r="S118" s="8">
        <v>110</v>
      </c>
      <c r="T118" s="3">
        <v>147</v>
      </c>
      <c r="U118" s="8">
        <v>1420.0119999999999</v>
      </c>
      <c r="V118" s="8">
        <v>421.96600000000001</v>
      </c>
      <c r="W118" s="8">
        <v>752.85199999999998</v>
      </c>
      <c r="X118" s="8">
        <v>132.18100000000001</v>
      </c>
      <c r="Y118" s="8">
        <v>4.9400000000000004</v>
      </c>
      <c r="Z118" s="8">
        <v>8.0150000000000006</v>
      </c>
      <c r="AA118" s="8">
        <v>21.7</v>
      </c>
      <c r="AB118" s="8">
        <v>290.5</v>
      </c>
      <c r="AC118" s="8">
        <v>12721</v>
      </c>
      <c r="AD118" s="8">
        <v>3366</v>
      </c>
      <c r="AE118" s="8">
        <v>268</v>
      </c>
      <c r="AF118" s="8" cm="1">
        <f t="array" aca="1" ref="AF118" ca="1">_xlfn.XLOOKUP($A118,    INDIRECT("'" &amp; AF$16 &amp; "'!$A$20:$A$219"),    _xlfn.XLOOKUP(AF$18,INDIRECT("'" &amp; AF$16 &amp; "'!$B$18:$BC$18"), INDIRECT("'" &amp; AF$16 &amp; "'!$B$20:$BC$219"),"XXXXX",0,1),    "XX",    0,    1)</f>
        <v>15</v>
      </c>
      <c r="AG118" s="8" cm="1">
        <f t="array" aca="1" ref="AG118" ca="1">_xlfn.XLOOKUP($A118,    INDIRECT("'" &amp; AG$16 &amp; "'!$A$20:$A$219"),    _xlfn.XLOOKUP(AG$18,INDIRECT("'" &amp; AG$16 &amp; "'!$B$18:$BC$18"), INDIRECT("'" &amp; AG$16 &amp; "'!$B$20:$BC$219"),"XXXXX",0,1),    "XX",    0,    1)</f>
        <v>15</v>
      </c>
      <c r="AH118" s="8" cm="1">
        <f t="array" aca="1" ref="AH118" ca="1">_xlfn.XLOOKUP($A118,    INDIRECT("'" &amp; AH$16 &amp; "'!$A$20:$A$219"),    _xlfn.XLOOKUP(AH$18,INDIRECT("'" &amp; AH$16 &amp; "'!$B$18:$BC$18"), INDIRECT("'" &amp; AH$16 &amp; "'!$B$20:$BC$219"),"XXXXX",0,1),    "XX",    0,    1)</f>
        <v>19</v>
      </c>
      <c r="AI118" s="8" cm="1">
        <f t="array" aca="1" ref="AI118" ca="1">_xlfn.XLOOKUP($A118,    INDIRECT("'" &amp; AI$16 &amp; "'!$A$20:$A$219"),    _xlfn.XLOOKUP(AI$18,INDIRECT("'" &amp; AI$16 &amp; "'!$B$18:$BC$18"), INDIRECT("'" &amp; AI$16 &amp; "'!$B$20:$BC$219"),"XXXXX",0,1),    "XX",    0,    1)</f>
        <v>19</v>
      </c>
      <c r="AJ118" s="8" cm="1">
        <f t="array" aca="1" ref="AJ118" ca="1">_xlfn.XLOOKUP($A118,    INDIRECT("'" &amp; AJ$16 &amp; "'!$A$20:$A$219"),    _xlfn.XLOOKUP(AJ$18,INDIRECT("'" &amp; AJ$16 &amp; "'!$B$18:$BC$18"), INDIRECT("'" &amp; AJ$16 &amp; "'!$B$20:$BC$219"),"XXXXX",0,1),    "XX",    0,    1)</f>
        <v>19</v>
      </c>
      <c r="AK118" s="8" cm="1">
        <f t="array" aca="1" ref="AK118" ca="1">_xlfn.XLOOKUP($A118,    INDIRECT("'" &amp; AK$16 &amp; "'!$A$20:$A$219"),    _xlfn.XLOOKUP(AK$18,INDIRECT("'" &amp; AK$16 &amp; "'!$B$18:$BC$18"), INDIRECT("'" &amp; AK$16 &amp; "'!$B$20:$BC$219"),"XXXXX",0,1),    "XX",    0,    1)</f>
        <v>19</v>
      </c>
      <c r="AM118" s="16"/>
      <c r="AW118" s="8">
        <v>1</v>
      </c>
      <c r="AX118" s="8">
        <f t="shared" ca="1" si="39"/>
        <v>1.5</v>
      </c>
      <c r="AY118" s="8">
        <f t="shared" ca="1" si="43"/>
        <v>1.5</v>
      </c>
      <c r="AZ118" s="8">
        <f t="shared" ca="1" si="44"/>
        <v>1.9</v>
      </c>
      <c r="BA118" s="8">
        <f t="shared" ca="1" si="45"/>
        <v>1.9</v>
      </c>
      <c r="BB118" s="8">
        <f t="shared" ca="1" si="46"/>
        <v>1.9</v>
      </c>
      <c r="BC118" s="8">
        <f t="shared" ca="1" si="47"/>
        <v>1.9</v>
      </c>
      <c r="BE118" s="8">
        <f t="shared" ca="1" si="40"/>
        <v>0</v>
      </c>
      <c r="BF118" s="8">
        <f t="shared" ca="1" si="41"/>
        <v>0</v>
      </c>
      <c r="BG118" s="8">
        <f t="shared" ca="1" si="42"/>
        <v>0</v>
      </c>
    </row>
    <row r="119" spans="1:59" x14ac:dyDescent="0.2">
      <c r="A119" s="8" t="s">
        <v>164</v>
      </c>
      <c r="B119" s="8" t="s">
        <v>265</v>
      </c>
      <c r="C119" s="8">
        <v>-37.299999999999997</v>
      </c>
      <c r="D119" s="8">
        <v>466515.5</v>
      </c>
      <c r="E119" s="8">
        <v>5965378.0999999996</v>
      </c>
      <c r="F119" s="8">
        <v>0</v>
      </c>
      <c r="G119" s="8">
        <v>-0.6</v>
      </c>
      <c r="H119" s="8">
        <v>0</v>
      </c>
      <c r="I119" s="8">
        <v>2</v>
      </c>
      <c r="J119" s="8">
        <v>0</v>
      </c>
      <c r="K119" s="8">
        <v>-66.599999999999994</v>
      </c>
      <c r="L119" s="8">
        <v>29.3</v>
      </c>
      <c r="M119" s="8">
        <v>1738.27</v>
      </c>
      <c r="N119" s="8">
        <v>92</v>
      </c>
      <c r="O119" s="8">
        <v>8</v>
      </c>
      <c r="P119" s="8">
        <v>10</v>
      </c>
      <c r="Q119" s="8">
        <v>2.87</v>
      </c>
      <c r="R119" s="8">
        <v>68</v>
      </c>
      <c r="S119" s="8">
        <v>110</v>
      </c>
      <c r="T119" s="3">
        <v>147</v>
      </c>
      <c r="U119" s="8">
        <v>1357.4570000000001</v>
      </c>
      <c r="V119" s="8">
        <v>458.53399999999999</v>
      </c>
      <c r="W119" s="8">
        <v>752.85199999999998</v>
      </c>
      <c r="X119" s="8">
        <v>132.18100000000001</v>
      </c>
      <c r="Y119" s="8">
        <v>4.9400000000000004</v>
      </c>
      <c r="Z119" s="8">
        <v>8.0150000000000006</v>
      </c>
      <c r="AA119" s="8">
        <v>21.7</v>
      </c>
      <c r="AB119" s="8">
        <v>290.5</v>
      </c>
      <c r="AC119" s="8">
        <v>12708</v>
      </c>
      <c r="AD119" s="8">
        <v>3328</v>
      </c>
      <c r="AE119" s="8">
        <v>268</v>
      </c>
      <c r="AF119" s="8" cm="1">
        <f t="array" aca="1" ref="AF119" ca="1">_xlfn.XLOOKUP($A119,    INDIRECT("'" &amp; AF$16 &amp; "'!$A$20:$A$219"),    _xlfn.XLOOKUP(AF$18,INDIRECT("'" &amp; AF$16 &amp; "'!$B$18:$BC$18"), INDIRECT("'" &amp; AF$16 &amp; "'!$B$20:$BC$219"),"XXXXX",0,1),    "XX",    0,    1)</f>
        <v>15</v>
      </c>
      <c r="AG119" s="8" cm="1">
        <f t="array" aca="1" ref="AG119" ca="1">_xlfn.XLOOKUP($A119,    INDIRECT("'" &amp; AG$16 &amp; "'!$A$20:$A$219"),    _xlfn.XLOOKUP(AG$18,INDIRECT("'" &amp; AG$16 &amp; "'!$B$18:$BC$18"), INDIRECT("'" &amp; AG$16 &amp; "'!$B$20:$BC$219"),"XXXXX",0,1),    "XX",    0,    1)</f>
        <v>15</v>
      </c>
      <c r="AH119" s="8" cm="1">
        <f t="array" aca="1" ref="AH119" ca="1">_xlfn.XLOOKUP($A119,    INDIRECT("'" &amp; AH$16 &amp; "'!$A$20:$A$219"),    _xlfn.XLOOKUP(AH$18,INDIRECT("'" &amp; AH$16 &amp; "'!$B$18:$BC$18"), INDIRECT("'" &amp; AH$16 &amp; "'!$B$20:$BC$219"),"XXXXX",0,1),    "XX",    0,    1)</f>
        <v>19</v>
      </c>
      <c r="AI119" s="8" cm="1">
        <f t="array" aca="1" ref="AI119" ca="1">_xlfn.XLOOKUP($A119,    INDIRECT("'" &amp; AI$16 &amp; "'!$A$20:$A$219"),    _xlfn.XLOOKUP(AI$18,INDIRECT("'" &amp; AI$16 &amp; "'!$B$18:$BC$18"), INDIRECT("'" &amp; AI$16 &amp; "'!$B$20:$BC$219"),"XXXXX",0,1),    "XX",    0,    1)</f>
        <v>19</v>
      </c>
      <c r="AJ119" s="8" cm="1">
        <f t="array" aca="1" ref="AJ119" ca="1">_xlfn.XLOOKUP($A119,    INDIRECT("'" &amp; AJ$16 &amp; "'!$A$20:$A$219"),    _xlfn.XLOOKUP(AJ$18,INDIRECT("'" &amp; AJ$16 &amp; "'!$B$18:$BC$18"), INDIRECT("'" &amp; AJ$16 &amp; "'!$B$20:$BC$219"),"XXXXX",0,1),    "XX",    0,    1)</f>
        <v>19</v>
      </c>
      <c r="AK119" s="8" cm="1">
        <f t="array" aca="1" ref="AK119" ca="1">_xlfn.XLOOKUP($A119,    INDIRECT("'" &amp; AK$16 &amp; "'!$A$20:$A$219"),    _xlfn.XLOOKUP(AK$18,INDIRECT("'" &amp; AK$16 &amp; "'!$B$18:$BC$18"), INDIRECT("'" &amp; AK$16 &amp; "'!$B$20:$BC$219"),"XXXXX",0,1),    "XX",    0,    1)</f>
        <v>19</v>
      </c>
      <c r="AM119" s="16"/>
      <c r="AW119" s="8">
        <v>1</v>
      </c>
      <c r="AX119" s="8">
        <f t="shared" ca="1" si="39"/>
        <v>1.5</v>
      </c>
      <c r="AY119" s="8">
        <f t="shared" ca="1" si="43"/>
        <v>1.5</v>
      </c>
      <c r="AZ119" s="8">
        <f t="shared" ca="1" si="44"/>
        <v>1.9</v>
      </c>
      <c r="BA119" s="8">
        <f t="shared" ca="1" si="45"/>
        <v>1.9</v>
      </c>
      <c r="BB119" s="8">
        <f t="shared" ca="1" si="46"/>
        <v>1.9</v>
      </c>
      <c r="BC119" s="8">
        <f t="shared" ca="1" si="47"/>
        <v>1.9</v>
      </c>
      <c r="BE119" s="8">
        <f t="shared" ca="1" si="40"/>
        <v>0</v>
      </c>
      <c r="BF119" s="8">
        <f t="shared" ca="1" si="41"/>
        <v>0</v>
      </c>
      <c r="BG119" s="8">
        <f t="shared" ca="1" si="42"/>
        <v>0</v>
      </c>
    </row>
    <row r="120" spans="1:59" x14ac:dyDescent="0.2">
      <c r="A120" s="8" t="s">
        <v>125</v>
      </c>
      <c r="B120" s="8" t="s">
        <v>265</v>
      </c>
      <c r="C120" s="8">
        <v>-33.9</v>
      </c>
      <c r="D120" s="8">
        <v>469527.2</v>
      </c>
      <c r="E120" s="8">
        <v>5963890.2999999998</v>
      </c>
      <c r="F120" s="8">
        <v>0</v>
      </c>
      <c r="G120" s="8">
        <v>-0.7</v>
      </c>
      <c r="H120" s="8">
        <v>0</v>
      </c>
      <c r="I120" s="8">
        <v>2</v>
      </c>
      <c r="J120" s="8">
        <v>0</v>
      </c>
      <c r="K120" s="8">
        <v>-61</v>
      </c>
      <c r="L120" s="8">
        <v>27.1</v>
      </c>
      <c r="M120" s="8">
        <v>1537.432</v>
      </c>
      <c r="N120" s="8">
        <v>86.4</v>
      </c>
      <c r="O120" s="8">
        <v>8</v>
      </c>
      <c r="P120" s="8">
        <v>10</v>
      </c>
      <c r="Q120" s="8">
        <v>2.64</v>
      </c>
      <c r="R120" s="8">
        <v>68</v>
      </c>
      <c r="S120" s="8">
        <v>110</v>
      </c>
      <c r="T120" s="3">
        <v>147</v>
      </c>
      <c r="U120" s="8">
        <v>1295.7059999999999</v>
      </c>
      <c r="V120" s="8">
        <v>553.096</v>
      </c>
      <c r="W120" s="8">
        <v>752.85199999999998</v>
      </c>
      <c r="X120" s="8">
        <v>132.18100000000001</v>
      </c>
      <c r="Y120" s="8">
        <v>4.9400000000000004</v>
      </c>
      <c r="Z120" s="8">
        <v>8.0150000000000006</v>
      </c>
      <c r="AA120" s="8">
        <v>21.7</v>
      </c>
      <c r="AB120" s="8">
        <v>290.5</v>
      </c>
      <c r="AC120" s="8">
        <v>12362</v>
      </c>
      <c r="AD120" s="8">
        <v>3118</v>
      </c>
      <c r="AE120" s="8">
        <v>268</v>
      </c>
      <c r="AF120" s="8" cm="1">
        <f t="array" aca="1" ref="AF120" ca="1">_xlfn.XLOOKUP($A120,    INDIRECT("'" &amp; AF$16 &amp; "'!$A$20:$A$219"),    _xlfn.XLOOKUP(AF$18,INDIRECT("'" &amp; AF$16 &amp; "'!$B$18:$BC$18"), INDIRECT("'" &amp; AF$16 &amp; "'!$B$20:$BC$219"),"XXXXX",0,1),    "XX",    0,    1)</f>
        <v>15</v>
      </c>
      <c r="AG120" s="8" cm="1">
        <f t="array" aca="1" ref="AG120" ca="1">_xlfn.XLOOKUP($A120,    INDIRECT("'" &amp; AG$16 &amp; "'!$A$20:$A$219"),    _xlfn.XLOOKUP(AG$18,INDIRECT("'" &amp; AG$16 &amp; "'!$B$18:$BC$18"), INDIRECT("'" &amp; AG$16 &amp; "'!$B$20:$BC$219"),"XXXXX",0,1),    "XX",    0,    1)</f>
        <v>15</v>
      </c>
      <c r="AH120" s="8" cm="1">
        <f t="array" aca="1" ref="AH120" ca="1">_xlfn.XLOOKUP($A120,    INDIRECT("'" &amp; AH$16 &amp; "'!$A$20:$A$219"),    _xlfn.XLOOKUP(AH$18,INDIRECT("'" &amp; AH$16 &amp; "'!$B$18:$BC$18"), INDIRECT("'" &amp; AH$16 &amp; "'!$B$20:$BC$219"),"XXXXX",0,1),    "XX",    0,    1)</f>
        <v>17</v>
      </c>
      <c r="AI120" s="8" cm="1">
        <f t="array" aca="1" ref="AI120" ca="1">_xlfn.XLOOKUP($A120,    INDIRECT("'" &amp; AI$16 &amp; "'!$A$20:$A$219"),    _xlfn.XLOOKUP(AI$18,INDIRECT("'" &amp; AI$16 &amp; "'!$B$18:$BC$18"), INDIRECT("'" &amp; AI$16 &amp; "'!$B$20:$BC$219"),"XXXXX",0,1),    "XX",    0,    1)</f>
        <v>17</v>
      </c>
      <c r="AJ120" s="8" cm="1">
        <f t="array" aca="1" ref="AJ120" ca="1">_xlfn.XLOOKUP($A120,    INDIRECT("'" &amp; AJ$16 &amp; "'!$A$20:$A$219"),    _xlfn.XLOOKUP(AJ$18,INDIRECT("'" &amp; AJ$16 &amp; "'!$B$18:$BC$18"), INDIRECT("'" &amp; AJ$16 &amp; "'!$B$20:$BC$219"),"XXXXX",0,1),    "XX",    0,    1)</f>
        <v>17</v>
      </c>
      <c r="AK120" s="8" cm="1">
        <f t="array" aca="1" ref="AK120" ca="1">_xlfn.XLOOKUP($A120,    INDIRECT("'" &amp; AK$16 &amp; "'!$A$20:$A$219"),    _xlfn.XLOOKUP(AK$18,INDIRECT("'" &amp; AK$16 &amp; "'!$B$18:$BC$18"), INDIRECT("'" &amp; AK$16 &amp; "'!$B$20:$BC$219"),"XXXXX",0,1),    "XX",    0,    1)</f>
        <v>17</v>
      </c>
      <c r="AM120" s="16"/>
      <c r="AW120" s="8">
        <v>1</v>
      </c>
      <c r="AX120" s="8">
        <f t="shared" ca="1" si="39"/>
        <v>1.5</v>
      </c>
      <c r="AY120" s="8">
        <f t="shared" ca="1" si="43"/>
        <v>1.5</v>
      </c>
      <c r="AZ120" s="8">
        <f t="shared" ca="1" si="44"/>
        <v>1.7</v>
      </c>
      <c r="BA120" s="8">
        <f t="shared" ca="1" si="45"/>
        <v>1.7</v>
      </c>
      <c r="BB120" s="8">
        <f t="shared" ca="1" si="46"/>
        <v>1.7</v>
      </c>
      <c r="BC120" s="8">
        <f t="shared" ca="1" si="47"/>
        <v>1.7</v>
      </c>
      <c r="BE120" s="8">
        <f t="shared" ca="1" si="40"/>
        <v>0</v>
      </c>
      <c r="BF120" s="8">
        <f t="shared" ca="1" si="41"/>
        <v>0</v>
      </c>
      <c r="BG120" s="8">
        <f t="shared" ca="1" si="42"/>
        <v>0</v>
      </c>
    </row>
    <row r="121" spans="1:59" x14ac:dyDescent="0.2">
      <c r="A121" s="8" t="s">
        <v>128</v>
      </c>
      <c r="B121" s="8" t="s">
        <v>269</v>
      </c>
      <c r="C121" s="8">
        <v>-31.7</v>
      </c>
      <c r="D121" s="8">
        <v>472187.6</v>
      </c>
      <c r="E121" s="8">
        <v>5963006.7000000002</v>
      </c>
      <c r="F121" s="8">
        <v>0</v>
      </c>
      <c r="G121" s="8">
        <v>-0.7</v>
      </c>
      <c r="H121" s="8">
        <v>0</v>
      </c>
      <c r="I121" s="8">
        <v>2</v>
      </c>
      <c r="J121" s="8">
        <v>0</v>
      </c>
      <c r="K121" s="8">
        <v>-60.7</v>
      </c>
      <c r="L121" s="8">
        <v>29</v>
      </c>
      <c r="M121" s="8">
        <v>1486.835</v>
      </c>
      <c r="N121" s="8">
        <v>86.1</v>
      </c>
      <c r="O121" s="8">
        <v>8</v>
      </c>
      <c r="P121" s="8">
        <v>10</v>
      </c>
      <c r="Q121" s="8">
        <v>2.83</v>
      </c>
      <c r="R121" s="8">
        <v>68</v>
      </c>
      <c r="S121" s="8">
        <v>110</v>
      </c>
      <c r="T121" s="3">
        <v>147</v>
      </c>
      <c r="U121" s="8">
        <v>1296.0329999999999</v>
      </c>
      <c r="V121" s="8">
        <v>549.28899999999999</v>
      </c>
      <c r="W121" s="8">
        <v>752.85199999999998</v>
      </c>
      <c r="X121" s="8">
        <v>132.18100000000001</v>
      </c>
      <c r="Y121" s="8">
        <v>4.9400000000000004</v>
      </c>
      <c r="Z121" s="8">
        <v>8.0150000000000006</v>
      </c>
      <c r="AA121" s="8">
        <v>21.7</v>
      </c>
      <c r="AB121" s="8">
        <v>290.5</v>
      </c>
      <c r="AC121" s="8">
        <v>12344</v>
      </c>
      <c r="AD121" s="8">
        <v>2982</v>
      </c>
      <c r="AE121" s="8">
        <v>268</v>
      </c>
      <c r="AF121" s="8" cm="1">
        <f t="array" aca="1" ref="AF121" ca="1">_xlfn.XLOOKUP($A121,    INDIRECT("'" &amp; AF$16 &amp; "'!$A$20:$A$219"),    _xlfn.XLOOKUP(AF$18,INDIRECT("'" &amp; AF$16 &amp; "'!$B$18:$BC$18"), INDIRECT("'" &amp; AF$16 &amp; "'!$B$20:$BC$219"),"XXXXX",0,1),    "XX",    0,    1)</f>
        <v>15</v>
      </c>
      <c r="AG121" s="8" cm="1">
        <f t="array" aca="1" ref="AG121" ca="1">_xlfn.XLOOKUP($A121,    INDIRECT("'" &amp; AG$16 &amp; "'!$A$20:$A$219"),    _xlfn.XLOOKUP(AG$18,INDIRECT("'" &amp; AG$16 &amp; "'!$B$18:$BC$18"), INDIRECT("'" &amp; AG$16 &amp; "'!$B$20:$BC$219"),"XXXXX",0,1),    "XX",    0,    1)</f>
        <v>15</v>
      </c>
      <c r="AH121" s="8" cm="1">
        <f t="array" aca="1" ref="AH121" ca="1">_xlfn.XLOOKUP($A121,    INDIRECT("'" &amp; AH$16 &amp; "'!$A$20:$A$219"),    _xlfn.XLOOKUP(AH$18,INDIRECT("'" &amp; AH$16 &amp; "'!$B$18:$BC$18"), INDIRECT("'" &amp; AH$16 &amp; "'!$B$20:$BC$219"),"XXXXX",0,1),    "XX",    0,    1)</f>
        <v>19</v>
      </c>
      <c r="AI121" s="8" cm="1">
        <f t="array" aca="1" ref="AI121" ca="1">_xlfn.XLOOKUP($A121,    INDIRECT("'" &amp; AI$16 &amp; "'!$A$20:$A$219"),    _xlfn.XLOOKUP(AI$18,INDIRECT("'" &amp; AI$16 &amp; "'!$B$18:$BC$18"), INDIRECT("'" &amp; AI$16 &amp; "'!$B$20:$BC$219"),"XXXXX",0,1),    "XX",    0,    1)</f>
        <v>19</v>
      </c>
      <c r="AJ121" s="8" cm="1">
        <f t="array" aca="1" ref="AJ121" ca="1">_xlfn.XLOOKUP($A121,    INDIRECT("'" &amp; AJ$16 &amp; "'!$A$20:$A$219"),    _xlfn.XLOOKUP(AJ$18,INDIRECT("'" &amp; AJ$16 &amp; "'!$B$18:$BC$18"), INDIRECT("'" &amp; AJ$16 &amp; "'!$B$20:$BC$219"),"XXXXX",0,1),    "XX",    0,    1)</f>
        <v>19</v>
      </c>
      <c r="AK121" s="8" cm="1">
        <f t="array" aca="1" ref="AK121" ca="1">_xlfn.XLOOKUP($A121,    INDIRECT("'" &amp; AK$16 &amp; "'!$A$20:$A$219"),    _xlfn.XLOOKUP(AK$18,INDIRECT("'" &amp; AK$16 &amp; "'!$B$18:$BC$18"), INDIRECT("'" &amp; AK$16 &amp; "'!$B$20:$BC$219"),"XXXXX",0,1),    "XX",    0,    1)</f>
        <v>19</v>
      </c>
      <c r="AM121" s="16"/>
      <c r="AW121" s="8">
        <v>1</v>
      </c>
      <c r="AX121" s="8">
        <f t="shared" ca="1" si="39"/>
        <v>1.5</v>
      </c>
      <c r="AY121" s="8">
        <f t="shared" ca="1" si="43"/>
        <v>1.5</v>
      </c>
      <c r="AZ121" s="8">
        <f t="shared" ca="1" si="44"/>
        <v>1.9</v>
      </c>
      <c r="BA121" s="8">
        <f t="shared" ca="1" si="45"/>
        <v>1.9</v>
      </c>
      <c r="BB121" s="8">
        <f t="shared" ca="1" si="46"/>
        <v>1.9</v>
      </c>
      <c r="BC121" s="8">
        <f t="shared" ca="1" si="47"/>
        <v>1.9</v>
      </c>
      <c r="BE121" s="8">
        <f t="shared" ca="1" si="40"/>
        <v>0</v>
      </c>
      <c r="BF121" s="8">
        <f t="shared" ca="1" si="41"/>
        <v>0</v>
      </c>
      <c r="BG121" s="8">
        <f t="shared" ca="1" si="42"/>
        <v>0</v>
      </c>
    </row>
    <row r="122" spans="1:59" x14ac:dyDescent="0.2">
      <c r="A122" s="8" t="s">
        <v>152</v>
      </c>
      <c r="B122" s="8" t="s">
        <v>265</v>
      </c>
      <c r="C122" s="8">
        <v>-30.5</v>
      </c>
      <c r="D122" s="8">
        <v>475684.7</v>
      </c>
      <c r="E122" s="8">
        <v>5960754</v>
      </c>
      <c r="F122" s="8">
        <v>0</v>
      </c>
      <c r="G122" s="8">
        <v>-0.7</v>
      </c>
      <c r="H122" s="8">
        <v>0</v>
      </c>
      <c r="I122" s="8">
        <v>2</v>
      </c>
      <c r="J122" s="8">
        <v>0</v>
      </c>
      <c r="K122" s="8">
        <v>-59.6</v>
      </c>
      <c r="L122" s="8">
        <v>29.1</v>
      </c>
      <c r="M122" s="8">
        <v>1447.1690000000001</v>
      </c>
      <c r="N122" s="8">
        <v>85</v>
      </c>
      <c r="O122" s="8">
        <v>8</v>
      </c>
      <c r="P122" s="8">
        <v>10</v>
      </c>
      <c r="Q122" s="8">
        <v>2.84</v>
      </c>
      <c r="R122" s="8">
        <v>64</v>
      </c>
      <c r="S122" s="8">
        <v>110</v>
      </c>
      <c r="T122" s="3">
        <v>147</v>
      </c>
      <c r="U122" s="8">
        <v>1296.1959999999999</v>
      </c>
      <c r="V122" s="8">
        <v>493.28</v>
      </c>
      <c r="W122" s="8">
        <v>752.85199999999998</v>
      </c>
      <c r="X122" s="8">
        <v>132.18100000000001</v>
      </c>
      <c r="Y122" s="8">
        <v>4.9400000000000004</v>
      </c>
      <c r="Z122" s="8">
        <v>8.0150000000000006</v>
      </c>
      <c r="AA122" s="8">
        <v>21.7</v>
      </c>
      <c r="AB122" s="8">
        <v>290.5</v>
      </c>
      <c r="AC122" s="8">
        <v>12276</v>
      </c>
      <c r="AD122" s="8">
        <v>2907</v>
      </c>
      <c r="AE122" s="8">
        <v>268</v>
      </c>
      <c r="AF122" s="8" cm="1">
        <f t="array" aca="1" ref="AF122" ca="1">_xlfn.XLOOKUP($A122,    INDIRECT("'" &amp; AF$16 &amp; "'!$A$20:$A$219"),    _xlfn.XLOOKUP(AF$18,INDIRECT("'" &amp; AF$16 &amp; "'!$B$18:$BC$18"), INDIRECT("'" &amp; AF$16 &amp; "'!$B$20:$BC$219"),"XXXXX",0,1),    "XX",    0,    1)</f>
        <v>15</v>
      </c>
      <c r="AG122" s="8" cm="1">
        <f t="array" aca="1" ref="AG122" ca="1">_xlfn.XLOOKUP($A122,    INDIRECT("'" &amp; AG$16 &amp; "'!$A$20:$A$219"),    _xlfn.XLOOKUP(AG$18,INDIRECT("'" &amp; AG$16 &amp; "'!$B$18:$BC$18"), INDIRECT("'" &amp; AG$16 &amp; "'!$B$20:$BC$219"),"XXXXX",0,1),    "XX",    0,    1)</f>
        <v>15</v>
      </c>
      <c r="AH122" s="8" cm="1">
        <f t="array" aca="1" ref="AH122" ca="1">_xlfn.XLOOKUP($A122,    INDIRECT("'" &amp; AH$16 &amp; "'!$A$20:$A$219"),    _xlfn.XLOOKUP(AH$18,INDIRECT("'" &amp; AH$16 &amp; "'!$B$18:$BC$18"), INDIRECT("'" &amp; AH$16 &amp; "'!$B$20:$BC$219"),"XXXXX",0,1),    "XX",    0,    1)</f>
        <v>19</v>
      </c>
      <c r="AI122" s="8" cm="1">
        <f t="array" aca="1" ref="AI122" ca="1">_xlfn.XLOOKUP($A122,    INDIRECT("'" &amp; AI$16 &amp; "'!$A$20:$A$219"),    _xlfn.XLOOKUP(AI$18,INDIRECT("'" &amp; AI$16 &amp; "'!$B$18:$BC$18"), INDIRECT("'" &amp; AI$16 &amp; "'!$B$20:$BC$219"),"XXXXX",0,1),    "XX",    0,    1)</f>
        <v>19</v>
      </c>
      <c r="AJ122" s="8" cm="1">
        <f t="array" aca="1" ref="AJ122" ca="1">_xlfn.XLOOKUP($A122,    INDIRECT("'" &amp; AJ$16 &amp; "'!$A$20:$A$219"),    _xlfn.XLOOKUP(AJ$18,INDIRECT("'" &amp; AJ$16 &amp; "'!$B$18:$BC$18"), INDIRECT("'" &amp; AJ$16 &amp; "'!$B$20:$BC$219"),"XXXXX",0,1),    "XX",    0,    1)</f>
        <v>19</v>
      </c>
      <c r="AK122" s="8" cm="1">
        <f t="array" aca="1" ref="AK122" ca="1">_xlfn.XLOOKUP($A122,    INDIRECT("'" &amp; AK$16 &amp; "'!$A$20:$A$219"),    _xlfn.XLOOKUP(AK$18,INDIRECT("'" &amp; AK$16 &amp; "'!$B$18:$BC$18"), INDIRECT("'" &amp; AK$16 &amp; "'!$B$20:$BC$219"),"XXXXX",0,1),    "XX",    0,    1)</f>
        <v>19</v>
      </c>
      <c r="AM122" s="16"/>
      <c r="AW122" s="8">
        <v>1</v>
      </c>
      <c r="AX122" s="8">
        <f t="shared" ca="1" si="39"/>
        <v>1.5</v>
      </c>
      <c r="AY122" s="8">
        <f t="shared" ca="1" si="43"/>
        <v>1.5</v>
      </c>
      <c r="AZ122" s="8">
        <f t="shared" ca="1" si="44"/>
        <v>1.9</v>
      </c>
      <c r="BA122" s="8">
        <f t="shared" ca="1" si="45"/>
        <v>1.9</v>
      </c>
      <c r="BB122" s="8">
        <f t="shared" ca="1" si="46"/>
        <v>1.9</v>
      </c>
      <c r="BC122" s="8">
        <f t="shared" ca="1" si="47"/>
        <v>1.9</v>
      </c>
      <c r="BE122" s="8">
        <f t="shared" ca="1" si="40"/>
        <v>0</v>
      </c>
      <c r="BF122" s="8">
        <f t="shared" ca="1" si="41"/>
        <v>0</v>
      </c>
      <c r="BG122" s="8">
        <f t="shared" ca="1" si="42"/>
        <v>0</v>
      </c>
    </row>
    <row r="123" spans="1:59" x14ac:dyDescent="0.2">
      <c r="A123" s="8" t="s">
        <v>131</v>
      </c>
      <c r="B123" s="8" t="s">
        <v>269</v>
      </c>
      <c r="C123" s="8">
        <v>-31.1</v>
      </c>
      <c r="D123" s="8">
        <v>478130.7</v>
      </c>
      <c r="E123" s="8">
        <v>5960166.2999999998</v>
      </c>
      <c r="F123" s="8">
        <v>0</v>
      </c>
      <c r="G123" s="8">
        <v>-0.7</v>
      </c>
      <c r="H123" s="8">
        <v>0</v>
      </c>
      <c r="I123" s="8">
        <v>2</v>
      </c>
      <c r="J123" s="8">
        <v>0</v>
      </c>
      <c r="K123" s="8">
        <v>-60.6</v>
      </c>
      <c r="L123" s="8">
        <v>29.5</v>
      </c>
      <c r="M123" s="8">
        <v>1473.0129999999999</v>
      </c>
      <c r="N123" s="8">
        <v>86</v>
      </c>
      <c r="O123" s="8">
        <v>8</v>
      </c>
      <c r="P123" s="8">
        <v>10</v>
      </c>
      <c r="Q123" s="8">
        <v>2.88</v>
      </c>
      <c r="R123" s="8">
        <v>68</v>
      </c>
      <c r="S123" s="8">
        <v>110</v>
      </c>
      <c r="T123" s="3">
        <v>147</v>
      </c>
      <c r="U123" s="8">
        <v>1296.1210000000001</v>
      </c>
      <c r="V123" s="8">
        <v>549.351</v>
      </c>
      <c r="W123" s="8">
        <v>752.85199999999998</v>
      </c>
      <c r="X123" s="8">
        <v>132.18100000000001</v>
      </c>
      <c r="Y123" s="8">
        <v>4.9400000000000004</v>
      </c>
      <c r="Z123" s="8">
        <v>8.0150000000000006</v>
      </c>
      <c r="AA123" s="8">
        <v>21.7</v>
      </c>
      <c r="AB123" s="8">
        <v>290.5</v>
      </c>
      <c r="AC123" s="8">
        <v>12338</v>
      </c>
      <c r="AD123" s="8">
        <v>2945</v>
      </c>
      <c r="AE123" s="8">
        <v>268</v>
      </c>
      <c r="AF123" s="8" cm="1">
        <f t="array" aca="1" ref="AF123" ca="1">_xlfn.XLOOKUP($A123,    INDIRECT("'" &amp; AF$16 &amp; "'!$A$20:$A$219"),    _xlfn.XLOOKUP(AF$18,INDIRECT("'" &amp; AF$16 &amp; "'!$B$18:$BC$18"), INDIRECT("'" &amp; AF$16 &amp; "'!$B$20:$BC$219"),"XXXXX",0,1),    "XX",    0,    1)</f>
        <v>15</v>
      </c>
      <c r="AG123" s="8" cm="1">
        <f t="array" aca="1" ref="AG123" ca="1">_xlfn.XLOOKUP($A123,    INDIRECT("'" &amp; AG$16 &amp; "'!$A$20:$A$219"),    _xlfn.XLOOKUP(AG$18,INDIRECT("'" &amp; AG$16 &amp; "'!$B$18:$BC$18"), INDIRECT("'" &amp; AG$16 &amp; "'!$B$20:$BC$219"),"XXXXX",0,1),    "XX",    0,    1)</f>
        <v>15</v>
      </c>
      <c r="AH123" s="8" cm="1">
        <f t="array" aca="1" ref="AH123" ca="1">_xlfn.XLOOKUP($A123,    INDIRECT("'" &amp; AH$16 &amp; "'!$A$20:$A$219"),    _xlfn.XLOOKUP(AH$18,INDIRECT("'" &amp; AH$16 &amp; "'!$B$18:$BC$18"), INDIRECT("'" &amp; AH$16 &amp; "'!$B$20:$BC$219"),"XXXXX",0,1),    "XX",    0,    1)</f>
        <v>19</v>
      </c>
      <c r="AI123" s="8" cm="1">
        <f t="array" aca="1" ref="AI123" ca="1">_xlfn.XLOOKUP($A123,    INDIRECT("'" &amp; AI$16 &amp; "'!$A$20:$A$219"),    _xlfn.XLOOKUP(AI$18,INDIRECT("'" &amp; AI$16 &amp; "'!$B$18:$BC$18"), INDIRECT("'" &amp; AI$16 &amp; "'!$B$20:$BC$219"),"XXXXX",0,1),    "XX",    0,    1)</f>
        <v>19</v>
      </c>
      <c r="AJ123" s="8" cm="1">
        <f t="array" aca="1" ref="AJ123" ca="1">_xlfn.XLOOKUP($A123,    INDIRECT("'" &amp; AJ$16 &amp; "'!$A$20:$A$219"),    _xlfn.XLOOKUP(AJ$18,INDIRECT("'" &amp; AJ$16 &amp; "'!$B$18:$BC$18"), INDIRECT("'" &amp; AJ$16 &amp; "'!$B$20:$BC$219"),"XXXXX",0,1),    "XX",    0,    1)</f>
        <v>21</v>
      </c>
      <c r="AK123" s="8" cm="1">
        <f t="array" aca="1" ref="AK123" ca="1">_xlfn.XLOOKUP($A123,    INDIRECT("'" &amp; AK$16 &amp; "'!$A$20:$A$219"),    _xlfn.XLOOKUP(AK$18,INDIRECT("'" &amp; AK$16 &amp; "'!$B$18:$BC$18"), INDIRECT("'" &amp; AK$16 &amp; "'!$B$20:$BC$219"),"XXXXX",0,1),    "XX",    0,    1)</f>
        <v>21</v>
      </c>
      <c r="AM123" s="16"/>
      <c r="AW123" s="8">
        <v>1</v>
      </c>
      <c r="AX123" s="8">
        <f t="shared" ca="1" si="39"/>
        <v>1.5</v>
      </c>
      <c r="AY123" s="8">
        <f t="shared" ca="1" si="43"/>
        <v>1.5</v>
      </c>
      <c r="AZ123" s="8">
        <f t="shared" ca="1" si="44"/>
        <v>1.9</v>
      </c>
      <c r="BA123" s="8">
        <f t="shared" ca="1" si="45"/>
        <v>1.9</v>
      </c>
      <c r="BB123" s="8">
        <f t="shared" ca="1" si="46"/>
        <v>2.1</v>
      </c>
      <c r="BC123" s="8">
        <f t="shared" ca="1" si="47"/>
        <v>2.1</v>
      </c>
      <c r="BE123" s="8">
        <f t="shared" ca="1" si="40"/>
        <v>0</v>
      </c>
      <c r="BF123" s="8">
        <f t="shared" ca="1" si="41"/>
        <v>0</v>
      </c>
      <c r="BG123" s="8">
        <f t="shared" ca="1" si="42"/>
        <v>0</v>
      </c>
    </row>
    <row r="124" spans="1:59" x14ac:dyDescent="0.2">
      <c r="A124" s="8" t="s">
        <v>71</v>
      </c>
      <c r="B124" s="8" t="s">
        <v>269</v>
      </c>
      <c r="C124" s="8">
        <v>-35.1</v>
      </c>
      <c r="D124" s="8">
        <v>476362</v>
      </c>
      <c r="E124" s="8">
        <v>5966280</v>
      </c>
      <c r="F124" s="8">
        <v>0</v>
      </c>
      <c r="G124" s="8">
        <v>-0.6</v>
      </c>
      <c r="H124" s="8">
        <v>0</v>
      </c>
      <c r="I124" s="8">
        <v>2</v>
      </c>
      <c r="J124" s="8">
        <v>0</v>
      </c>
      <c r="K124" s="8">
        <v>-64.599999999999994</v>
      </c>
      <c r="L124" s="8">
        <v>29.5</v>
      </c>
      <c r="M124" s="8">
        <v>1629.4739999999999</v>
      </c>
      <c r="N124" s="8">
        <v>90</v>
      </c>
      <c r="O124" s="8">
        <v>8</v>
      </c>
      <c r="P124" s="8">
        <v>10</v>
      </c>
      <c r="Q124" s="8">
        <v>2.89</v>
      </c>
      <c r="R124" s="8">
        <v>68</v>
      </c>
      <c r="S124" s="8">
        <v>110</v>
      </c>
      <c r="T124" s="3">
        <v>147</v>
      </c>
      <c r="U124" s="8">
        <v>1357.9090000000001</v>
      </c>
      <c r="V124" s="8">
        <v>484.38299999999998</v>
      </c>
      <c r="W124" s="8">
        <v>752.85199999999998</v>
      </c>
      <c r="X124" s="8">
        <v>132.18100000000001</v>
      </c>
      <c r="Y124" s="8">
        <v>4.9400000000000004</v>
      </c>
      <c r="Z124" s="8">
        <v>8.0150000000000006</v>
      </c>
      <c r="AA124" s="8">
        <v>21.7</v>
      </c>
      <c r="AB124" s="8">
        <v>290.5</v>
      </c>
      <c r="AC124" s="8">
        <v>12585</v>
      </c>
      <c r="AD124" s="8">
        <v>3192</v>
      </c>
      <c r="AE124" s="8">
        <v>268</v>
      </c>
      <c r="AF124" s="8" cm="1">
        <f t="array" aca="1" ref="AF124" ca="1">_xlfn.XLOOKUP($A124,    INDIRECT("'" &amp; AF$16 &amp; "'!$A$20:$A$219"),    _xlfn.XLOOKUP(AF$18,INDIRECT("'" &amp; AF$16 &amp; "'!$B$18:$BC$18"), INDIRECT("'" &amp; AF$16 &amp; "'!$B$20:$BC$219"),"XXXXX",0,1),    "XX",    0,    1)</f>
        <v>15</v>
      </c>
      <c r="AG124" s="8" cm="1">
        <f t="array" aca="1" ref="AG124" ca="1">_xlfn.XLOOKUP($A124,    INDIRECT("'" &amp; AG$16 &amp; "'!$A$20:$A$219"),    _xlfn.XLOOKUP(AG$18,INDIRECT("'" &amp; AG$16 &amp; "'!$B$18:$BC$18"), INDIRECT("'" &amp; AG$16 &amp; "'!$B$20:$BC$219"),"XXXXX",0,1),    "XX",    0,    1)</f>
        <v>15</v>
      </c>
      <c r="AH124" s="8" cm="1">
        <f t="array" aca="1" ref="AH124" ca="1">_xlfn.XLOOKUP($A124,    INDIRECT("'" &amp; AH$16 &amp; "'!$A$20:$A$219"),    _xlfn.XLOOKUP(AH$18,INDIRECT("'" &amp; AH$16 &amp; "'!$B$18:$BC$18"), INDIRECT("'" &amp; AH$16 &amp; "'!$B$20:$BC$219"),"XXXXX",0,1),    "XX",    0,    1)</f>
        <v>19</v>
      </c>
      <c r="AI124" s="8" cm="1">
        <f t="array" aca="1" ref="AI124" ca="1">_xlfn.XLOOKUP($A124,    INDIRECT("'" &amp; AI$16 &amp; "'!$A$20:$A$219"),    _xlfn.XLOOKUP(AI$18,INDIRECT("'" &amp; AI$16 &amp; "'!$B$18:$BC$18"), INDIRECT("'" &amp; AI$16 &amp; "'!$B$20:$BC$219"),"XXXXX",0,1),    "XX",    0,    1)</f>
        <v>19</v>
      </c>
      <c r="AJ124" s="8" cm="1">
        <f t="array" aca="1" ref="AJ124" ca="1">_xlfn.XLOOKUP($A124,    INDIRECT("'" &amp; AJ$16 &amp; "'!$A$20:$A$219"),    _xlfn.XLOOKUP(AJ$18,INDIRECT("'" &amp; AJ$16 &amp; "'!$B$18:$BC$18"), INDIRECT("'" &amp; AJ$16 &amp; "'!$B$20:$BC$219"),"XXXXX",0,1),    "XX",    0,    1)</f>
        <v>21</v>
      </c>
      <c r="AK124" s="8" cm="1">
        <f t="array" aca="1" ref="AK124" ca="1">_xlfn.XLOOKUP($A124,    INDIRECT("'" &amp; AK$16 &amp; "'!$A$20:$A$219"),    _xlfn.XLOOKUP(AK$18,INDIRECT("'" &amp; AK$16 &amp; "'!$B$18:$BC$18"), INDIRECT("'" &amp; AK$16 &amp; "'!$B$20:$BC$219"),"XXXXX",0,1),    "XX",    0,    1)</f>
        <v>21</v>
      </c>
      <c r="AM124" s="16"/>
      <c r="AW124" s="8">
        <v>1</v>
      </c>
      <c r="AX124" s="8">
        <f t="shared" ca="1" si="39"/>
        <v>1.5</v>
      </c>
      <c r="AY124" s="8">
        <f t="shared" ca="1" si="43"/>
        <v>1.5</v>
      </c>
      <c r="AZ124" s="8">
        <f t="shared" ca="1" si="44"/>
        <v>1.9</v>
      </c>
      <c r="BA124" s="8">
        <f t="shared" ca="1" si="45"/>
        <v>1.9</v>
      </c>
      <c r="BB124" s="8">
        <f t="shared" ca="1" si="46"/>
        <v>2.1</v>
      </c>
      <c r="BC124" s="8">
        <f t="shared" ca="1" si="47"/>
        <v>2.1</v>
      </c>
      <c r="BE124" s="8">
        <f t="shared" ca="1" si="40"/>
        <v>0</v>
      </c>
      <c r="BF124" s="8">
        <f t="shared" ca="1" si="41"/>
        <v>0</v>
      </c>
      <c r="BG124" s="8">
        <f t="shared" ca="1" si="42"/>
        <v>0</v>
      </c>
    </row>
    <row r="125" spans="1:59" x14ac:dyDescent="0.2">
      <c r="A125" s="8" t="s">
        <v>121</v>
      </c>
      <c r="B125" s="8" t="s">
        <v>265</v>
      </c>
      <c r="C125" s="8">
        <v>-32.1</v>
      </c>
      <c r="D125" s="8">
        <v>477024.6</v>
      </c>
      <c r="E125" s="8">
        <v>5968408</v>
      </c>
      <c r="F125" s="8">
        <v>0</v>
      </c>
      <c r="G125" s="8">
        <v>-0.7</v>
      </c>
      <c r="H125" s="8">
        <v>0</v>
      </c>
      <c r="I125" s="8">
        <v>2</v>
      </c>
      <c r="J125" s="8">
        <v>0</v>
      </c>
      <c r="K125" s="8">
        <v>-61.5</v>
      </c>
      <c r="L125" s="8">
        <v>29.4</v>
      </c>
      <c r="M125" s="8">
        <v>1514.53</v>
      </c>
      <c r="N125" s="8">
        <v>86.9</v>
      </c>
      <c r="O125" s="8">
        <v>8</v>
      </c>
      <c r="P125" s="8">
        <v>10</v>
      </c>
      <c r="Q125" s="8">
        <v>2.87</v>
      </c>
      <c r="R125" s="8">
        <v>68</v>
      </c>
      <c r="S125" s="8">
        <v>110</v>
      </c>
      <c r="T125" s="3">
        <v>147</v>
      </c>
      <c r="U125" s="8">
        <v>1295.9449999999999</v>
      </c>
      <c r="V125" s="8">
        <v>524.57100000000003</v>
      </c>
      <c r="W125" s="8">
        <v>752.85199999999998</v>
      </c>
      <c r="X125" s="8">
        <v>132.18100000000001</v>
      </c>
      <c r="Y125" s="8">
        <v>4.9400000000000004</v>
      </c>
      <c r="Z125" s="8">
        <v>8.0150000000000006</v>
      </c>
      <c r="AA125" s="8">
        <v>21.7</v>
      </c>
      <c r="AB125" s="8">
        <v>290.5</v>
      </c>
      <c r="AC125" s="8">
        <v>12394</v>
      </c>
      <c r="AD125" s="8">
        <v>3006</v>
      </c>
      <c r="AE125" s="8">
        <v>268</v>
      </c>
      <c r="AF125" s="8" cm="1">
        <f t="array" aca="1" ref="AF125" ca="1">_xlfn.XLOOKUP($A125,    INDIRECT("'" &amp; AF$16 &amp; "'!$A$20:$A$219"),    _xlfn.XLOOKUP(AF$18,INDIRECT("'" &amp; AF$16 &amp; "'!$B$18:$BC$18"), INDIRECT("'" &amp; AF$16 &amp; "'!$B$20:$BC$219"),"XXXXX",0,1),    "XX",    0,    1)</f>
        <v>15</v>
      </c>
      <c r="AG125" s="8" cm="1">
        <f t="array" aca="1" ref="AG125" ca="1">_xlfn.XLOOKUP($A125,    INDIRECT("'" &amp; AG$16 &amp; "'!$A$20:$A$219"),    _xlfn.XLOOKUP(AG$18,INDIRECT("'" &amp; AG$16 &amp; "'!$B$18:$BC$18"), INDIRECT("'" &amp; AG$16 &amp; "'!$B$20:$BC$219"),"XXXXX",0,1),    "XX",    0,    1)</f>
        <v>15</v>
      </c>
      <c r="AH125" s="8" cm="1">
        <f t="array" aca="1" ref="AH125" ca="1">_xlfn.XLOOKUP($A125,    INDIRECT("'" &amp; AH$16 &amp; "'!$A$20:$A$219"),    _xlfn.XLOOKUP(AH$18,INDIRECT("'" &amp; AH$16 &amp; "'!$B$18:$BC$18"), INDIRECT("'" &amp; AH$16 &amp; "'!$B$20:$BC$219"),"XXXXX",0,1),    "XX",    0,    1)</f>
        <v>19</v>
      </c>
      <c r="AI125" s="8" cm="1">
        <f t="array" aca="1" ref="AI125" ca="1">_xlfn.XLOOKUP($A125,    INDIRECT("'" &amp; AI$16 &amp; "'!$A$20:$A$219"),    _xlfn.XLOOKUP(AI$18,INDIRECT("'" &amp; AI$16 &amp; "'!$B$18:$BC$18"), INDIRECT("'" &amp; AI$16 &amp; "'!$B$20:$BC$219"),"XXXXX",0,1),    "XX",    0,    1)</f>
        <v>19</v>
      </c>
      <c r="AJ125" s="8" cm="1">
        <f t="array" aca="1" ref="AJ125" ca="1">_xlfn.XLOOKUP($A125,    INDIRECT("'" &amp; AJ$16 &amp; "'!$A$20:$A$219"),    _xlfn.XLOOKUP(AJ$18,INDIRECT("'" &amp; AJ$16 &amp; "'!$B$18:$BC$18"), INDIRECT("'" &amp; AJ$16 &amp; "'!$B$20:$BC$219"),"XXXXX",0,1),    "XX",    0,    1)</f>
        <v>21</v>
      </c>
      <c r="AK125" s="8" cm="1">
        <f t="array" aca="1" ref="AK125" ca="1">_xlfn.XLOOKUP($A125,    INDIRECT("'" &amp; AK$16 &amp; "'!$A$20:$A$219"),    _xlfn.XLOOKUP(AK$18,INDIRECT("'" &amp; AK$16 &amp; "'!$B$18:$BC$18"), INDIRECT("'" &amp; AK$16 &amp; "'!$B$20:$BC$219"),"XXXXX",0,1),    "XX",    0,    1)</f>
        <v>21</v>
      </c>
      <c r="AM125" s="16"/>
      <c r="AW125" s="8">
        <v>1</v>
      </c>
      <c r="AX125" s="8">
        <f t="shared" ca="1" si="39"/>
        <v>1.5</v>
      </c>
      <c r="AY125" s="8">
        <f t="shared" ca="1" si="43"/>
        <v>1.5</v>
      </c>
      <c r="AZ125" s="8">
        <f t="shared" ca="1" si="44"/>
        <v>1.9</v>
      </c>
      <c r="BA125" s="8">
        <f t="shared" ca="1" si="45"/>
        <v>1.9</v>
      </c>
      <c r="BB125" s="8">
        <f t="shared" ca="1" si="46"/>
        <v>2.1</v>
      </c>
      <c r="BC125" s="8">
        <f t="shared" ca="1" si="47"/>
        <v>2.1</v>
      </c>
      <c r="BE125" s="8">
        <f t="shared" ca="1" si="40"/>
        <v>0</v>
      </c>
      <c r="BF125" s="8">
        <f t="shared" ca="1" si="41"/>
        <v>0</v>
      </c>
      <c r="BG125" s="8">
        <f t="shared" ca="1" si="42"/>
        <v>0</v>
      </c>
    </row>
    <row r="126" spans="1:59" x14ac:dyDescent="0.2">
      <c r="A126" s="8" t="s">
        <v>33</v>
      </c>
      <c r="B126" s="8" t="s">
        <v>271</v>
      </c>
      <c r="C126" s="8">
        <v>-38.200000000000003</v>
      </c>
      <c r="D126" s="8">
        <v>476683.7</v>
      </c>
      <c r="E126" s="8">
        <v>5972033.2999999998</v>
      </c>
      <c r="F126" s="8">
        <v>0</v>
      </c>
      <c r="G126" s="8">
        <v>-0.6</v>
      </c>
      <c r="H126" s="8">
        <v>0</v>
      </c>
      <c r="I126" s="8">
        <v>2</v>
      </c>
      <c r="J126" s="8">
        <v>0</v>
      </c>
      <c r="K126" s="8">
        <v>-66.2</v>
      </c>
      <c r="L126" s="8">
        <v>28</v>
      </c>
      <c r="M126" s="8">
        <v>1711.3689999999999</v>
      </c>
      <c r="N126" s="8">
        <v>91.6</v>
      </c>
      <c r="O126" s="8">
        <v>8</v>
      </c>
      <c r="P126" s="8">
        <v>10</v>
      </c>
      <c r="Q126" s="8">
        <v>2.74</v>
      </c>
      <c r="R126" s="8">
        <v>68</v>
      </c>
      <c r="S126" s="8">
        <v>110</v>
      </c>
      <c r="T126" s="3">
        <v>147</v>
      </c>
      <c r="U126" s="8">
        <v>1357.57</v>
      </c>
      <c r="V126" s="8">
        <v>396.85899999999998</v>
      </c>
      <c r="W126" s="8">
        <v>752.85199999999998</v>
      </c>
      <c r="X126" s="8">
        <v>132.18100000000001</v>
      </c>
      <c r="Y126" s="8">
        <v>4.9400000000000004</v>
      </c>
      <c r="Z126" s="8">
        <v>8.0150000000000006</v>
      </c>
      <c r="AA126" s="8">
        <v>21.7</v>
      </c>
      <c r="AB126" s="8">
        <v>290.5</v>
      </c>
      <c r="AC126" s="8">
        <v>12684</v>
      </c>
      <c r="AD126" s="8">
        <v>3384</v>
      </c>
      <c r="AE126" s="8">
        <v>268</v>
      </c>
      <c r="AF126" s="8" cm="1">
        <f t="array" aca="1" ref="AF126" ca="1">_xlfn.XLOOKUP($A126,    INDIRECT("'" &amp; AF$16 &amp; "'!$A$20:$A$219"),    _xlfn.XLOOKUP(AF$18,INDIRECT("'" &amp; AF$16 &amp; "'!$B$18:$BC$18"), INDIRECT("'" &amp; AF$16 &amp; "'!$B$20:$BC$219"),"XXXXX",0,1),    "XX",    0,    1)</f>
        <v>15</v>
      </c>
      <c r="AG126" s="8" cm="1">
        <f t="array" aca="1" ref="AG126" ca="1">_xlfn.XLOOKUP($A126,    INDIRECT("'" &amp; AG$16 &amp; "'!$A$20:$A$219"),    _xlfn.XLOOKUP(AG$18,INDIRECT("'" &amp; AG$16 &amp; "'!$B$18:$BC$18"), INDIRECT("'" &amp; AG$16 &amp; "'!$B$20:$BC$219"),"XXXXX",0,1),    "XX",    0,    1)</f>
        <v>15</v>
      </c>
      <c r="AH126" s="8" cm="1">
        <f t="array" aca="1" ref="AH126" ca="1">_xlfn.XLOOKUP($A126,    INDIRECT("'" &amp; AH$16 &amp; "'!$A$20:$A$219"),    _xlfn.XLOOKUP(AH$18,INDIRECT("'" &amp; AH$16 &amp; "'!$B$18:$BC$18"), INDIRECT("'" &amp; AH$16 &amp; "'!$B$20:$BC$219"),"XXXXX",0,1),    "XX",    0,    1)</f>
        <v>17</v>
      </c>
      <c r="AI126" s="8" cm="1">
        <f t="array" aca="1" ref="AI126" ca="1">_xlfn.XLOOKUP($A126,    INDIRECT("'" &amp; AI$16 &amp; "'!$A$20:$A$219"),    _xlfn.XLOOKUP(AI$18,INDIRECT("'" &amp; AI$16 &amp; "'!$B$18:$BC$18"), INDIRECT("'" &amp; AI$16 &amp; "'!$B$20:$BC$219"),"XXXXX",0,1),    "XX",    0,    1)</f>
        <v>17</v>
      </c>
      <c r="AJ126" s="8" cm="1">
        <f t="array" aca="1" ref="AJ126" ca="1">_xlfn.XLOOKUP($A126,    INDIRECT("'" &amp; AJ$16 &amp; "'!$A$20:$A$219"),    _xlfn.XLOOKUP(AJ$18,INDIRECT("'" &amp; AJ$16 &amp; "'!$B$18:$BC$18"), INDIRECT("'" &amp; AJ$16 &amp; "'!$B$20:$BC$219"),"XXXXX",0,1),    "XX",    0,    1)</f>
        <v>19</v>
      </c>
      <c r="AK126" s="8" cm="1">
        <f t="array" aca="1" ref="AK126" ca="1">_xlfn.XLOOKUP($A126,    INDIRECT("'" &amp; AK$16 &amp; "'!$A$20:$A$219"),    _xlfn.XLOOKUP(AK$18,INDIRECT("'" &amp; AK$16 &amp; "'!$B$18:$BC$18"), INDIRECT("'" &amp; AK$16 &amp; "'!$B$20:$BC$219"),"XXXXX",0,1),    "XX",    0,    1)</f>
        <v>19</v>
      </c>
      <c r="AM126" s="16"/>
      <c r="AW126" s="8">
        <v>1</v>
      </c>
      <c r="AX126" s="8">
        <f t="shared" ca="1" si="39"/>
        <v>1.5</v>
      </c>
      <c r="AY126" s="8">
        <f t="shared" ca="1" si="43"/>
        <v>1.5</v>
      </c>
      <c r="AZ126" s="8">
        <f t="shared" ca="1" si="44"/>
        <v>1.7</v>
      </c>
      <c r="BA126" s="8">
        <f t="shared" ca="1" si="45"/>
        <v>1.7</v>
      </c>
      <c r="BB126" s="8">
        <f t="shared" ca="1" si="46"/>
        <v>1.9</v>
      </c>
      <c r="BC126" s="8">
        <f t="shared" ca="1" si="47"/>
        <v>1.9</v>
      </c>
      <c r="BE126" s="8">
        <f t="shared" ca="1" si="40"/>
        <v>0</v>
      </c>
      <c r="BF126" s="8">
        <f t="shared" ca="1" si="41"/>
        <v>0</v>
      </c>
      <c r="BG126" s="8">
        <f t="shared" ca="1" si="42"/>
        <v>0</v>
      </c>
    </row>
    <row r="127" spans="1:59" x14ac:dyDescent="0.2">
      <c r="A127" s="8" t="s">
        <v>102</v>
      </c>
      <c r="B127" s="8" t="s">
        <v>265</v>
      </c>
      <c r="C127" s="8">
        <v>-36.700000000000003</v>
      </c>
      <c r="D127" s="8">
        <v>453928.5</v>
      </c>
      <c r="E127" s="8">
        <v>5972617.7999999998</v>
      </c>
      <c r="F127" s="8">
        <v>0</v>
      </c>
      <c r="G127" s="8">
        <v>-0.7</v>
      </c>
      <c r="H127" s="8">
        <v>0</v>
      </c>
      <c r="I127" s="8">
        <v>2</v>
      </c>
      <c r="J127" s="8">
        <v>0</v>
      </c>
      <c r="K127" s="8">
        <v>-62</v>
      </c>
      <c r="L127" s="8">
        <v>25.3</v>
      </c>
      <c r="M127" s="8">
        <v>1594.3620000000001</v>
      </c>
      <c r="N127" s="8">
        <v>87.4</v>
      </c>
      <c r="O127" s="8">
        <v>8</v>
      </c>
      <c r="P127" s="8">
        <v>10</v>
      </c>
      <c r="Q127" s="8">
        <v>2.46</v>
      </c>
      <c r="R127" s="8">
        <v>68</v>
      </c>
      <c r="S127" s="8">
        <v>110</v>
      </c>
      <c r="T127" s="3">
        <v>147</v>
      </c>
      <c r="U127" s="8">
        <v>1295.4670000000001</v>
      </c>
      <c r="V127" s="8">
        <v>521.10199999999998</v>
      </c>
      <c r="W127" s="8">
        <v>752.85199999999998</v>
      </c>
      <c r="X127" s="8">
        <v>132.18100000000001</v>
      </c>
      <c r="Y127" s="8">
        <v>4.9400000000000004</v>
      </c>
      <c r="Z127" s="8">
        <v>8.0150000000000006</v>
      </c>
      <c r="AA127" s="8">
        <v>21.7</v>
      </c>
      <c r="AB127" s="8">
        <v>290.5</v>
      </c>
      <c r="AC127" s="8">
        <v>12423</v>
      </c>
      <c r="AD127" s="8">
        <v>3292</v>
      </c>
      <c r="AE127" s="8">
        <v>268</v>
      </c>
      <c r="AF127" s="8" cm="1">
        <f t="array" aca="1" ref="AF127" ca="1">_xlfn.XLOOKUP($A127,    INDIRECT("'" &amp; AF$16 &amp; "'!$A$20:$A$219"),    _xlfn.XLOOKUP(AF$18,INDIRECT("'" &amp; AF$16 &amp; "'!$B$18:$BC$18"), INDIRECT("'" &amp; AF$16 &amp; "'!$B$20:$BC$219"),"XXXXX",0,1),    "XX",    0,    1)</f>
        <v>15</v>
      </c>
      <c r="AG127" s="8" cm="1">
        <f t="array" aca="1" ref="AG127" ca="1">_xlfn.XLOOKUP($A127,    INDIRECT("'" &amp; AG$16 &amp; "'!$A$20:$A$219"),    _xlfn.XLOOKUP(AG$18,INDIRECT("'" &amp; AG$16 &amp; "'!$B$18:$BC$18"), INDIRECT("'" &amp; AG$16 &amp; "'!$B$20:$BC$219"),"XXXXX",0,1),    "XX",    0,    1)</f>
        <v>15</v>
      </c>
      <c r="AH127" s="8" cm="1">
        <f t="array" aca="1" ref="AH127" ca="1">_xlfn.XLOOKUP($A127,    INDIRECT("'" &amp; AH$16 &amp; "'!$A$20:$A$219"),    _xlfn.XLOOKUP(AH$18,INDIRECT("'" &amp; AH$16 &amp; "'!$B$18:$BC$18"), INDIRECT("'" &amp; AH$16 &amp; "'!$B$20:$BC$219"),"XXXXX",0,1),    "XX",    0,    1)</f>
        <v>15</v>
      </c>
      <c r="AI127" s="8" cm="1">
        <f t="array" aca="1" ref="AI127" ca="1">_xlfn.XLOOKUP($A127,    INDIRECT("'" &amp; AI$16 &amp; "'!$A$20:$A$219"),    _xlfn.XLOOKUP(AI$18,INDIRECT("'" &amp; AI$16 &amp; "'!$B$18:$BC$18"), INDIRECT("'" &amp; AI$16 &amp; "'!$B$20:$BC$219"),"XXXXX",0,1),    "XX",    0,    1)</f>
        <v>15</v>
      </c>
      <c r="AJ127" s="8" cm="1">
        <f t="array" aca="1" ref="AJ127" ca="1">_xlfn.XLOOKUP($A127,    INDIRECT("'" &amp; AJ$16 &amp; "'!$A$20:$A$219"),    _xlfn.XLOOKUP(AJ$18,INDIRECT("'" &amp; AJ$16 &amp; "'!$B$18:$BC$18"), INDIRECT("'" &amp; AJ$16 &amp; "'!$B$20:$BC$219"),"XXXXX",0,1),    "XX",    0,    1)</f>
        <v>15</v>
      </c>
      <c r="AK127" s="8" cm="1">
        <f t="array" aca="1" ref="AK127" ca="1">_xlfn.XLOOKUP($A127,    INDIRECT("'" &amp; AK$16 &amp; "'!$A$20:$A$219"),    _xlfn.XLOOKUP(AK$18,INDIRECT("'" &amp; AK$16 &amp; "'!$B$18:$BC$18"), INDIRECT("'" &amp; AK$16 &amp; "'!$B$20:$BC$219"),"XXXXX",0,1),    "XX",    0,    1)</f>
        <v>15</v>
      </c>
      <c r="AM127" s="16"/>
      <c r="AW127" s="8">
        <v>1</v>
      </c>
      <c r="AX127" s="8">
        <f t="shared" ca="1" si="39"/>
        <v>1.5</v>
      </c>
      <c r="AY127" s="8">
        <f t="shared" ca="1" si="43"/>
        <v>1.5</v>
      </c>
      <c r="AZ127" s="8">
        <f t="shared" ca="1" si="44"/>
        <v>1.5</v>
      </c>
      <c r="BA127" s="8">
        <f t="shared" ca="1" si="45"/>
        <v>1.5</v>
      </c>
      <c r="BB127" s="8">
        <f t="shared" ca="1" si="46"/>
        <v>1.5</v>
      </c>
      <c r="BC127" s="8">
        <f t="shared" ca="1" si="47"/>
        <v>1.5</v>
      </c>
      <c r="BE127" s="8">
        <f t="shared" ca="1" si="40"/>
        <v>0</v>
      </c>
      <c r="BF127" s="8">
        <f t="shared" ca="1" si="41"/>
        <v>0</v>
      </c>
      <c r="BG127" s="8">
        <f t="shared" ca="1" si="42"/>
        <v>0</v>
      </c>
    </row>
    <row r="128" spans="1:59" x14ac:dyDescent="0.2">
      <c r="A128" s="8" t="s">
        <v>114</v>
      </c>
      <c r="B128" s="8" t="s">
        <v>265</v>
      </c>
      <c r="C128" s="8">
        <v>-36.799999999999997</v>
      </c>
      <c r="D128" s="8">
        <v>455517.1</v>
      </c>
      <c r="E128" s="8">
        <v>5973255.7000000002</v>
      </c>
      <c r="F128" s="8">
        <v>0</v>
      </c>
      <c r="G128" s="8">
        <v>-0.6</v>
      </c>
      <c r="H128" s="8">
        <v>0</v>
      </c>
      <c r="I128" s="8">
        <v>2</v>
      </c>
      <c r="J128" s="8">
        <v>0</v>
      </c>
      <c r="K128" s="8">
        <v>-61.1</v>
      </c>
      <c r="L128" s="8">
        <v>24.3</v>
      </c>
      <c r="M128" s="8">
        <v>1572.6320000000001</v>
      </c>
      <c r="N128" s="8">
        <v>86.5</v>
      </c>
      <c r="O128" s="8">
        <v>8</v>
      </c>
      <c r="P128" s="8">
        <v>10</v>
      </c>
      <c r="Q128" s="8">
        <v>2.37</v>
      </c>
      <c r="R128" s="8">
        <v>68</v>
      </c>
      <c r="S128" s="8">
        <v>110</v>
      </c>
      <c r="T128" s="3">
        <v>147</v>
      </c>
      <c r="U128" s="8">
        <v>1295.492</v>
      </c>
      <c r="V128" s="8">
        <v>490.12599999999998</v>
      </c>
      <c r="W128" s="8">
        <v>752.85199999999998</v>
      </c>
      <c r="X128" s="8">
        <v>132.18100000000001</v>
      </c>
      <c r="Y128" s="8">
        <v>4.9400000000000004</v>
      </c>
      <c r="Z128" s="8">
        <v>8.0150000000000006</v>
      </c>
      <c r="AA128" s="8">
        <v>21.7</v>
      </c>
      <c r="AB128" s="8">
        <v>290.5</v>
      </c>
      <c r="AC128" s="8">
        <v>12367</v>
      </c>
      <c r="AD128" s="8">
        <v>3298</v>
      </c>
      <c r="AE128" s="8">
        <v>268</v>
      </c>
      <c r="AF128" s="8" cm="1">
        <f t="array" aca="1" ref="AF128" ca="1">_xlfn.XLOOKUP($A128,    INDIRECT("'" &amp; AF$16 &amp; "'!$A$20:$A$219"),    _xlfn.XLOOKUP(AF$18,INDIRECT("'" &amp; AF$16 &amp; "'!$B$18:$BC$18"), INDIRECT("'" &amp; AF$16 &amp; "'!$B$20:$BC$219"),"XXXXX",0,1),    "XX",    0,    1)</f>
        <v>15</v>
      </c>
      <c r="AG128" s="8" cm="1">
        <f t="array" aca="1" ref="AG128" ca="1">_xlfn.XLOOKUP($A128,    INDIRECT("'" &amp; AG$16 &amp; "'!$A$20:$A$219"),    _xlfn.XLOOKUP(AG$18,INDIRECT("'" &amp; AG$16 &amp; "'!$B$18:$BC$18"), INDIRECT("'" &amp; AG$16 &amp; "'!$B$20:$BC$219"),"XXXXX",0,1),    "XX",    0,    1)</f>
        <v>15</v>
      </c>
      <c r="AH128" s="8" cm="1">
        <f t="array" aca="1" ref="AH128" ca="1">_xlfn.XLOOKUP($A128,    INDIRECT("'" &amp; AH$16 &amp; "'!$A$20:$A$219"),    _xlfn.XLOOKUP(AH$18,INDIRECT("'" &amp; AH$16 &amp; "'!$B$18:$BC$18"), INDIRECT("'" &amp; AH$16 &amp; "'!$B$20:$BC$219"),"XXXXX",0,1),    "XX",    0,    1)</f>
        <v>15</v>
      </c>
      <c r="AI128" s="8" cm="1">
        <f t="array" aca="1" ref="AI128" ca="1">_xlfn.XLOOKUP($A128,    INDIRECT("'" &amp; AI$16 &amp; "'!$A$20:$A$219"),    _xlfn.XLOOKUP(AI$18,INDIRECT("'" &amp; AI$16 &amp; "'!$B$18:$BC$18"), INDIRECT("'" &amp; AI$16 &amp; "'!$B$20:$BC$219"),"XXXXX",0,1),    "XX",    0,    1)</f>
        <v>15</v>
      </c>
      <c r="AJ128" s="8" cm="1">
        <f t="array" aca="1" ref="AJ128" ca="1">_xlfn.XLOOKUP($A128,    INDIRECT("'" &amp; AJ$16 &amp; "'!$A$20:$A$219"),    _xlfn.XLOOKUP(AJ$18,INDIRECT("'" &amp; AJ$16 &amp; "'!$B$18:$BC$18"), INDIRECT("'" &amp; AJ$16 &amp; "'!$B$20:$BC$219"),"XXXXX",0,1),    "XX",    0,    1)</f>
        <v>15</v>
      </c>
      <c r="AK128" s="8" cm="1">
        <f t="array" aca="1" ref="AK128" ca="1">_xlfn.XLOOKUP($A128,    INDIRECT("'" &amp; AK$16 &amp; "'!$A$20:$A$219"),    _xlfn.XLOOKUP(AK$18,INDIRECT("'" &amp; AK$16 &amp; "'!$B$18:$BC$18"), INDIRECT("'" &amp; AK$16 &amp; "'!$B$20:$BC$219"),"XXXXX",0,1),    "XX",    0,    1)</f>
        <v>15</v>
      </c>
      <c r="AM128" s="16"/>
      <c r="AW128" s="8">
        <v>1</v>
      </c>
      <c r="AX128" s="8">
        <f t="shared" ca="1" si="39"/>
        <v>1.5</v>
      </c>
      <c r="AY128" s="8">
        <f t="shared" ca="1" si="43"/>
        <v>1.5</v>
      </c>
      <c r="AZ128" s="8">
        <f t="shared" ca="1" si="44"/>
        <v>1.5</v>
      </c>
      <c r="BA128" s="8">
        <f t="shared" ca="1" si="45"/>
        <v>1.5</v>
      </c>
      <c r="BB128" s="8">
        <f t="shared" ca="1" si="46"/>
        <v>1.5</v>
      </c>
      <c r="BC128" s="8">
        <f t="shared" ca="1" si="47"/>
        <v>1.5</v>
      </c>
      <c r="BE128" s="8">
        <f t="shared" ca="1" si="40"/>
        <v>0</v>
      </c>
      <c r="BF128" s="8">
        <f t="shared" ca="1" si="41"/>
        <v>0</v>
      </c>
      <c r="BG128" s="8">
        <f t="shared" ca="1" si="42"/>
        <v>0</v>
      </c>
    </row>
    <row r="129" spans="1:59" x14ac:dyDescent="0.2">
      <c r="A129" s="8" t="s">
        <v>200</v>
      </c>
      <c r="B129" s="8" t="s">
        <v>265</v>
      </c>
      <c r="C129" s="8">
        <v>-44.5</v>
      </c>
      <c r="D129" s="8">
        <v>458990</v>
      </c>
      <c r="E129" s="8">
        <v>5970860</v>
      </c>
      <c r="F129" s="8">
        <v>0</v>
      </c>
      <c r="G129" s="8">
        <v>-0.6</v>
      </c>
      <c r="H129" s="8">
        <v>0</v>
      </c>
      <c r="I129" s="8">
        <v>2</v>
      </c>
      <c r="J129" s="8">
        <v>0</v>
      </c>
      <c r="K129" s="8">
        <v>-77.7</v>
      </c>
      <c r="L129" s="8">
        <v>33.200000000000003</v>
      </c>
      <c r="M129" s="8">
        <v>2086.02</v>
      </c>
      <c r="N129" s="8">
        <v>103.1</v>
      </c>
      <c r="O129" s="8">
        <v>8</v>
      </c>
      <c r="P129" s="8">
        <v>11</v>
      </c>
      <c r="Q129" s="8">
        <v>2.9636</v>
      </c>
      <c r="R129" s="8">
        <v>72</v>
      </c>
      <c r="S129" s="8">
        <v>117</v>
      </c>
      <c r="T129" s="3">
        <v>149</v>
      </c>
      <c r="U129" s="8">
        <v>1643.895</v>
      </c>
      <c r="V129" s="8">
        <v>369.72800000000001</v>
      </c>
      <c r="W129" s="8">
        <v>752.85199999999998</v>
      </c>
      <c r="X129" s="8">
        <v>132.18100000000001</v>
      </c>
      <c r="Y129" s="8">
        <v>4.9400000000000004</v>
      </c>
      <c r="Z129" s="8">
        <v>8.0150000000000006</v>
      </c>
      <c r="AA129" s="8">
        <v>21.7</v>
      </c>
      <c r="AB129" s="8">
        <v>290.5</v>
      </c>
      <c r="AC129" s="8">
        <v>13758</v>
      </c>
      <c r="AD129" s="8">
        <v>3943</v>
      </c>
      <c r="AE129" s="8">
        <v>268</v>
      </c>
      <c r="AF129" s="8" cm="1">
        <f t="array" aca="1" ref="AF129" ca="1">_xlfn.XLOOKUP($A129,    INDIRECT("'" &amp; AF$16 &amp; "'!$A$20:$A$219"),    _xlfn.XLOOKUP(AF$18,INDIRECT("'" &amp; AF$16 &amp; "'!$B$18:$BC$18"), INDIRECT("'" &amp; AF$16 &amp; "'!$B$20:$BC$219"),"XXXXX",0,1),    "XX",    0,    1)</f>
        <v>19</v>
      </c>
      <c r="AG129" s="8" cm="1">
        <f t="array" aca="1" ref="AG129" ca="1">_xlfn.XLOOKUP($A129,    INDIRECT("'" &amp; AG$16 &amp; "'!$A$20:$A$219"),    _xlfn.XLOOKUP(AG$18,INDIRECT("'" &amp; AG$16 &amp; "'!$B$18:$BC$18"), INDIRECT("'" &amp; AG$16 &amp; "'!$B$20:$BC$219"),"XXXXX",0,1),    "XX",    0,    1)</f>
        <v>19</v>
      </c>
      <c r="AH129" s="8" cm="1">
        <f t="array" aca="1" ref="AH129" ca="1">_xlfn.XLOOKUP($A129,    INDIRECT("'" &amp; AH$16 &amp; "'!$A$20:$A$219"),    _xlfn.XLOOKUP(AH$18,INDIRECT("'" &amp; AH$16 &amp; "'!$B$18:$BC$18"), INDIRECT("'" &amp; AH$16 &amp; "'!$B$20:$BC$219"),"XXXXX",0,1),    "XX",    0,    1)</f>
        <v>23</v>
      </c>
      <c r="AI129" s="8" cm="1">
        <f t="array" aca="1" ref="AI129" ca="1">_xlfn.XLOOKUP($A129,    INDIRECT("'" &amp; AI$16 &amp; "'!$A$20:$A$219"),    _xlfn.XLOOKUP(AI$18,INDIRECT("'" &amp; AI$16 &amp; "'!$B$18:$BC$18"), INDIRECT("'" &amp; AI$16 &amp; "'!$B$20:$BC$219"),"XXXXX",0,1),    "XX",    0,    1)</f>
        <v>23</v>
      </c>
      <c r="AJ129" s="8" cm="1">
        <f t="array" aca="1" ref="AJ129" ca="1">_xlfn.XLOOKUP($A129,    INDIRECT("'" &amp; AJ$16 &amp; "'!$A$20:$A$219"),    _xlfn.XLOOKUP(AJ$18,INDIRECT("'" &amp; AJ$16 &amp; "'!$B$18:$BC$18"), INDIRECT("'" &amp; AJ$16 &amp; "'!$B$20:$BC$219"),"XXXXX",0,1),    "XX",    0,    1)</f>
        <v>23</v>
      </c>
      <c r="AK129" s="8" cm="1">
        <f t="array" aca="1" ref="AK129" ca="1">_xlfn.XLOOKUP($A129,    INDIRECT("'" &amp; AK$16 &amp; "'!$A$20:$A$219"),    _xlfn.XLOOKUP(AK$18,INDIRECT("'" &amp; AK$16 &amp; "'!$B$18:$BC$18"), INDIRECT("'" &amp; AK$16 &amp; "'!$B$20:$BC$219"),"XXXXX",0,1),    "XX",    0,    1)</f>
        <v>23</v>
      </c>
      <c r="AM129" s="16"/>
      <c r="AW129" s="8">
        <v>1</v>
      </c>
      <c r="AX129" s="8">
        <f t="shared" ca="1" si="39"/>
        <v>1.7272727272727273</v>
      </c>
      <c r="AY129" s="8">
        <f t="shared" ca="1" si="43"/>
        <v>1.7272727272727273</v>
      </c>
      <c r="AZ129" s="8">
        <f t="shared" ca="1" si="44"/>
        <v>2.0909090909090908</v>
      </c>
      <c r="BA129" s="8">
        <f t="shared" ca="1" si="45"/>
        <v>2.0909090909090908</v>
      </c>
      <c r="BB129" s="8">
        <f t="shared" ca="1" si="46"/>
        <v>2.0909090909090908</v>
      </c>
      <c r="BC129" s="8">
        <f t="shared" ca="1" si="47"/>
        <v>2.0909090909090908</v>
      </c>
      <c r="BE129" s="8">
        <f t="shared" ca="1" si="40"/>
        <v>0</v>
      </c>
      <c r="BF129" s="8">
        <f t="shared" ca="1" si="41"/>
        <v>0</v>
      </c>
      <c r="BG129" s="8">
        <f t="shared" ca="1" si="42"/>
        <v>0</v>
      </c>
    </row>
    <row r="130" spans="1:59" x14ac:dyDescent="0.2">
      <c r="A130" s="8" t="s">
        <v>27</v>
      </c>
      <c r="B130" s="8" t="s">
        <v>265</v>
      </c>
      <c r="C130" s="8">
        <v>-38.299999999999997</v>
      </c>
      <c r="D130" s="8">
        <v>461822.5</v>
      </c>
      <c r="E130" s="8">
        <v>5969590</v>
      </c>
      <c r="F130" s="8">
        <v>0</v>
      </c>
      <c r="G130" s="8">
        <v>-0.8</v>
      </c>
      <c r="H130" s="8">
        <v>0</v>
      </c>
      <c r="I130" s="8">
        <v>2</v>
      </c>
      <c r="J130" s="8">
        <v>0</v>
      </c>
      <c r="K130" s="8">
        <v>-66.400000000000006</v>
      </c>
      <c r="L130" s="8">
        <v>28.1</v>
      </c>
      <c r="M130" s="8">
        <v>1730.9949999999999</v>
      </c>
      <c r="N130" s="8">
        <v>91.8</v>
      </c>
      <c r="O130" s="8">
        <v>8</v>
      </c>
      <c r="P130" s="8">
        <v>10</v>
      </c>
      <c r="Q130" s="8">
        <v>2.73</v>
      </c>
      <c r="R130" s="8">
        <v>68</v>
      </c>
      <c r="S130" s="8">
        <v>110</v>
      </c>
      <c r="T130" s="3">
        <v>147</v>
      </c>
      <c r="U130" s="8">
        <v>1357.482</v>
      </c>
      <c r="V130" s="8">
        <v>458.54700000000003</v>
      </c>
      <c r="W130" s="8">
        <v>752.85199999999998</v>
      </c>
      <c r="X130" s="8">
        <v>132.18100000000001</v>
      </c>
      <c r="Y130" s="8">
        <v>4.9400000000000004</v>
      </c>
      <c r="Z130" s="8">
        <v>8.0150000000000006</v>
      </c>
      <c r="AA130" s="8">
        <v>21.7</v>
      </c>
      <c r="AB130" s="8">
        <v>290.5</v>
      </c>
      <c r="AC130" s="8">
        <v>12696</v>
      </c>
      <c r="AD130" s="8">
        <v>3391</v>
      </c>
      <c r="AE130" s="8">
        <v>268</v>
      </c>
      <c r="AF130" s="8" cm="1">
        <f t="array" aca="1" ref="AF130" ca="1">_xlfn.XLOOKUP($A130,    INDIRECT("'" &amp; AF$16 &amp; "'!$A$20:$A$219"),    _xlfn.XLOOKUP(AF$18,INDIRECT("'" &amp; AF$16 &amp; "'!$B$18:$BC$18"), INDIRECT("'" &amp; AF$16 &amp; "'!$B$20:$BC$219"),"XXXXX",0,1),    "XX",    0,    1)</f>
        <v>15</v>
      </c>
      <c r="AG130" s="8" cm="1">
        <f t="array" aca="1" ref="AG130" ca="1">_xlfn.XLOOKUP($A130,    INDIRECT("'" &amp; AG$16 &amp; "'!$A$20:$A$219"),    _xlfn.XLOOKUP(AG$18,INDIRECT("'" &amp; AG$16 &amp; "'!$B$18:$BC$18"), INDIRECT("'" &amp; AG$16 &amp; "'!$B$20:$BC$219"),"XXXXX",0,1),    "XX",    0,    1)</f>
        <v>15</v>
      </c>
      <c r="AH130" s="8" cm="1">
        <f t="array" aca="1" ref="AH130" ca="1">_xlfn.XLOOKUP($A130,    INDIRECT("'" &amp; AH$16 &amp; "'!$A$20:$A$219"),    _xlfn.XLOOKUP(AH$18,INDIRECT("'" &amp; AH$16 &amp; "'!$B$18:$BC$18"), INDIRECT("'" &amp; AH$16 &amp; "'!$B$20:$BC$219"),"XXXXX",0,1),    "XX",    0,    1)</f>
        <v>17</v>
      </c>
      <c r="AI130" s="8" cm="1">
        <f t="array" aca="1" ref="AI130" ca="1">_xlfn.XLOOKUP($A130,    INDIRECT("'" &amp; AI$16 &amp; "'!$A$20:$A$219"),    _xlfn.XLOOKUP(AI$18,INDIRECT("'" &amp; AI$16 &amp; "'!$B$18:$BC$18"), INDIRECT("'" &amp; AI$16 &amp; "'!$B$20:$BC$219"),"XXXXX",0,1),    "XX",    0,    1)</f>
        <v>17</v>
      </c>
      <c r="AJ130" s="8" cm="1">
        <f t="array" aca="1" ref="AJ130" ca="1">_xlfn.XLOOKUP($A130,    INDIRECT("'" &amp; AJ$16 &amp; "'!$A$20:$A$219"),    _xlfn.XLOOKUP(AJ$18,INDIRECT("'" &amp; AJ$16 &amp; "'!$B$18:$BC$18"), INDIRECT("'" &amp; AJ$16 &amp; "'!$B$20:$BC$219"),"XXXXX",0,1),    "XX",    0,    1)</f>
        <v>19</v>
      </c>
      <c r="AK130" s="8" cm="1">
        <f t="array" aca="1" ref="AK130" ca="1">_xlfn.XLOOKUP($A130,    INDIRECT("'" &amp; AK$16 &amp; "'!$A$20:$A$219"),    _xlfn.XLOOKUP(AK$18,INDIRECT("'" &amp; AK$16 &amp; "'!$B$18:$BC$18"), INDIRECT("'" &amp; AK$16 &amp; "'!$B$20:$BC$219"),"XXXXX",0,1),    "XX",    0,    1)</f>
        <v>19</v>
      </c>
      <c r="AM130" s="16"/>
      <c r="AW130" s="8">
        <v>1</v>
      </c>
      <c r="AX130" s="8">
        <f t="shared" ca="1" si="39"/>
        <v>1.5</v>
      </c>
      <c r="AY130" s="8">
        <f t="shared" ca="1" si="43"/>
        <v>1.5</v>
      </c>
      <c r="AZ130" s="8">
        <f t="shared" ca="1" si="44"/>
        <v>1.7</v>
      </c>
      <c r="BA130" s="8">
        <f t="shared" ca="1" si="45"/>
        <v>1.7</v>
      </c>
      <c r="BB130" s="8">
        <f t="shared" ca="1" si="46"/>
        <v>1.9</v>
      </c>
      <c r="BC130" s="8">
        <f t="shared" ca="1" si="47"/>
        <v>1.9</v>
      </c>
      <c r="BE130" s="8">
        <f t="shared" ca="1" si="40"/>
        <v>0</v>
      </c>
      <c r="BF130" s="8">
        <f t="shared" ca="1" si="41"/>
        <v>0</v>
      </c>
      <c r="BG130" s="8">
        <f t="shared" ca="1" si="42"/>
        <v>0</v>
      </c>
    </row>
    <row r="131" spans="1:59" x14ac:dyDescent="0.2">
      <c r="A131" s="8" t="s">
        <v>208</v>
      </c>
      <c r="B131" s="8" t="s">
        <v>265</v>
      </c>
      <c r="C131" s="8">
        <v>-42.9</v>
      </c>
      <c r="D131" s="8">
        <v>465692.8</v>
      </c>
      <c r="E131" s="8">
        <v>5966699.0999999996</v>
      </c>
      <c r="F131" s="8">
        <v>0</v>
      </c>
      <c r="G131" s="8">
        <v>-0.6</v>
      </c>
      <c r="H131" s="8">
        <v>0</v>
      </c>
      <c r="I131" s="8">
        <v>2</v>
      </c>
      <c r="J131" s="8">
        <v>0</v>
      </c>
      <c r="K131" s="8">
        <v>-73.7</v>
      </c>
      <c r="L131" s="8">
        <v>30.8</v>
      </c>
      <c r="M131" s="8">
        <v>1939.713</v>
      </c>
      <c r="N131" s="8">
        <v>99.1</v>
      </c>
      <c r="O131" s="8">
        <v>8</v>
      </c>
      <c r="P131" s="8">
        <v>11</v>
      </c>
      <c r="Q131" s="8">
        <v>2.7454999999999998</v>
      </c>
      <c r="R131" s="8">
        <v>70</v>
      </c>
      <c r="S131" s="8">
        <v>117</v>
      </c>
      <c r="T131" s="3">
        <v>149</v>
      </c>
      <c r="U131" s="8">
        <v>1575.71</v>
      </c>
      <c r="V131" s="8">
        <v>404.37299999999999</v>
      </c>
      <c r="W131" s="8">
        <v>752.85199999999998</v>
      </c>
      <c r="X131" s="8">
        <v>132.18100000000001</v>
      </c>
      <c r="Y131" s="8">
        <v>4.9400000000000004</v>
      </c>
      <c r="Z131" s="8">
        <v>8.0150000000000006</v>
      </c>
      <c r="AA131" s="8">
        <v>21.7</v>
      </c>
      <c r="AB131" s="8">
        <v>290.5</v>
      </c>
      <c r="AC131" s="8">
        <v>13485</v>
      </c>
      <c r="AD131" s="8">
        <v>3834</v>
      </c>
      <c r="AE131" s="8">
        <v>268</v>
      </c>
      <c r="AF131" s="8" cm="1">
        <f t="array" aca="1" ref="AF131" ca="1">_xlfn.XLOOKUP($A131,    INDIRECT("'" &amp; AF$16 &amp; "'!$A$20:$A$219"),    _xlfn.XLOOKUP(AF$18,INDIRECT("'" &amp; AF$16 &amp; "'!$B$18:$BC$18"), INDIRECT("'" &amp; AF$16 &amp; "'!$B$20:$BC$219"),"XXXXX",0,1),    "XX",    0,    1)</f>
        <v>17</v>
      </c>
      <c r="AG131" s="8" cm="1">
        <f t="array" aca="1" ref="AG131" ca="1">_xlfn.XLOOKUP($A131,    INDIRECT("'" &amp; AG$16 &amp; "'!$A$20:$A$219"),    _xlfn.XLOOKUP(AG$18,INDIRECT("'" &amp; AG$16 &amp; "'!$B$18:$BC$18"), INDIRECT("'" &amp; AG$16 &amp; "'!$B$20:$BC$219"),"XXXXX",0,1),    "XX",    0,    1)</f>
        <v>17</v>
      </c>
      <c r="AH131" s="8" cm="1">
        <f t="array" aca="1" ref="AH131" ca="1">_xlfn.XLOOKUP($A131,    INDIRECT("'" &amp; AH$16 &amp; "'!$A$20:$A$219"),    _xlfn.XLOOKUP(AH$18,INDIRECT("'" &amp; AH$16 &amp; "'!$B$18:$BC$18"), INDIRECT("'" &amp; AH$16 &amp; "'!$B$20:$BC$219"),"XXXXX",0,1),    "XX",    0,    1)</f>
        <v>21</v>
      </c>
      <c r="AI131" s="8" cm="1">
        <f t="array" aca="1" ref="AI131" ca="1">_xlfn.XLOOKUP($A131,    INDIRECT("'" &amp; AI$16 &amp; "'!$A$20:$A$219"),    _xlfn.XLOOKUP(AI$18,INDIRECT("'" &amp; AI$16 &amp; "'!$B$18:$BC$18"), INDIRECT("'" &amp; AI$16 &amp; "'!$B$20:$BC$219"),"XXXXX",0,1),    "XX",    0,    1)</f>
        <v>21</v>
      </c>
      <c r="AJ131" s="8" cm="1">
        <f t="array" aca="1" ref="AJ131" ca="1">_xlfn.XLOOKUP($A131,    INDIRECT("'" &amp; AJ$16 &amp; "'!$A$20:$A$219"),    _xlfn.XLOOKUP(AJ$18,INDIRECT("'" &amp; AJ$16 &amp; "'!$B$18:$BC$18"), INDIRECT("'" &amp; AJ$16 &amp; "'!$B$20:$BC$219"),"XXXXX",0,1),    "XX",    0,    1)</f>
        <v>21</v>
      </c>
      <c r="AK131" s="8" cm="1">
        <f t="array" aca="1" ref="AK131" ca="1">_xlfn.XLOOKUP($A131,    INDIRECT("'" &amp; AK$16 &amp; "'!$A$20:$A$219"),    _xlfn.XLOOKUP(AK$18,INDIRECT("'" &amp; AK$16 &amp; "'!$B$18:$BC$18"), INDIRECT("'" &amp; AK$16 &amp; "'!$B$20:$BC$219"),"XXXXX",0,1),    "XX",    0,    1)</f>
        <v>21</v>
      </c>
      <c r="AM131" s="16"/>
      <c r="AW131" s="8">
        <v>1</v>
      </c>
      <c r="AX131" s="8">
        <f t="shared" ca="1" si="39"/>
        <v>1.5454545454545454</v>
      </c>
      <c r="AY131" s="8">
        <f t="shared" ca="1" si="43"/>
        <v>1.5454545454545454</v>
      </c>
      <c r="AZ131" s="8">
        <f t="shared" ca="1" si="44"/>
        <v>1.9090909090909092</v>
      </c>
      <c r="BA131" s="8">
        <f t="shared" ca="1" si="45"/>
        <v>1.9090909090909092</v>
      </c>
      <c r="BB131" s="8">
        <f t="shared" ca="1" si="46"/>
        <v>1.9090909090909092</v>
      </c>
      <c r="BC131" s="8">
        <f t="shared" ca="1" si="47"/>
        <v>1.9090909090909092</v>
      </c>
      <c r="BE131" s="8">
        <f t="shared" ca="1" si="40"/>
        <v>0</v>
      </c>
      <c r="BF131" s="8">
        <f t="shared" ca="1" si="41"/>
        <v>0</v>
      </c>
      <c r="BG131" s="8">
        <f t="shared" ca="1" si="42"/>
        <v>0</v>
      </c>
    </row>
    <row r="132" spans="1:59" x14ac:dyDescent="0.2">
      <c r="A132" s="8" t="s">
        <v>52</v>
      </c>
      <c r="B132" s="8" t="s">
        <v>265</v>
      </c>
      <c r="C132" s="8">
        <v>-36.799999999999997</v>
      </c>
      <c r="D132" s="8">
        <v>468654.9</v>
      </c>
      <c r="E132" s="8">
        <v>5965289.4000000004</v>
      </c>
      <c r="F132" s="8">
        <v>0</v>
      </c>
      <c r="G132" s="8">
        <v>-0.7</v>
      </c>
      <c r="H132" s="8">
        <v>0</v>
      </c>
      <c r="I132" s="8">
        <v>2</v>
      </c>
      <c r="J132" s="8">
        <v>0</v>
      </c>
      <c r="K132" s="8">
        <v>-64.900000000000006</v>
      </c>
      <c r="L132" s="8">
        <v>28.1</v>
      </c>
      <c r="M132" s="8">
        <v>1673.1289999999999</v>
      </c>
      <c r="N132" s="8">
        <v>90.3</v>
      </c>
      <c r="O132" s="8">
        <v>8</v>
      </c>
      <c r="P132" s="8">
        <v>10</v>
      </c>
      <c r="Q132" s="8">
        <v>2.74</v>
      </c>
      <c r="R132" s="8">
        <v>68</v>
      </c>
      <c r="S132" s="8">
        <v>110</v>
      </c>
      <c r="T132" s="3">
        <v>147</v>
      </c>
      <c r="U132" s="8">
        <v>1357.6579999999999</v>
      </c>
      <c r="V132" s="8">
        <v>421.99099999999999</v>
      </c>
      <c r="W132" s="8">
        <v>752.85199999999998</v>
      </c>
      <c r="X132" s="8">
        <v>132.18100000000001</v>
      </c>
      <c r="Y132" s="8">
        <v>4.9400000000000004</v>
      </c>
      <c r="Z132" s="8">
        <v>8.0150000000000006</v>
      </c>
      <c r="AA132" s="8">
        <v>21.7</v>
      </c>
      <c r="AB132" s="8">
        <v>290.5</v>
      </c>
      <c r="AC132" s="8">
        <v>12603</v>
      </c>
      <c r="AD132" s="8">
        <v>3298</v>
      </c>
      <c r="AE132" s="8">
        <v>268</v>
      </c>
      <c r="AF132" s="8" cm="1">
        <f t="array" aca="1" ref="AF132" ca="1">_xlfn.XLOOKUP($A132,    INDIRECT("'" &amp; AF$16 &amp; "'!$A$20:$A$219"),    _xlfn.XLOOKUP(AF$18,INDIRECT("'" &amp; AF$16 &amp; "'!$B$18:$BC$18"), INDIRECT("'" &amp; AF$16 &amp; "'!$B$20:$BC$219"),"XXXXX",0,1),    "XX",    0,    1)</f>
        <v>15</v>
      </c>
      <c r="AG132" s="8" cm="1">
        <f t="array" aca="1" ref="AG132" ca="1">_xlfn.XLOOKUP($A132,    INDIRECT("'" &amp; AG$16 &amp; "'!$A$20:$A$219"),    _xlfn.XLOOKUP(AG$18,INDIRECT("'" &amp; AG$16 &amp; "'!$B$18:$BC$18"), INDIRECT("'" &amp; AG$16 &amp; "'!$B$20:$BC$219"),"XXXXX",0,1),    "XX",    0,    1)</f>
        <v>15</v>
      </c>
      <c r="AH132" s="8" cm="1">
        <f t="array" aca="1" ref="AH132" ca="1">_xlfn.XLOOKUP($A132,    INDIRECT("'" &amp; AH$16 &amp; "'!$A$20:$A$219"),    _xlfn.XLOOKUP(AH$18,INDIRECT("'" &amp; AH$16 &amp; "'!$B$18:$BC$18"), INDIRECT("'" &amp; AH$16 &amp; "'!$B$20:$BC$219"),"XXXXX",0,1),    "XX",    0,    1)</f>
        <v>17</v>
      </c>
      <c r="AI132" s="8" cm="1">
        <f t="array" aca="1" ref="AI132" ca="1">_xlfn.XLOOKUP($A132,    INDIRECT("'" &amp; AI$16 &amp; "'!$A$20:$A$219"),    _xlfn.XLOOKUP(AI$18,INDIRECT("'" &amp; AI$16 &amp; "'!$B$18:$BC$18"), INDIRECT("'" &amp; AI$16 &amp; "'!$B$20:$BC$219"),"XXXXX",0,1),    "XX",    0,    1)</f>
        <v>17</v>
      </c>
      <c r="AJ132" s="8" cm="1">
        <f t="array" aca="1" ref="AJ132" ca="1">_xlfn.XLOOKUP($A132,    INDIRECT("'" &amp; AJ$16 &amp; "'!$A$20:$A$219"),    _xlfn.XLOOKUP(AJ$18,INDIRECT("'" &amp; AJ$16 &amp; "'!$B$18:$BC$18"), INDIRECT("'" &amp; AJ$16 &amp; "'!$B$20:$BC$219"),"XXXXX",0,1),    "XX",    0,    1)</f>
        <v>19</v>
      </c>
      <c r="AK132" s="8" cm="1">
        <f t="array" aca="1" ref="AK132" ca="1">_xlfn.XLOOKUP($A132,    INDIRECT("'" &amp; AK$16 &amp; "'!$A$20:$A$219"),    _xlfn.XLOOKUP(AK$18,INDIRECT("'" &amp; AK$16 &amp; "'!$B$18:$BC$18"), INDIRECT("'" &amp; AK$16 &amp; "'!$B$20:$BC$219"),"XXXXX",0,1),    "XX",    0,    1)</f>
        <v>19</v>
      </c>
      <c r="AM132" s="16"/>
      <c r="AW132" s="8">
        <v>1</v>
      </c>
      <c r="AX132" s="8">
        <f t="shared" ca="1" si="39"/>
        <v>1.5</v>
      </c>
      <c r="AY132" s="8">
        <f t="shared" ca="1" si="43"/>
        <v>1.5</v>
      </c>
      <c r="AZ132" s="8">
        <f t="shared" ca="1" si="44"/>
        <v>1.7</v>
      </c>
      <c r="BA132" s="8">
        <f t="shared" ca="1" si="45"/>
        <v>1.7</v>
      </c>
      <c r="BB132" s="8">
        <f t="shared" ca="1" si="46"/>
        <v>1.9</v>
      </c>
      <c r="BC132" s="8">
        <f t="shared" ca="1" si="47"/>
        <v>1.9</v>
      </c>
      <c r="BE132" s="8">
        <f t="shared" ca="1" si="40"/>
        <v>0</v>
      </c>
      <c r="BF132" s="8">
        <f t="shared" ca="1" si="41"/>
        <v>0</v>
      </c>
      <c r="BG132" s="8">
        <f t="shared" ca="1" si="42"/>
        <v>0</v>
      </c>
    </row>
    <row r="133" spans="1:59" x14ac:dyDescent="0.2">
      <c r="A133" s="8" t="s">
        <v>62</v>
      </c>
      <c r="B133" s="8" t="s">
        <v>265</v>
      </c>
      <c r="C133" s="8">
        <v>-36.1</v>
      </c>
      <c r="D133" s="8">
        <v>471258.7</v>
      </c>
      <c r="E133" s="8">
        <v>5964498.4000000004</v>
      </c>
      <c r="F133" s="8">
        <v>0</v>
      </c>
      <c r="G133" s="8">
        <v>-0.6</v>
      </c>
      <c r="H133" s="8">
        <v>0</v>
      </c>
      <c r="I133" s="8">
        <v>2</v>
      </c>
      <c r="J133" s="8">
        <v>0</v>
      </c>
      <c r="K133" s="8">
        <v>-64.599999999999994</v>
      </c>
      <c r="L133" s="8">
        <v>28.5</v>
      </c>
      <c r="M133" s="8">
        <v>1658.1089999999999</v>
      </c>
      <c r="N133" s="8">
        <v>90</v>
      </c>
      <c r="O133" s="8">
        <v>8</v>
      </c>
      <c r="P133" s="8">
        <v>10</v>
      </c>
      <c r="Q133" s="8">
        <v>2.79</v>
      </c>
      <c r="R133" s="8">
        <v>68</v>
      </c>
      <c r="S133" s="8">
        <v>110</v>
      </c>
      <c r="T133" s="3">
        <v>147</v>
      </c>
      <c r="U133" s="8">
        <v>1357.721</v>
      </c>
      <c r="V133" s="8">
        <v>452.892</v>
      </c>
      <c r="W133" s="8">
        <v>752.85199999999998</v>
      </c>
      <c r="X133" s="8">
        <v>132.18100000000001</v>
      </c>
      <c r="Y133" s="8">
        <v>4.9400000000000004</v>
      </c>
      <c r="Z133" s="8">
        <v>8.0150000000000006</v>
      </c>
      <c r="AA133" s="8">
        <v>21.7</v>
      </c>
      <c r="AB133" s="8">
        <v>290.5</v>
      </c>
      <c r="AC133" s="8">
        <v>12585</v>
      </c>
      <c r="AD133" s="8">
        <v>3254</v>
      </c>
      <c r="AE133" s="8">
        <v>268</v>
      </c>
      <c r="AF133" s="8" cm="1">
        <f t="array" aca="1" ref="AF133" ca="1">_xlfn.XLOOKUP($A133,    INDIRECT("'" &amp; AF$16 &amp; "'!$A$20:$A$219"),    _xlfn.XLOOKUP(AF$18,INDIRECT("'" &amp; AF$16 &amp; "'!$B$18:$BC$18"), INDIRECT("'" &amp; AF$16 &amp; "'!$B$20:$BC$219"),"XXXXX",0,1),    "XX",    0,    1)</f>
        <v>15</v>
      </c>
      <c r="AG133" s="8" cm="1">
        <f t="array" aca="1" ref="AG133" ca="1">_xlfn.XLOOKUP($A133,    INDIRECT("'" &amp; AG$16 &amp; "'!$A$20:$A$219"),    _xlfn.XLOOKUP(AG$18,INDIRECT("'" &amp; AG$16 &amp; "'!$B$18:$BC$18"), INDIRECT("'" &amp; AG$16 &amp; "'!$B$20:$BC$219"),"XXXXX",0,1),    "XX",    0,    1)</f>
        <v>15</v>
      </c>
      <c r="AH133" s="8" cm="1">
        <f t="array" aca="1" ref="AH133" ca="1">_xlfn.XLOOKUP($A133,    INDIRECT("'" &amp; AH$16 &amp; "'!$A$20:$A$219"),    _xlfn.XLOOKUP(AH$18,INDIRECT("'" &amp; AH$16 &amp; "'!$B$18:$BC$18"), INDIRECT("'" &amp; AH$16 &amp; "'!$B$20:$BC$219"),"XXXXX",0,1),    "XX",    0,    1)</f>
        <v>17</v>
      </c>
      <c r="AI133" s="8" cm="1">
        <f t="array" aca="1" ref="AI133" ca="1">_xlfn.XLOOKUP($A133,    INDIRECT("'" &amp; AI$16 &amp; "'!$A$20:$A$219"),    _xlfn.XLOOKUP(AI$18,INDIRECT("'" &amp; AI$16 &amp; "'!$B$18:$BC$18"), INDIRECT("'" &amp; AI$16 &amp; "'!$B$20:$BC$219"),"XXXXX",0,1),    "XX",    0,    1)</f>
        <v>17</v>
      </c>
      <c r="AJ133" s="8" cm="1">
        <f t="array" aca="1" ref="AJ133" ca="1">_xlfn.XLOOKUP($A133,    INDIRECT("'" &amp; AJ$16 &amp; "'!$A$20:$A$219"),    _xlfn.XLOOKUP(AJ$18,INDIRECT("'" &amp; AJ$16 &amp; "'!$B$18:$BC$18"), INDIRECT("'" &amp; AJ$16 &amp; "'!$B$20:$BC$219"),"XXXXX",0,1),    "XX",    0,    1)</f>
        <v>19</v>
      </c>
      <c r="AK133" s="8" cm="1">
        <f t="array" aca="1" ref="AK133" ca="1">_xlfn.XLOOKUP($A133,    INDIRECT("'" &amp; AK$16 &amp; "'!$A$20:$A$219"),    _xlfn.XLOOKUP(AK$18,INDIRECT("'" &amp; AK$16 &amp; "'!$B$18:$BC$18"), INDIRECT("'" &amp; AK$16 &amp; "'!$B$20:$BC$219"),"XXXXX",0,1),    "XX",    0,    1)</f>
        <v>19</v>
      </c>
      <c r="AM133" s="16"/>
      <c r="AW133" s="8">
        <v>1</v>
      </c>
      <c r="AX133" s="8">
        <f t="shared" ca="1" si="39"/>
        <v>1.5</v>
      </c>
      <c r="AY133" s="8">
        <f t="shared" ca="1" si="43"/>
        <v>1.5</v>
      </c>
      <c r="AZ133" s="8">
        <f t="shared" ca="1" si="44"/>
        <v>1.7</v>
      </c>
      <c r="BA133" s="8">
        <f t="shared" ca="1" si="45"/>
        <v>1.7</v>
      </c>
      <c r="BB133" s="8">
        <f t="shared" ca="1" si="46"/>
        <v>1.9</v>
      </c>
      <c r="BC133" s="8">
        <f t="shared" ca="1" si="47"/>
        <v>1.9</v>
      </c>
      <c r="BE133" s="8">
        <f t="shared" ca="1" si="40"/>
        <v>0</v>
      </c>
      <c r="BF133" s="8">
        <f t="shared" ca="1" si="41"/>
        <v>0</v>
      </c>
      <c r="BG133" s="8">
        <f t="shared" ca="1" si="42"/>
        <v>0</v>
      </c>
    </row>
    <row r="134" spans="1:59" x14ac:dyDescent="0.2">
      <c r="A134" s="8" t="s">
        <v>153</v>
      </c>
      <c r="B134" s="8" t="s">
        <v>269</v>
      </c>
      <c r="C134" s="8">
        <v>-31</v>
      </c>
      <c r="D134" s="8">
        <v>474820.7</v>
      </c>
      <c r="E134" s="8">
        <v>5962144.0999999996</v>
      </c>
      <c r="F134" s="8">
        <v>0</v>
      </c>
      <c r="G134" s="8">
        <v>-0.7</v>
      </c>
      <c r="H134" s="8">
        <v>0</v>
      </c>
      <c r="I134" s="8">
        <v>2</v>
      </c>
      <c r="J134" s="8">
        <v>0</v>
      </c>
      <c r="K134" s="8">
        <v>-59.5</v>
      </c>
      <c r="L134" s="8">
        <v>28.5</v>
      </c>
      <c r="M134" s="8">
        <v>1453.963</v>
      </c>
      <c r="N134" s="8">
        <v>84.9</v>
      </c>
      <c r="O134" s="8">
        <v>8</v>
      </c>
      <c r="P134" s="8">
        <v>10</v>
      </c>
      <c r="Q134" s="8">
        <v>2.78</v>
      </c>
      <c r="R134" s="8">
        <v>68</v>
      </c>
      <c r="S134" s="8">
        <v>110</v>
      </c>
      <c r="T134" s="3">
        <v>147</v>
      </c>
      <c r="U134" s="8">
        <v>1296.1210000000001</v>
      </c>
      <c r="V134" s="8">
        <v>549.351</v>
      </c>
      <c r="W134" s="8">
        <v>752.85199999999998</v>
      </c>
      <c r="X134" s="8">
        <v>132.18100000000001</v>
      </c>
      <c r="Y134" s="8">
        <v>4.9400000000000004</v>
      </c>
      <c r="Z134" s="8">
        <v>8.0150000000000006</v>
      </c>
      <c r="AA134" s="8">
        <v>21.7</v>
      </c>
      <c r="AB134" s="8">
        <v>290.5</v>
      </c>
      <c r="AC134" s="8">
        <v>12270</v>
      </c>
      <c r="AD134" s="8">
        <v>2938</v>
      </c>
      <c r="AE134" s="8">
        <v>268</v>
      </c>
      <c r="AF134" s="8" cm="1">
        <f t="array" aca="1" ref="AF134" ca="1">_xlfn.XLOOKUP($A134,    INDIRECT("'" &amp; AF$16 &amp; "'!$A$20:$A$219"),    _xlfn.XLOOKUP(AF$18,INDIRECT("'" &amp; AF$16 &amp; "'!$B$18:$BC$18"), INDIRECT("'" &amp; AF$16 &amp; "'!$B$20:$BC$219"),"XXXXX",0,1),    "XX",    0,    1)</f>
        <v>15</v>
      </c>
      <c r="AG134" s="8" cm="1">
        <f t="array" aca="1" ref="AG134" ca="1">_xlfn.XLOOKUP($A134,    INDIRECT("'" &amp; AG$16 &amp; "'!$A$20:$A$219"),    _xlfn.XLOOKUP(AG$18,INDIRECT("'" &amp; AG$16 &amp; "'!$B$18:$BC$18"), INDIRECT("'" &amp; AG$16 &amp; "'!$B$20:$BC$219"),"XXXXX",0,1),    "XX",    0,    1)</f>
        <v>15</v>
      </c>
      <c r="AH134" s="8" cm="1">
        <f t="array" aca="1" ref="AH134" ca="1">_xlfn.XLOOKUP($A134,    INDIRECT("'" &amp; AH$16 &amp; "'!$A$20:$A$219"),    _xlfn.XLOOKUP(AH$18,INDIRECT("'" &amp; AH$16 &amp; "'!$B$18:$BC$18"), INDIRECT("'" &amp; AH$16 &amp; "'!$B$20:$BC$219"),"XXXXX",0,1),    "XX",    0,    1)</f>
        <v>17</v>
      </c>
      <c r="AI134" s="8" cm="1">
        <f t="array" aca="1" ref="AI134" ca="1">_xlfn.XLOOKUP($A134,    INDIRECT("'" &amp; AI$16 &amp; "'!$A$20:$A$219"),    _xlfn.XLOOKUP(AI$18,INDIRECT("'" &amp; AI$16 &amp; "'!$B$18:$BC$18"), INDIRECT("'" &amp; AI$16 &amp; "'!$B$20:$BC$219"),"XXXXX",0,1),    "XX",    0,    1)</f>
        <v>17</v>
      </c>
      <c r="AJ134" s="8" cm="1">
        <f t="array" aca="1" ref="AJ134" ca="1">_xlfn.XLOOKUP($A134,    INDIRECT("'" &amp; AJ$16 &amp; "'!$A$20:$A$219"),    _xlfn.XLOOKUP(AJ$18,INDIRECT("'" &amp; AJ$16 &amp; "'!$B$18:$BC$18"), INDIRECT("'" &amp; AJ$16 &amp; "'!$B$20:$BC$219"),"XXXXX",0,1),    "XX",    0,    1)</f>
        <v>19</v>
      </c>
      <c r="AK134" s="8" cm="1">
        <f t="array" aca="1" ref="AK134" ca="1">_xlfn.XLOOKUP($A134,    INDIRECT("'" &amp; AK$16 &amp; "'!$A$20:$A$219"),    _xlfn.XLOOKUP(AK$18,INDIRECT("'" &amp; AK$16 &amp; "'!$B$18:$BC$18"), INDIRECT("'" &amp; AK$16 &amp; "'!$B$20:$BC$219"),"XXXXX",0,1),    "XX",    0,    1)</f>
        <v>19</v>
      </c>
      <c r="AM134" s="16"/>
      <c r="AW134" s="8">
        <v>1</v>
      </c>
      <c r="AX134" s="8">
        <f t="shared" ca="1" si="39"/>
        <v>1.5</v>
      </c>
      <c r="AY134" s="8">
        <f t="shared" ca="1" si="43"/>
        <v>1.5</v>
      </c>
      <c r="AZ134" s="8">
        <f t="shared" ca="1" si="44"/>
        <v>1.7</v>
      </c>
      <c r="BA134" s="8">
        <f t="shared" ca="1" si="45"/>
        <v>1.7</v>
      </c>
      <c r="BB134" s="8">
        <f t="shared" ca="1" si="46"/>
        <v>1.9</v>
      </c>
      <c r="BC134" s="8">
        <f t="shared" ca="1" si="47"/>
        <v>1.9</v>
      </c>
      <c r="BE134" s="8">
        <f t="shared" ca="1" si="40"/>
        <v>0</v>
      </c>
      <c r="BF134" s="8">
        <f t="shared" ca="1" si="41"/>
        <v>0</v>
      </c>
      <c r="BG134" s="8">
        <f t="shared" ca="1" si="42"/>
        <v>0</v>
      </c>
    </row>
    <row r="135" spans="1:59" x14ac:dyDescent="0.2">
      <c r="A135" s="8" t="s">
        <v>68</v>
      </c>
      <c r="B135" s="8" t="s">
        <v>269</v>
      </c>
      <c r="C135" s="8">
        <v>-34.799999999999997</v>
      </c>
      <c r="D135" s="8">
        <v>476744.5</v>
      </c>
      <c r="E135" s="8">
        <v>5962385</v>
      </c>
      <c r="F135" s="8">
        <v>0</v>
      </c>
      <c r="G135" s="8">
        <v>-0.6</v>
      </c>
      <c r="H135" s="8">
        <v>0</v>
      </c>
      <c r="I135" s="8">
        <v>2</v>
      </c>
      <c r="J135" s="8">
        <v>0</v>
      </c>
      <c r="K135" s="8">
        <v>-64</v>
      </c>
      <c r="L135" s="8">
        <v>29.2</v>
      </c>
      <c r="M135" s="8">
        <v>1608.41</v>
      </c>
      <c r="N135" s="8">
        <v>89.4</v>
      </c>
      <c r="O135" s="8">
        <v>8</v>
      </c>
      <c r="P135" s="8">
        <v>10</v>
      </c>
      <c r="Q135" s="8">
        <v>2.86</v>
      </c>
      <c r="R135" s="8">
        <v>68</v>
      </c>
      <c r="S135" s="8">
        <v>110</v>
      </c>
      <c r="T135" s="3">
        <v>147</v>
      </c>
      <c r="U135" s="8">
        <v>1357.972</v>
      </c>
      <c r="V135" s="8">
        <v>515.34699999999998</v>
      </c>
      <c r="W135" s="8">
        <v>752.85199999999998</v>
      </c>
      <c r="X135" s="8">
        <v>132.18100000000001</v>
      </c>
      <c r="Y135" s="8">
        <v>4.9400000000000004</v>
      </c>
      <c r="Z135" s="8">
        <v>8.0150000000000006</v>
      </c>
      <c r="AA135" s="8">
        <v>21.7</v>
      </c>
      <c r="AB135" s="8">
        <v>290.5</v>
      </c>
      <c r="AC135" s="8">
        <v>12548</v>
      </c>
      <c r="AD135" s="8">
        <v>3174</v>
      </c>
      <c r="AE135" s="8">
        <v>268</v>
      </c>
      <c r="AF135" s="8" cm="1">
        <f t="array" aca="1" ref="AF135" ca="1">_xlfn.XLOOKUP($A135,    INDIRECT("'" &amp; AF$16 &amp; "'!$A$20:$A$219"),    _xlfn.XLOOKUP(AF$18,INDIRECT("'" &amp; AF$16 &amp; "'!$B$18:$BC$18"), INDIRECT("'" &amp; AF$16 &amp; "'!$B$20:$BC$219"),"XXXXX",0,1),    "XX",    0,    1)</f>
        <v>15</v>
      </c>
      <c r="AG135" s="8" cm="1">
        <f t="array" aca="1" ref="AG135" ca="1">_xlfn.XLOOKUP($A135,    INDIRECT("'" &amp; AG$16 &amp; "'!$A$20:$A$219"),    _xlfn.XLOOKUP(AG$18,INDIRECT("'" &amp; AG$16 &amp; "'!$B$18:$BC$18"), INDIRECT("'" &amp; AG$16 &amp; "'!$B$20:$BC$219"),"XXXXX",0,1),    "XX",    0,    1)</f>
        <v>15</v>
      </c>
      <c r="AH135" s="8" cm="1">
        <f t="array" aca="1" ref="AH135" ca="1">_xlfn.XLOOKUP($A135,    INDIRECT("'" &amp; AH$16 &amp; "'!$A$20:$A$219"),    _xlfn.XLOOKUP(AH$18,INDIRECT("'" &amp; AH$16 &amp; "'!$B$18:$BC$18"), INDIRECT("'" &amp; AH$16 &amp; "'!$B$20:$BC$219"),"XXXXX",0,1),    "XX",    0,    1)</f>
        <v>19</v>
      </c>
      <c r="AI135" s="8" cm="1">
        <f t="array" aca="1" ref="AI135" ca="1">_xlfn.XLOOKUP($A135,    INDIRECT("'" &amp; AI$16 &amp; "'!$A$20:$A$219"),    _xlfn.XLOOKUP(AI$18,INDIRECT("'" &amp; AI$16 &amp; "'!$B$18:$BC$18"), INDIRECT("'" &amp; AI$16 &amp; "'!$B$20:$BC$219"),"XXXXX",0,1),    "XX",    0,    1)</f>
        <v>19</v>
      </c>
      <c r="AJ135" s="8" cm="1">
        <f t="array" aca="1" ref="AJ135" ca="1">_xlfn.XLOOKUP($A135,    INDIRECT("'" &amp; AJ$16 &amp; "'!$A$20:$A$219"),    _xlfn.XLOOKUP(AJ$18,INDIRECT("'" &amp; AJ$16 &amp; "'!$B$18:$BC$18"), INDIRECT("'" &amp; AJ$16 &amp; "'!$B$20:$BC$219"),"XXXXX",0,1),    "XX",    0,    1)</f>
        <v>19</v>
      </c>
      <c r="AK135" s="8" cm="1">
        <f t="array" aca="1" ref="AK135" ca="1">_xlfn.XLOOKUP($A135,    INDIRECT("'" &amp; AK$16 &amp; "'!$A$20:$A$219"),    _xlfn.XLOOKUP(AK$18,INDIRECT("'" &amp; AK$16 &amp; "'!$B$18:$BC$18"), INDIRECT("'" &amp; AK$16 &amp; "'!$B$20:$BC$219"),"XXXXX",0,1),    "XX",    0,    1)</f>
        <v>19</v>
      </c>
      <c r="AM135" s="16"/>
      <c r="AW135" s="8">
        <v>1</v>
      </c>
      <c r="AX135" s="8">
        <f t="shared" ca="1" si="39"/>
        <v>1.5</v>
      </c>
      <c r="AY135" s="8">
        <f t="shared" ca="1" si="43"/>
        <v>1.5</v>
      </c>
      <c r="AZ135" s="8">
        <f t="shared" ca="1" si="44"/>
        <v>1.9</v>
      </c>
      <c r="BA135" s="8">
        <f t="shared" ca="1" si="45"/>
        <v>1.9</v>
      </c>
      <c r="BB135" s="8">
        <f t="shared" ca="1" si="46"/>
        <v>1.9</v>
      </c>
      <c r="BC135" s="8">
        <f t="shared" ca="1" si="47"/>
        <v>1.9</v>
      </c>
      <c r="BE135" s="8">
        <f t="shared" ca="1" si="40"/>
        <v>0</v>
      </c>
      <c r="BF135" s="8">
        <f t="shared" ca="1" si="41"/>
        <v>0</v>
      </c>
      <c r="BG135" s="8">
        <f t="shared" ca="1" si="42"/>
        <v>0</v>
      </c>
    </row>
    <row r="136" spans="1:59" x14ac:dyDescent="0.2">
      <c r="A136" s="8" t="s">
        <v>67</v>
      </c>
      <c r="B136" s="8" t="s">
        <v>272</v>
      </c>
      <c r="C136" s="8">
        <v>-35.799999999999997</v>
      </c>
      <c r="D136" s="8">
        <v>475454.1</v>
      </c>
      <c r="E136" s="8">
        <v>5967738</v>
      </c>
      <c r="F136" s="8">
        <v>0</v>
      </c>
      <c r="G136" s="8">
        <v>-0.7</v>
      </c>
      <c r="H136" s="8">
        <v>0</v>
      </c>
      <c r="I136" s="8">
        <v>2</v>
      </c>
      <c r="J136" s="8">
        <v>0</v>
      </c>
      <c r="K136" s="8">
        <v>-64.2</v>
      </c>
      <c r="L136" s="8">
        <v>28.4</v>
      </c>
      <c r="M136" s="8">
        <v>1632.4860000000001</v>
      </c>
      <c r="N136" s="8">
        <v>89.6</v>
      </c>
      <c r="O136" s="8">
        <v>8</v>
      </c>
      <c r="P136" s="8">
        <v>10</v>
      </c>
      <c r="Q136" s="8">
        <v>2.77</v>
      </c>
      <c r="R136" s="8">
        <v>68</v>
      </c>
      <c r="S136" s="8">
        <v>110</v>
      </c>
      <c r="T136" s="3">
        <v>147</v>
      </c>
      <c r="U136" s="8">
        <v>1357.8340000000001</v>
      </c>
      <c r="V136" s="8">
        <v>452.94200000000001</v>
      </c>
      <c r="W136" s="8">
        <v>752.85199999999998</v>
      </c>
      <c r="X136" s="8">
        <v>132.18100000000001</v>
      </c>
      <c r="Y136" s="8">
        <v>4.9400000000000004</v>
      </c>
      <c r="Z136" s="8">
        <v>8.0150000000000006</v>
      </c>
      <c r="AA136" s="8">
        <v>21.7</v>
      </c>
      <c r="AB136" s="8">
        <v>290.5</v>
      </c>
      <c r="AC136" s="8">
        <v>12560</v>
      </c>
      <c r="AD136" s="8">
        <v>3236</v>
      </c>
      <c r="AE136" s="8">
        <v>268</v>
      </c>
      <c r="AF136" s="8" cm="1">
        <f t="array" aca="1" ref="AF136" ca="1">_xlfn.XLOOKUP($A136,    INDIRECT("'" &amp; AF$16 &amp; "'!$A$20:$A$219"),    _xlfn.XLOOKUP(AF$18,INDIRECT("'" &amp; AF$16 &amp; "'!$B$18:$BC$18"), INDIRECT("'" &amp; AF$16 &amp; "'!$B$20:$BC$219"),"XXXXX",0,1),    "XX",    0,    1)</f>
        <v>15</v>
      </c>
      <c r="AG136" s="8" cm="1">
        <f t="array" aca="1" ref="AG136" ca="1">_xlfn.XLOOKUP($A136,    INDIRECT("'" &amp; AG$16 &amp; "'!$A$20:$A$219"),    _xlfn.XLOOKUP(AG$18,INDIRECT("'" &amp; AG$16 &amp; "'!$B$18:$BC$18"), INDIRECT("'" &amp; AG$16 &amp; "'!$B$20:$BC$219"),"XXXXX",0,1),    "XX",    0,    1)</f>
        <v>15</v>
      </c>
      <c r="AH136" s="8" cm="1">
        <f t="array" aca="1" ref="AH136" ca="1">_xlfn.XLOOKUP($A136,    INDIRECT("'" &amp; AH$16 &amp; "'!$A$20:$A$219"),    _xlfn.XLOOKUP(AH$18,INDIRECT("'" &amp; AH$16 &amp; "'!$B$18:$BC$18"), INDIRECT("'" &amp; AH$16 &amp; "'!$B$20:$BC$219"),"XXXXX",0,1),    "XX",    0,    1)</f>
        <v>17</v>
      </c>
      <c r="AI136" s="8" cm="1">
        <f t="array" aca="1" ref="AI136" ca="1">_xlfn.XLOOKUP($A136,    INDIRECT("'" &amp; AI$16 &amp; "'!$A$20:$A$219"),    _xlfn.XLOOKUP(AI$18,INDIRECT("'" &amp; AI$16 &amp; "'!$B$18:$BC$18"), INDIRECT("'" &amp; AI$16 &amp; "'!$B$20:$BC$219"),"XXXXX",0,1),    "XX",    0,    1)</f>
        <v>17</v>
      </c>
      <c r="AJ136" s="8" cm="1">
        <f t="array" aca="1" ref="AJ136" ca="1">_xlfn.XLOOKUP($A136,    INDIRECT("'" &amp; AJ$16 &amp; "'!$A$20:$A$219"),    _xlfn.XLOOKUP(AJ$18,INDIRECT("'" &amp; AJ$16 &amp; "'!$B$18:$BC$18"), INDIRECT("'" &amp; AJ$16 &amp; "'!$B$20:$BC$219"),"XXXXX",0,1),    "XX",    0,    1)</f>
        <v>19</v>
      </c>
      <c r="AK136" s="8" cm="1">
        <f t="array" aca="1" ref="AK136" ca="1">_xlfn.XLOOKUP($A136,    INDIRECT("'" &amp; AK$16 &amp; "'!$A$20:$A$219"),    _xlfn.XLOOKUP(AK$18,INDIRECT("'" &amp; AK$16 &amp; "'!$B$18:$BC$18"), INDIRECT("'" &amp; AK$16 &amp; "'!$B$20:$BC$219"),"XXXXX",0,1),    "XX",    0,    1)</f>
        <v>19</v>
      </c>
      <c r="AM136" s="16"/>
      <c r="AW136" s="8">
        <v>1</v>
      </c>
      <c r="AX136" s="8">
        <f t="shared" ca="1" si="39"/>
        <v>1.5</v>
      </c>
      <c r="AY136" s="8">
        <f t="shared" ca="1" si="43"/>
        <v>1.5</v>
      </c>
      <c r="AZ136" s="8">
        <f t="shared" ca="1" si="44"/>
        <v>1.7</v>
      </c>
      <c r="BA136" s="8">
        <f t="shared" ca="1" si="45"/>
        <v>1.7</v>
      </c>
      <c r="BB136" s="8">
        <f t="shared" ca="1" si="46"/>
        <v>1.9</v>
      </c>
      <c r="BC136" s="8">
        <f t="shared" ca="1" si="47"/>
        <v>1.9</v>
      </c>
      <c r="BE136" s="8">
        <f t="shared" ca="1" si="40"/>
        <v>0</v>
      </c>
      <c r="BF136" s="8">
        <f t="shared" ca="1" si="41"/>
        <v>0</v>
      </c>
      <c r="BG136" s="8">
        <f t="shared" ca="1" si="42"/>
        <v>0</v>
      </c>
    </row>
    <row r="137" spans="1:59" x14ac:dyDescent="0.2">
      <c r="A137" s="8" t="s">
        <v>135</v>
      </c>
      <c r="B137" s="8" t="s">
        <v>265</v>
      </c>
      <c r="C137" s="8">
        <v>-28.6</v>
      </c>
      <c r="D137" s="8">
        <v>476026.4</v>
      </c>
      <c r="E137" s="8">
        <v>5970012</v>
      </c>
      <c r="F137" s="8">
        <v>0</v>
      </c>
      <c r="G137" s="8">
        <v>-0.6</v>
      </c>
      <c r="H137" s="8">
        <v>0</v>
      </c>
      <c r="I137" s="8">
        <v>2</v>
      </c>
      <c r="J137" s="8">
        <v>0</v>
      </c>
      <c r="K137" s="8">
        <v>-60.6</v>
      </c>
      <c r="L137" s="8">
        <v>32</v>
      </c>
      <c r="M137" s="8">
        <v>1461.6379999999999</v>
      </c>
      <c r="N137" s="8">
        <v>86</v>
      </c>
      <c r="O137" s="8">
        <v>8</v>
      </c>
      <c r="P137" s="8">
        <v>10</v>
      </c>
      <c r="Q137" s="8">
        <v>3.14</v>
      </c>
      <c r="R137" s="8">
        <v>64</v>
      </c>
      <c r="S137" s="8">
        <v>110</v>
      </c>
      <c r="T137" s="3">
        <v>147</v>
      </c>
      <c r="U137" s="8">
        <v>1296.1959999999999</v>
      </c>
      <c r="V137" s="8">
        <v>430.87599999999998</v>
      </c>
      <c r="W137" s="8">
        <v>752.85199999999998</v>
      </c>
      <c r="X137" s="8">
        <v>132.18100000000001</v>
      </c>
      <c r="Y137" s="8">
        <v>4.9400000000000004</v>
      </c>
      <c r="Z137" s="8">
        <v>8.0150000000000006</v>
      </c>
      <c r="AA137" s="8">
        <v>21.7</v>
      </c>
      <c r="AB137" s="8">
        <v>290.5</v>
      </c>
      <c r="AC137" s="8">
        <v>12339</v>
      </c>
      <c r="AD137" s="8">
        <v>2789</v>
      </c>
      <c r="AE137" s="8">
        <v>268</v>
      </c>
      <c r="AF137" s="8" cm="1">
        <f t="array" aca="1" ref="AF137" ca="1">_xlfn.XLOOKUP($A137,    INDIRECT("'" &amp; AF$16 &amp; "'!$A$20:$A$219"),    _xlfn.XLOOKUP(AF$18,INDIRECT("'" &amp; AF$16 &amp; "'!$B$18:$BC$18"), INDIRECT("'" &amp; AF$16 &amp; "'!$B$20:$BC$219"),"XXXXX",0,1),    "XX",    0,    1)</f>
        <v>17</v>
      </c>
      <c r="AG137" s="8" cm="1">
        <f t="array" aca="1" ref="AG137" ca="1">_xlfn.XLOOKUP($A137,    INDIRECT("'" &amp; AG$16 &amp; "'!$A$20:$A$219"),    _xlfn.XLOOKUP(AG$18,INDIRECT("'" &amp; AG$16 &amp; "'!$B$18:$BC$18"), INDIRECT("'" &amp; AG$16 &amp; "'!$B$20:$BC$219"),"XXXXX",0,1),    "XX",    0,    1)</f>
        <v>17</v>
      </c>
      <c r="AH137" s="8" cm="1">
        <f t="array" aca="1" ref="AH137" ca="1">_xlfn.XLOOKUP($A137,    INDIRECT("'" &amp; AH$16 &amp; "'!$A$20:$A$219"),    _xlfn.XLOOKUP(AH$18,INDIRECT("'" &amp; AH$16 &amp; "'!$B$18:$BC$18"), INDIRECT("'" &amp; AH$16 &amp; "'!$B$20:$BC$219"),"XXXXX",0,1),    "XX",    0,    1)</f>
        <v>21</v>
      </c>
      <c r="AI137" s="8" cm="1">
        <f t="array" aca="1" ref="AI137" ca="1">_xlfn.XLOOKUP($A137,    INDIRECT("'" &amp; AI$16 &amp; "'!$A$20:$A$219"),    _xlfn.XLOOKUP(AI$18,INDIRECT("'" &amp; AI$16 &amp; "'!$B$18:$BC$18"), INDIRECT("'" &amp; AI$16 &amp; "'!$B$20:$BC$219"),"XXXXX",0,1),    "XX",    0,    1)</f>
        <v>21</v>
      </c>
      <c r="AJ137" s="8" cm="1">
        <f t="array" aca="1" ref="AJ137" ca="1">_xlfn.XLOOKUP($A137,    INDIRECT("'" &amp; AJ$16 &amp; "'!$A$20:$A$219"),    _xlfn.XLOOKUP(AJ$18,INDIRECT("'" &amp; AJ$16 &amp; "'!$B$18:$BC$18"), INDIRECT("'" &amp; AJ$16 &amp; "'!$B$20:$BC$219"),"XXXXX",0,1),    "XX",    0,    1)</f>
        <v>23</v>
      </c>
      <c r="AK137" s="8" cm="1">
        <f t="array" aca="1" ref="AK137" ca="1">_xlfn.XLOOKUP($A137,    INDIRECT("'" &amp; AK$16 &amp; "'!$A$20:$A$219"),    _xlfn.XLOOKUP(AK$18,INDIRECT("'" &amp; AK$16 &amp; "'!$B$18:$BC$18"), INDIRECT("'" &amp; AK$16 &amp; "'!$B$20:$BC$219"),"XXXXX",0,1),    "XX",    0,    1)</f>
        <v>23</v>
      </c>
      <c r="AM137" s="16"/>
      <c r="AW137" s="8">
        <v>1</v>
      </c>
      <c r="AX137" s="8">
        <f t="shared" ca="1" si="39"/>
        <v>1.7</v>
      </c>
      <c r="AY137" s="8">
        <f t="shared" ca="1" si="43"/>
        <v>1.7</v>
      </c>
      <c r="AZ137" s="8">
        <f t="shared" ca="1" si="44"/>
        <v>2.1</v>
      </c>
      <c r="BA137" s="8">
        <f t="shared" ca="1" si="45"/>
        <v>2.1</v>
      </c>
      <c r="BB137" s="8">
        <f t="shared" ca="1" si="46"/>
        <v>2.2999999999999998</v>
      </c>
      <c r="BC137" s="8">
        <f t="shared" ca="1" si="47"/>
        <v>2.2999999999999998</v>
      </c>
      <c r="BE137" s="8">
        <f t="shared" ca="1" si="40"/>
        <v>0</v>
      </c>
      <c r="BF137" s="8">
        <f t="shared" ca="1" si="41"/>
        <v>0</v>
      </c>
      <c r="BG137" s="8">
        <f t="shared" ca="1" si="42"/>
        <v>0</v>
      </c>
    </row>
    <row r="138" spans="1:59" x14ac:dyDescent="0.2">
      <c r="A138" s="8" t="s">
        <v>190</v>
      </c>
      <c r="B138" s="8" t="s">
        <v>271</v>
      </c>
      <c r="C138" s="8">
        <v>-49.9</v>
      </c>
      <c r="D138" s="8">
        <v>475796</v>
      </c>
      <c r="E138" s="8">
        <v>5973477</v>
      </c>
      <c r="F138" s="8">
        <v>0</v>
      </c>
      <c r="G138" s="8">
        <v>-0.6</v>
      </c>
      <c r="H138" s="8">
        <v>0</v>
      </c>
      <c r="I138" s="8">
        <v>2</v>
      </c>
      <c r="J138" s="8">
        <v>0</v>
      </c>
      <c r="K138" s="8">
        <v>-79</v>
      </c>
      <c r="L138" s="8">
        <v>29.1</v>
      </c>
      <c r="M138" s="8">
        <v>2354.1260000000002</v>
      </c>
      <c r="N138" s="8">
        <v>104.4</v>
      </c>
      <c r="O138" s="8">
        <v>8</v>
      </c>
      <c r="P138" s="8">
        <v>11</v>
      </c>
      <c r="Q138" s="8">
        <v>2.5909</v>
      </c>
      <c r="R138" s="8">
        <v>70</v>
      </c>
      <c r="S138" s="8">
        <v>117</v>
      </c>
      <c r="T138" s="3">
        <v>149</v>
      </c>
      <c r="U138" s="8">
        <v>1711.1120000000001</v>
      </c>
      <c r="V138" s="8">
        <v>361.44</v>
      </c>
      <c r="W138" s="8">
        <v>752.85199999999998</v>
      </c>
      <c r="X138" s="8">
        <v>132.18100000000001</v>
      </c>
      <c r="Y138" s="8">
        <v>4.9400000000000004</v>
      </c>
      <c r="Z138" s="8">
        <v>8.0150000000000006</v>
      </c>
      <c r="AA138" s="8">
        <v>21.7</v>
      </c>
      <c r="AB138" s="8">
        <v>290.5</v>
      </c>
      <c r="AC138" s="8">
        <v>13842</v>
      </c>
      <c r="AD138" s="8">
        <v>4311</v>
      </c>
      <c r="AE138" s="8">
        <v>268</v>
      </c>
      <c r="AF138" s="8" cm="1">
        <f t="array" aca="1" ref="AF138" ca="1">_xlfn.XLOOKUP($A138,    INDIRECT("'" &amp; AF$16 &amp; "'!$A$20:$A$219"),    _xlfn.XLOOKUP(AF$18,INDIRECT("'" &amp; AF$16 &amp; "'!$B$18:$BC$18"), INDIRECT("'" &amp; AF$16 &amp; "'!$B$20:$BC$219"),"XXXXX",0,1),    "XX",    0,    1)</f>
        <v>15</v>
      </c>
      <c r="AG138" s="8" cm="1">
        <f t="array" aca="1" ref="AG138" ca="1">_xlfn.XLOOKUP($A138,    INDIRECT("'" &amp; AG$16 &amp; "'!$A$20:$A$219"),    _xlfn.XLOOKUP(AG$18,INDIRECT("'" &amp; AG$16 &amp; "'!$B$18:$BC$18"), INDIRECT("'" &amp; AG$16 &amp; "'!$B$20:$BC$219"),"XXXXX",0,1),    "XX",    0,    1)</f>
        <v>15</v>
      </c>
      <c r="AH138" s="8" cm="1">
        <f t="array" aca="1" ref="AH138" ca="1">_xlfn.XLOOKUP($A138,    INDIRECT("'" &amp; AH$16 &amp; "'!$A$20:$A$219"),    _xlfn.XLOOKUP(AH$18,INDIRECT("'" &amp; AH$16 &amp; "'!$B$18:$BC$18"), INDIRECT("'" &amp; AH$16 &amp; "'!$B$20:$BC$219"),"XXXXX",0,1),    "XX",    0,    1)</f>
        <v>19</v>
      </c>
      <c r="AI138" s="8" cm="1">
        <f t="array" aca="1" ref="AI138" ca="1">_xlfn.XLOOKUP($A138,    INDIRECT("'" &amp; AI$16 &amp; "'!$A$20:$A$219"),    _xlfn.XLOOKUP(AI$18,INDIRECT("'" &amp; AI$16 &amp; "'!$B$18:$BC$18"), INDIRECT("'" &amp; AI$16 &amp; "'!$B$20:$BC$219"),"XXXXX",0,1),    "XX",    0,    1)</f>
        <v>19</v>
      </c>
      <c r="AJ138" s="8" cm="1">
        <f t="array" aca="1" ref="AJ138" ca="1">_xlfn.XLOOKUP($A138,    INDIRECT("'" &amp; AJ$16 &amp; "'!$A$20:$A$219"),    _xlfn.XLOOKUP(AJ$18,INDIRECT("'" &amp; AJ$16 &amp; "'!$B$18:$BC$18"), INDIRECT("'" &amp; AJ$16 &amp; "'!$B$20:$BC$219"),"XXXXX",0,1),    "XX",    0,    1)</f>
        <v>19</v>
      </c>
      <c r="AK138" s="8" cm="1">
        <f t="array" aca="1" ref="AK138" ca="1">_xlfn.XLOOKUP($A138,    INDIRECT("'" &amp; AK$16 &amp; "'!$A$20:$A$219"),    _xlfn.XLOOKUP(AK$18,INDIRECT("'" &amp; AK$16 &amp; "'!$B$18:$BC$18"), INDIRECT("'" &amp; AK$16 &amp; "'!$B$20:$BC$219"),"XXXXX",0,1),    "XX",    0,    1)</f>
        <v>19</v>
      </c>
      <c r="AM138" s="16"/>
      <c r="AW138" s="8">
        <v>1</v>
      </c>
      <c r="AX138" s="8">
        <f t="shared" ca="1" si="39"/>
        <v>1.3636363636363635</v>
      </c>
      <c r="AY138" s="8">
        <f t="shared" ca="1" si="43"/>
        <v>1.3636363636363635</v>
      </c>
      <c r="AZ138" s="8">
        <f t="shared" ca="1" si="44"/>
        <v>1.7272727272727273</v>
      </c>
      <c r="BA138" s="8">
        <f t="shared" ca="1" si="45"/>
        <v>1.7272727272727273</v>
      </c>
      <c r="BB138" s="8">
        <f t="shared" ca="1" si="46"/>
        <v>1.7272727272727273</v>
      </c>
      <c r="BC138" s="8">
        <f t="shared" ca="1" si="47"/>
        <v>1.7272727272727273</v>
      </c>
      <c r="BE138" s="8">
        <f t="shared" ca="1" si="40"/>
        <v>0</v>
      </c>
      <c r="BF138" s="8">
        <f t="shared" ca="1" si="41"/>
        <v>0</v>
      </c>
      <c r="BG138" s="8">
        <f t="shared" ca="1" si="42"/>
        <v>0</v>
      </c>
    </row>
    <row r="139" spans="1:59" x14ac:dyDescent="0.2">
      <c r="A139" s="8" t="s">
        <v>99</v>
      </c>
      <c r="B139" s="8" t="s">
        <v>265</v>
      </c>
      <c r="C139" s="8">
        <v>-37.1</v>
      </c>
      <c r="D139" s="8">
        <v>453203</v>
      </c>
      <c r="E139" s="8">
        <v>5973772.4000000004</v>
      </c>
      <c r="F139" s="8">
        <v>0</v>
      </c>
      <c r="G139" s="8">
        <v>-0.7</v>
      </c>
      <c r="H139" s="8">
        <v>0</v>
      </c>
      <c r="I139" s="8">
        <v>2</v>
      </c>
      <c r="J139" s="8">
        <v>0</v>
      </c>
      <c r="K139" s="8">
        <v>-62</v>
      </c>
      <c r="L139" s="8">
        <v>24.9</v>
      </c>
      <c r="M139" s="8">
        <v>1600.0519999999999</v>
      </c>
      <c r="N139" s="8">
        <v>87.4</v>
      </c>
      <c r="O139" s="8">
        <v>8</v>
      </c>
      <c r="P139" s="8">
        <v>10</v>
      </c>
      <c r="Q139" s="8">
        <v>2.42</v>
      </c>
      <c r="R139" s="8">
        <v>68</v>
      </c>
      <c r="S139" s="8">
        <v>110</v>
      </c>
      <c r="T139" s="3">
        <v>147</v>
      </c>
      <c r="U139" s="8">
        <v>1295.4290000000001</v>
      </c>
      <c r="V139" s="8">
        <v>458.73500000000001</v>
      </c>
      <c r="W139" s="8">
        <v>752.85199999999998</v>
      </c>
      <c r="X139" s="8">
        <v>132.18100000000001</v>
      </c>
      <c r="Y139" s="8">
        <v>4.9400000000000004</v>
      </c>
      <c r="Z139" s="8">
        <v>8.0150000000000006</v>
      </c>
      <c r="AA139" s="8">
        <v>21.7</v>
      </c>
      <c r="AB139" s="8">
        <v>290.5</v>
      </c>
      <c r="AC139" s="8">
        <v>12423</v>
      </c>
      <c r="AD139" s="8">
        <v>3317</v>
      </c>
      <c r="AE139" s="8">
        <v>268</v>
      </c>
      <c r="AF139" s="8" cm="1">
        <f t="array" aca="1" ref="AF139" ca="1">_xlfn.XLOOKUP($A139,    INDIRECT("'" &amp; AF$16 &amp; "'!$A$20:$A$219"),    _xlfn.XLOOKUP(AF$18,INDIRECT("'" &amp; AF$16 &amp; "'!$B$18:$BC$18"), INDIRECT("'" &amp; AF$16 &amp; "'!$B$20:$BC$219"),"XXXXX",0,1),    "XX",    0,    1)</f>
        <v>15</v>
      </c>
      <c r="AG139" s="8" cm="1">
        <f t="array" aca="1" ref="AG139" ca="1">_xlfn.XLOOKUP($A139,    INDIRECT("'" &amp; AG$16 &amp; "'!$A$20:$A$219"),    _xlfn.XLOOKUP(AG$18,INDIRECT("'" &amp; AG$16 &amp; "'!$B$18:$BC$18"), INDIRECT("'" &amp; AG$16 &amp; "'!$B$20:$BC$219"),"XXXXX",0,1),    "XX",    0,    1)</f>
        <v>15</v>
      </c>
      <c r="AH139" s="8" cm="1">
        <f t="array" aca="1" ref="AH139" ca="1">_xlfn.XLOOKUP($A139,    INDIRECT("'" &amp; AH$16 &amp; "'!$A$20:$A$219"),    _xlfn.XLOOKUP(AH$18,INDIRECT("'" &amp; AH$16 &amp; "'!$B$18:$BC$18"), INDIRECT("'" &amp; AH$16 &amp; "'!$B$20:$BC$219"),"XXXXX",0,1),    "XX",    0,    1)</f>
        <v>15</v>
      </c>
      <c r="AI139" s="8" cm="1">
        <f t="array" aca="1" ref="AI139" ca="1">_xlfn.XLOOKUP($A139,    INDIRECT("'" &amp; AI$16 &amp; "'!$A$20:$A$219"),    _xlfn.XLOOKUP(AI$18,INDIRECT("'" &amp; AI$16 &amp; "'!$B$18:$BC$18"), INDIRECT("'" &amp; AI$16 &amp; "'!$B$20:$BC$219"),"XXXXX",0,1),    "XX",    0,    1)</f>
        <v>15</v>
      </c>
      <c r="AJ139" s="8" cm="1">
        <f t="array" aca="1" ref="AJ139" ca="1">_xlfn.XLOOKUP($A139,    INDIRECT("'" &amp; AJ$16 &amp; "'!$A$20:$A$219"),    _xlfn.XLOOKUP(AJ$18,INDIRECT("'" &amp; AJ$16 &amp; "'!$B$18:$BC$18"), INDIRECT("'" &amp; AJ$16 &amp; "'!$B$20:$BC$219"),"XXXXX",0,1),    "XX",    0,    1)</f>
        <v>15</v>
      </c>
      <c r="AK139" s="8" cm="1">
        <f t="array" aca="1" ref="AK139" ca="1">_xlfn.XLOOKUP($A139,    INDIRECT("'" &amp; AK$16 &amp; "'!$A$20:$A$219"),    _xlfn.XLOOKUP(AK$18,INDIRECT("'" &amp; AK$16 &amp; "'!$B$18:$BC$18"), INDIRECT("'" &amp; AK$16 &amp; "'!$B$20:$BC$219"),"XXXXX",0,1),    "XX",    0,    1)</f>
        <v>15</v>
      </c>
      <c r="AM139" s="16"/>
      <c r="AW139" s="8">
        <v>1</v>
      </c>
      <c r="AX139" s="8">
        <f t="shared" ca="1" si="39"/>
        <v>1.5</v>
      </c>
      <c r="AY139" s="8">
        <f t="shared" ca="1" si="43"/>
        <v>1.5</v>
      </c>
      <c r="AZ139" s="8">
        <f t="shared" ca="1" si="44"/>
        <v>1.5</v>
      </c>
      <c r="BA139" s="8">
        <f t="shared" ca="1" si="45"/>
        <v>1.5</v>
      </c>
      <c r="BB139" s="8">
        <f t="shared" ca="1" si="46"/>
        <v>1.5</v>
      </c>
      <c r="BC139" s="8">
        <f t="shared" ca="1" si="47"/>
        <v>1.5</v>
      </c>
      <c r="BE139" s="8">
        <f t="shared" ca="1" si="40"/>
        <v>0</v>
      </c>
      <c r="BF139" s="8">
        <f t="shared" ca="1" si="41"/>
        <v>0</v>
      </c>
      <c r="BG139" s="8">
        <f t="shared" ca="1" si="42"/>
        <v>0</v>
      </c>
    </row>
    <row r="140" spans="1:59" x14ac:dyDescent="0.2">
      <c r="A140" s="8" t="s">
        <v>34</v>
      </c>
      <c r="B140" s="8" t="s">
        <v>265</v>
      </c>
      <c r="C140" s="8">
        <v>-36.700000000000003</v>
      </c>
      <c r="D140" s="8">
        <v>454659.2</v>
      </c>
      <c r="E140" s="8">
        <v>5974634.2000000002</v>
      </c>
      <c r="F140" s="8">
        <v>0</v>
      </c>
      <c r="G140" s="8">
        <v>-0.6</v>
      </c>
      <c r="H140" s="8">
        <v>0</v>
      </c>
      <c r="I140" s="8">
        <v>2</v>
      </c>
      <c r="J140" s="8">
        <v>0</v>
      </c>
      <c r="K140" s="8">
        <v>-66.400000000000006</v>
      </c>
      <c r="L140" s="8">
        <v>29.7</v>
      </c>
      <c r="M140" s="8">
        <v>1684.078</v>
      </c>
      <c r="N140" s="8">
        <v>91.8</v>
      </c>
      <c r="O140" s="8">
        <v>8</v>
      </c>
      <c r="P140" s="8">
        <v>10</v>
      </c>
      <c r="Q140" s="8">
        <v>2.91</v>
      </c>
      <c r="R140" s="8">
        <v>68</v>
      </c>
      <c r="S140" s="8">
        <v>110</v>
      </c>
      <c r="T140" s="3">
        <v>147</v>
      </c>
      <c r="U140" s="8">
        <v>1357.7840000000001</v>
      </c>
      <c r="V140" s="8">
        <v>427.83499999999998</v>
      </c>
      <c r="W140" s="8">
        <v>752.85199999999998</v>
      </c>
      <c r="X140" s="8">
        <v>132.18100000000001</v>
      </c>
      <c r="Y140" s="8">
        <v>4.9400000000000004</v>
      </c>
      <c r="Z140" s="8">
        <v>8.0150000000000006</v>
      </c>
      <c r="AA140" s="8">
        <v>21.7</v>
      </c>
      <c r="AB140" s="8">
        <v>290.5</v>
      </c>
      <c r="AC140" s="8">
        <v>12697</v>
      </c>
      <c r="AD140" s="8">
        <v>3292</v>
      </c>
      <c r="AE140" s="8">
        <v>268</v>
      </c>
      <c r="AF140" s="8" cm="1">
        <f t="array" aca="1" ref="AF140" ca="1">_xlfn.XLOOKUP($A140,    INDIRECT("'" &amp; AF$16 &amp; "'!$A$20:$A$219"),    _xlfn.XLOOKUP(AF$18,INDIRECT("'" &amp; AF$16 &amp; "'!$B$18:$BC$18"), INDIRECT("'" &amp; AF$16 &amp; "'!$B$20:$BC$219"),"XXXXX",0,1),    "XX",    0,    1)</f>
        <v>15</v>
      </c>
      <c r="AG140" s="8" cm="1">
        <f t="array" aca="1" ref="AG140" ca="1">_xlfn.XLOOKUP($A140,    INDIRECT("'" &amp; AG$16 &amp; "'!$A$20:$A$219"),    _xlfn.XLOOKUP(AG$18,INDIRECT("'" &amp; AG$16 &amp; "'!$B$18:$BC$18"), INDIRECT("'" &amp; AG$16 &amp; "'!$B$20:$BC$219"),"XXXXX",0,1),    "XX",    0,    1)</f>
        <v>15</v>
      </c>
      <c r="AH140" s="8" cm="1">
        <f t="array" aca="1" ref="AH140" ca="1">_xlfn.XLOOKUP($A140,    INDIRECT("'" &amp; AH$16 &amp; "'!$A$20:$A$219"),    _xlfn.XLOOKUP(AH$18,INDIRECT("'" &amp; AH$16 &amp; "'!$B$18:$BC$18"), INDIRECT("'" &amp; AH$16 &amp; "'!$B$20:$BC$219"),"XXXXX",0,1),    "XX",    0,    1)</f>
        <v>19</v>
      </c>
      <c r="AI140" s="8" cm="1">
        <f t="array" aca="1" ref="AI140" ca="1">_xlfn.XLOOKUP($A140,    INDIRECT("'" &amp; AI$16 &amp; "'!$A$20:$A$219"),    _xlfn.XLOOKUP(AI$18,INDIRECT("'" &amp; AI$16 &amp; "'!$B$18:$BC$18"), INDIRECT("'" &amp; AI$16 &amp; "'!$B$20:$BC$219"),"XXXXX",0,1),    "XX",    0,    1)</f>
        <v>19</v>
      </c>
      <c r="AJ140" s="8" cm="1">
        <f t="array" aca="1" ref="AJ140" ca="1">_xlfn.XLOOKUP($A140,    INDIRECT("'" &amp; AJ$16 &amp; "'!$A$20:$A$219"),    _xlfn.XLOOKUP(AJ$18,INDIRECT("'" &amp; AJ$16 &amp; "'!$B$18:$BC$18"), INDIRECT("'" &amp; AJ$16 &amp; "'!$B$20:$BC$219"),"XXXXX",0,1),    "XX",    0,    1)</f>
        <v>21</v>
      </c>
      <c r="AK140" s="8" cm="1">
        <f t="array" aca="1" ref="AK140" ca="1">_xlfn.XLOOKUP($A140,    INDIRECT("'" &amp; AK$16 &amp; "'!$A$20:$A$219"),    _xlfn.XLOOKUP(AK$18,INDIRECT("'" &amp; AK$16 &amp; "'!$B$18:$BC$18"), INDIRECT("'" &amp; AK$16 &amp; "'!$B$20:$BC$219"),"XXXXX",0,1),    "XX",    0,    1)</f>
        <v>21</v>
      </c>
      <c r="AM140" s="16"/>
      <c r="AW140" s="8">
        <v>1</v>
      </c>
      <c r="AX140" s="8">
        <f t="shared" ca="1" si="39"/>
        <v>1.5</v>
      </c>
      <c r="AY140" s="8">
        <f t="shared" ca="1" si="43"/>
        <v>1.5</v>
      </c>
      <c r="AZ140" s="8">
        <f t="shared" ca="1" si="44"/>
        <v>1.9</v>
      </c>
      <c r="BA140" s="8">
        <f t="shared" ca="1" si="45"/>
        <v>1.9</v>
      </c>
      <c r="BB140" s="8">
        <f t="shared" ca="1" si="46"/>
        <v>2.1</v>
      </c>
      <c r="BC140" s="8">
        <f t="shared" ca="1" si="47"/>
        <v>2.1</v>
      </c>
      <c r="BE140" s="8">
        <f t="shared" ca="1" si="40"/>
        <v>0</v>
      </c>
      <c r="BF140" s="8">
        <f t="shared" ca="1" si="41"/>
        <v>0</v>
      </c>
      <c r="BG140" s="8">
        <f t="shared" ca="1" si="42"/>
        <v>0</v>
      </c>
    </row>
    <row r="141" spans="1:59" x14ac:dyDescent="0.2">
      <c r="A141" s="8" t="s">
        <v>179</v>
      </c>
      <c r="B141" s="8" t="s">
        <v>265</v>
      </c>
      <c r="C141" s="8">
        <v>-38.1</v>
      </c>
      <c r="D141" s="8">
        <v>457879</v>
      </c>
      <c r="E141" s="8">
        <v>5972650</v>
      </c>
      <c r="F141" s="8">
        <v>0</v>
      </c>
      <c r="G141" s="8">
        <v>-0.6</v>
      </c>
      <c r="H141" s="8">
        <v>0</v>
      </c>
      <c r="I141" s="8">
        <v>2</v>
      </c>
      <c r="J141" s="8">
        <v>0</v>
      </c>
      <c r="K141" s="8">
        <v>-68.5</v>
      </c>
      <c r="L141" s="8">
        <v>30.4</v>
      </c>
      <c r="M141" s="8">
        <v>1751.258</v>
      </c>
      <c r="N141" s="8">
        <v>93.9</v>
      </c>
      <c r="O141" s="8">
        <v>8</v>
      </c>
      <c r="P141" s="8">
        <v>10.5</v>
      </c>
      <c r="Q141" s="8">
        <v>2.8380999999999998</v>
      </c>
      <c r="R141" s="8">
        <v>72</v>
      </c>
      <c r="S141" s="8">
        <v>112</v>
      </c>
      <c r="T141" s="3">
        <v>146</v>
      </c>
      <c r="U141" s="8">
        <v>1406.259</v>
      </c>
      <c r="V141" s="8">
        <v>486.70800000000003</v>
      </c>
      <c r="W141" s="8">
        <v>752.85199999999998</v>
      </c>
      <c r="X141" s="8">
        <v>132.18100000000001</v>
      </c>
      <c r="Y141" s="8">
        <v>4.9400000000000004</v>
      </c>
      <c r="Z141" s="8">
        <v>8.0150000000000006</v>
      </c>
      <c r="AA141" s="8">
        <v>21.7</v>
      </c>
      <c r="AB141" s="8">
        <v>290.5</v>
      </c>
      <c r="AC141" s="8">
        <v>12983</v>
      </c>
      <c r="AD141" s="8">
        <v>3447</v>
      </c>
      <c r="AE141" s="8">
        <v>268</v>
      </c>
      <c r="AF141" s="8" cm="1">
        <f t="array" aca="1" ref="AF141" ca="1">_xlfn.XLOOKUP($A141,    INDIRECT("'" &amp; AF$16 &amp; "'!$A$20:$A$219"),    _xlfn.XLOOKUP(AF$18,INDIRECT("'" &amp; AF$16 &amp; "'!$B$18:$BC$18"), INDIRECT("'" &amp; AF$16 &amp; "'!$B$20:$BC$219"),"XXXXX",0,1),    "XX",    0,    1)</f>
        <v>15</v>
      </c>
      <c r="AG141" s="8" cm="1">
        <f t="array" aca="1" ref="AG141" ca="1">_xlfn.XLOOKUP($A141,    INDIRECT("'" &amp; AG$16 &amp; "'!$A$20:$A$219"),    _xlfn.XLOOKUP(AG$18,INDIRECT("'" &amp; AG$16 &amp; "'!$B$18:$BC$18"), INDIRECT("'" &amp; AG$16 &amp; "'!$B$20:$BC$219"),"XXXXX",0,1),    "XX",    0,    1)</f>
        <v>15</v>
      </c>
      <c r="AH141" s="8" cm="1">
        <f t="array" aca="1" ref="AH141" ca="1">_xlfn.XLOOKUP($A141,    INDIRECT("'" &amp; AH$16 &amp; "'!$A$20:$A$219"),    _xlfn.XLOOKUP(AH$18,INDIRECT("'" &amp; AH$16 &amp; "'!$B$18:$BC$18"), INDIRECT("'" &amp; AH$16 &amp; "'!$B$20:$BC$219"),"XXXXX",0,1),    "XX",    0,    1)</f>
        <v>19</v>
      </c>
      <c r="AI141" s="8" cm="1">
        <f t="array" aca="1" ref="AI141" ca="1">_xlfn.XLOOKUP($A141,    INDIRECT("'" &amp; AI$16 &amp; "'!$A$20:$A$219"),    _xlfn.XLOOKUP(AI$18,INDIRECT("'" &amp; AI$16 &amp; "'!$B$18:$BC$18"), INDIRECT("'" &amp; AI$16 &amp; "'!$B$20:$BC$219"),"XXXXX",0,1),    "XX",    0,    1)</f>
        <v>19</v>
      </c>
      <c r="AJ141" s="8" cm="1">
        <f t="array" aca="1" ref="AJ141" ca="1">_xlfn.XLOOKUP($A141,    INDIRECT("'" &amp; AJ$16 &amp; "'!$A$20:$A$219"),    _xlfn.XLOOKUP(AJ$18,INDIRECT("'" &amp; AJ$16 &amp; "'!$B$18:$BC$18"), INDIRECT("'" &amp; AJ$16 &amp; "'!$B$20:$BC$219"),"XXXXX",0,1),    "XX",    0,    1)</f>
        <v>21</v>
      </c>
      <c r="AK141" s="8" cm="1">
        <f t="array" aca="1" ref="AK141" ca="1">_xlfn.XLOOKUP($A141,    INDIRECT("'" &amp; AK$16 &amp; "'!$A$20:$A$219"),    _xlfn.XLOOKUP(AK$18,INDIRECT("'" &amp; AK$16 &amp; "'!$B$18:$BC$18"), INDIRECT("'" &amp; AK$16 &amp; "'!$B$20:$BC$219"),"XXXXX",0,1),    "XX",    0,    1)</f>
        <v>21</v>
      </c>
      <c r="AM141" s="16"/>
      <c r="AW141" s="8">
        <v>1</v>
      </c>
      <c r="AX141" s="8">
        <f t="shared" ca="1" si="39"/>
        <v>1.4285714285714286</v>
      </c>
      <c r="AY141" s="8">
        <f t="shared" ca="1" si="43"/>
        <v>1.4285714285714286</v>
      </c>
      <c r="AZ141" s="8">
        <f t="shared" ca="1" si="44"/>
        <v>1.8095238095238095</v>
      </c>
      <c r="BA141" s="8">
        <f t="shared" ca="1" si="45"/>
        <v>1.8095238095238095</v>
      </c>
      <c r="BB141" s="8">
        <f t="shared" ca="1" si="46"/>
        <v>2</v>
      </c>
      <c r="BC141" s="8">
        <f t="shared" ca="1" si="47"/>
        <v>2</v>
      </c>
      <c r="BE141" s="8">
        <f t="shared" ca="1" si="40"/>
        <v>0</v>
      </c>
      <c r="BF141" s="8">
        <f t="shared" ca="1" si="41"/>
        <v>0</v>
      </c>
      <c r="BG141" s="8">
        <f t="shared" ca="1" si="42"/>
        <v>0</v>
      </c>
    </row>
    <row r="142" spans="1:59" x14ac:dyDescent="0.2">
      <c r="A142" s="8" t="s">
        <v>41</v>
      </c>
      <c r="B142" s="8" t="s">
        <v>265</v>
      </c>
      <c r="C142" s="8">
        <v>-37.6</v>
      </c>
      <c r="D142" s="8">
        <v>461024.6</v>
      </c>
      <c r="E142" s="8">
        <v>5970908</v>
      </c>
      <c r="F142" s="8">
        <v>0</v>
      </c>
      <c r="G142" s="8">
        <v>-0.6</v>
      </c>
      <c r="H142" s="8">
        <v>0</v>
      </c>
      <c r="I142" s="8">
        <v>2</v>
      </c>
      <c r="J142" s="8">
        <v>0</v>
      </c>
      <c r="K142" s="8">
        <v>-68.099999999999994</v>
      </c>
      <c r="L142" s="8">
        <v>30.5</v>
      </c>
      <c r="M142" s="8">
        <v>1729.912</v>
      </c>
      <c r="N142" s="8">
        <v>93.5</v>
      </c>
      <c r="O142" s="8">
        <v>8</v>
      </c>
      <c r="P142" s="8">
        <v>10</v>
      </c>
      <c r="Q142" s="8">
        <v>2.99</v>
      </c>
      <c r="R142" s="8">
        <v>68</v>
      </c>
      <c r="S142" s="8">
        <v>110</v>
      </c>
      <c r="T142" s="3">
        <v>147</v>
      </c>
      <c r="U142" s="8">
        <v>1420.069</v>
      </c>
      <c r="V142" s="8">
        <v>483.84300000000002</v>
      </c>
      <c r="W142" s="8">
        <v>752.85199999999998</v>
      </c>
      <c r="X142" s="8">
        <v>132.18100000000001</v>
      </c>
      <c r="Y142" s="8">
        <v>4.9400000000000004</v>
      </c>
      <c r="Z142" s="8">
        <v>8.0150000000000006</v>
      </c>
      <c r="AA142" s="8">
        <v>21.7</v>
      </c>
      <c r="AB142" s="8">
        <v>290.5</v>
      </c>
      <c r="AC142" s="8">
        <v>12803</v>
      </c>
      <c r="AD142" s="8">
        <v>3347</v>
      </c>
      <c r="AE142" s="8">
        <v>268</v>
      </c>
      <c r="AF142" s="8" cm="1">
        <f t="array" aca="1" ref="AF142" ca="1">_xlfn.XLOOKUP($A142,    INDIRECT("'" &amp; AF$16 &amp; "'!$A$20:$A$219"),    _xlfn.XLOOKUP(AF$18,INDIRECT("'" &amp; AF$16 &amp; "'!$B$18:$BC$18"), INDIRECT("'" &amp; AF$16 &amp; "'!$B$20:$BC$219"),"XXXXX",0,1),    "XX",    0,    1)</f>
        <v>15</v>
      </c>
      <c r="AG142" s="8" cm="1">
        <f t="array" aca="1" ref="AG142" ca="1">_xlfn.XLOOKUP($A142,    INDIRECT("'" &amp; AG$16 &amp; "'!$A$20:$A$219"),    _xlfn.XLOOKUP(AG$18,INDIRECT("'" &amp; AG$16 &amp; "'!$B$18:$BC$18"), INDIRECT("'" &amp; AG$16 &amp; "'!$B$20:$BC$219"),"XXXXX",0,1),    "XX",    0,    1)</f>
        <v>15</v>
      </c>
      <c r="AH142" s="8" cm="1">
        <f t="array" aca="1" ref="AH142" ca="1">_xlfn.XLOOKUP($A142,    INDIRECT("'" &amp; AH$16 &amp; "'!$A$20:$A$219"),    _xlfn.XLOOKUP(AH$18,INDIRECT("'" &amp; AH$16 &amp; "'!$B$18:$BC$18"), INDIRECT("'" &amp; AH$16 &amp; "'!$B$20:$BC$219"),"XXXXX",0,1),    "XX",    0,    1)</f>
        <v>19</v>
      </c>
      <c r="AI142" s="8" cm="1">
        <f t="array" aca="1" ref="AI142" ca="1">_xlfn.XLOOKUP($A142,    INDIRECT("'" &amp; AI$16 &amp; "'!$A$20:$A$219"),    _xlfn.XLOOKUP(AI$18,INDIRECT("'" &amp; AI$16 &amp; "'!$B$18:$BC$18"), INDIRECT("'" &amp; AI$16 &amp; "'!$B$20:$BC$219"),"XXXXX",0,1),    "XX",    0,    1)</f>
        <v>19</v>
      </c>
      <c r="AJ142" s="8" cm="1">
        <f t="array" aca="1" ref="AJ142" ca="1">_xlfn.XLOOKUP($A142,    INDIRECT("'" &amp; AJ$16 &amp; "'!$A$20:$A$219"),    _xlfn.XLOOKUP(AJ$18,INDIRECT("'" &amp; AJ$16 &amp; "'!$B$18:$BC$18"), INDIRECT("'" &amp; AJ$16 &amp; "'!$B$20:$BC$219"),"XXXXX",0,1),    "XX",    0,    1)</f>
        <v>21</v>
      </c>
      <c r="AK142" s="8" cm="1">
        <f t="array" aca="1" ref="AK142" ca="1">_xlfn.XLOOKUP($A142,    INDIRECT("'" &amp; AK$16 &amp; "'!$A$20:$A$219"),    _xlfn.XLOOKUP(AK$18,INDIRECT("'" &amp; AK$16 &amp; "'!$B$18:$BC$18"), INDIRECT("'" &amp; AK$16 &amp; "'!$B$20:$BC$219"),"XXXXX",0,1),    "XX",    0,    1)</f>
        <v>21</v>
      </c>
      <c r="AM142" s="16"/>
      <c r="AW142" s="8">
        <v>1</v>
      </c>
      <c r="AX142" s="8">
        <f t="shared" ca="1" si="39"/>
        <v>1.5</v>
      </c>
      <c r="AY142" s="8">
        <f t="shared" ca="1" si="43"/>
        <v>1.5</v>
      </c>
      <c r="AZ142" s="8">
        <f t="shared" ca="1" si="44"/>
        <v>1.9</v>
      </c>
      <c r="BA142" s="8">
        <f t="shared" ca="1" si="45"/>
        <v>1.9</v>
      </c>
      <c r="BB142" s="8">
        <f t="shared" ca="1" si="46"/>
        <v>2.1</v>
      </c>
      <c r="BC142" s="8">
        <f t="shared" ca="1" si="47"/>
        <v>2.1</v>
      </c>
      <c r="BE142" s="8">
        <f t="shared" ca="1" si="40"/>
        <v>0</v>
      </c>
      <c r="BF142" s="8">
        <f t="shared" ca="1" si="41"/>
        <v>0</v>
      </c>
      <c r="BG142" s="8">
        <f t="shared" ca="1" si="42"/>
        <v>0</v>
      </c>
    </row>
    <row r="143" spans="1:59" x14ac:dyDescent="0.2">
      <c r="A143" s="8" t="s">
        <v>201</v>
      </c>
      <c r="B143" s="8" t="s">
        <v>265</v>
      </c>
      <c r="C143" s="8">
        <v>-43.5</v>
      </c>
      <c r="D143" s="8">
        <v>464140.2</v>
      </c>
      <c r="E143" s="8">
        <v>5969190</v>
      </c>
      <c r="F143" s="8">
        <v>0</v>
      </c>
      <c r="G143" s="8">
        <v>-0.7</v>
      </c>
      <c r="H143" s="8">
        <v>0</v>
      </c>
      <c r="I143" s="8">
        <v>2</v>
      </c>
      <c r="J143" s="8">
        <v>0</v>
      </c>
      <c r="K143" s="8">
        <v>-76.5</v>
      </c>
      <c r="L143" s="8">
        <v>33</v>
      </c>
      <c r="M143" s="8">
        <v>2078.5120000000002</v>
      </c>
      <c r="N143" s="8">
        <v>101.9</v>
      </c>
      <c r="O143" s="8">
        <v>8</v>
      </c>
      <c r="P143" s="8">
        <v>11</v>
      </c>
      <c r="Q143" s="8">
        <v>2.9363999999999999</v>
      </c>
      <c r="R143" s="8">
        <v>70</v>
      </c>
      <c r="S143" s="8">
        <v>117</v>
      </c>
      <c r="T143" s="3">
        <v>149</v>
      </c>
      <c r="U143" s="8">
        <v>1575.1569999999999</v>
      </c>
      <c r="V143" s="8">
        <v>369.238</v>
      </c>
      <c r="W143" s="8">
        <v>752.85199999999998</v>
      </c>
      <c r="X143" s="8">
        <v>132.18100000000001</v>
      </c>
      <c r="Y143" s="8">
        <v>4.9400000000000004</v>
      </c>
      <c r="Z143" s="8">
        <v>8.0150000000000006</v>
      </c>
      <c r="AA143" s="8">
        <v>21.7</v>
      </c>
      <c r="AB143" s="8">
        <v>290.5</v>
      </c>
      <c r="AC143" s="8">
        <v>13675</v>
      </c>
      <c r="AD143" s="8">
        <v>3874</v>
      </c>
      <c r="AE143" s="8">
        <v>268</v>
      </c>
      <c r="AF143" s="8" cm="1">
        <f t="array" aca="1" ref="AF143" ca="1">_xlfn.XLOOKUP($A143,    INDIRECT("'" &amp; AF$16 &amp; "'!$A$20:$A$219"),    _xlfn.XLOOKUP(AF$18,INDIRECT("'" &amp; AF$16 &amp; "'!$B$18:$BC$18"), INDIRECT("'" &amp; AF$16 &amp; "'!$B$20:$BC$219"),"XXXXX",0,1),    "XX",    0,    1)</f>
        <v>19</v>
      </c>
      <c r="AG143" s="8" cm="1">
        <f t="array" aca="1" ref="AG143" ca="1">_xlfn.XLOOKUP($A143,    INDIRECT("'" &amp; AG$16 &amp; "'!$A$20:$A$219"),    _xlfn.XLOOKUP(AG$18,INDIRECT("'" &amp; AG$16 &amp; "'!$B$18:$BC$18"), INDIRECT("'" &amp; AG$16 &amp; "'!$B$20:$BC$219"),"XXXXX",0,1),    "XX",    0,    1)</f>
        <v>19</v>
      </c>
      <c r="AH143" s="8" cm="1">
        <f t="array" aca="1" ref="AH143" ca="1">_xlfn.XLOOKUP($A143,    INDIRECT("'" &amp; AH$16 &amp; "'!$A$20:$A$219"),    _xlfn.XLOOKUP(AH$18,INDIRECT("'" &amp; AH$16 &amp; "'!$B$18:$BC$18"), INDIRECT("'" &amp; AH$16 &amp; "'!$B$20:$BC$219"),"XXXXX",0,1),    "XX",    0,    1)</f>
        <v>23</v>
      </c>
      <c r="AI143" s="8" cm="1">
        <f t="array" aca="1" ref="AI143" ca="1">_xlfn.XLOOKUP($A143,    INDIRECT("'" &amp; AI$16 &amp; "'!$A$20:$A$219"),    _xlfn.XLOOKUP(AI$18,INDIRECT("'" &amp; AI$16 &amp; "'!$B$18:$BC$18"), INDIRECT("'" &amp; AI$16 &amp; "'!$B$20:$BC$219"),"XXXXX",0,1),    "XX",    0,    1)</f>
        <v>23</v>
      </c>
      <c r="AJ143" s="8" cm="1">
        <f t="array" aca="1" ref="AJ143" ca="1">_xlfn.XLOOKUP($A143,    INDIRECT("'" &amp; AJ$16 &amp; "'!$A$20:$A$219"),    _xlfn.XLOOKUP(AJ$18,INDIRECT("'" &amp; AJ$16 &amp; "'!$B$18:$BC$18"), INDIRECT("'" &amp; AJ$16 &amp; "'!$B$20:$BC$219"),"XXXXX",0,1),    "XX",    0,    1)</f>
        <v>23</v>
      </c>
      <c r="AK143" s="8" cm="1">
        <f t="array" aca="1" ref="AK143" ca="1">_xlfn.XLOOKUP($A143,    INDIRECT("'" &amp; AK$16 &amp; "'!$A$20:$A$219"),    _xlfn.XLOOKUP(AK$18,INDIRECT("'" &amp; AK$16 &amp; "'!$B$18:$BC$18"), INDIRECT("'" &amp; AK$16 &amp; "'!$B$20:$BC$219"),"XXXXX",0,1),    "XX",    0,    1)</f>
        <v>23</v>
      </c>
      <c r="AM143" s="16"/>
      <c r="AW143" s="8">
        <v>1</v>
      </c>
      <c r="AX143" s="8">
        <f t="shared" ca="1" si="39"/>
        <v>1.7272727272727273</v>
      </c>
      <c r="AY143" s="8">
        <f t="shared" ca="1" si="43"/>
        <v>1.7272727272727273</v>
      </c>
      <c r="AZ143" s="8">
        <f t="shared" ca="1" si="44"/>
        <v>2.0909090909090908</v>
      </c>
      <c r="BA143" s="8">
        <f t="shared" ca="1" si="45"/>
        <v>2.0909090909090908</v>
      </c>
      <c r="BB143" s="8">
        <f t="shared" ca="1" si="46"/>
        <v>2.0909090909090908</v>
      </c>
      <c r="BC143" s="8">
        <f t="shared" ca="1" si="47"/>
        <v>2.0909090909090908</v>
      </c>
      <c r="BE143" s="8">
        <f t="shared" ca="1" si="40"/>
        <v>0</v>
      </c>
      <c r="BF143" s="8">
        <f t="shared" ca="1" si="41"/>
        <v>0</v>
      </c>
      <c r="BG143" s="8">
        <f t="shared" ca="1" si="42"/>
        <v>0</v>
      </c>
    </row>
    <row r="144" spans="1:59" x14ac:dyDescent="0.2">
      <c r="A144" s="8" t="s">
        <v>204</v>
      </c>
      <c r="B144" s="8" t="s">
        <v>265</v>
      </c>
      <c r="C144" s="8">
        <v>-44.8</v>
      </c>
      <c r="D144" s="8">
        <v>467775.4</v>
      </c>
      <c r="E144" s="8">
        <v>5966700.2999999998</v>
      </c>
      <c r="F144" s="8">
        <v>0</v>
      </c>
      <c r="G144" s="8">
        <v>-0.6</v>
      </c>
      <c r="H144" s="8">
        <v>0</v>
      </c>
      <c r="I144" s="8">
        <v>2</v>
      </c>
      <c r="J144" s="8">
        <v>0</v>
      </c>
      <c r="K144" s="8">
        <v>-75.5</v>
      </c>
      <c r="L144" s="8">
        <v>30.7</v>
      </c>
      <c r="M144" s="8">
        <v>2016.578</v>
      </c>
      <c r="N144" s="8">
        <v>100.9</v>
      </c>
      <c r="O144" s="8">
        <v>8</v>
      </c>
      <c r="P144" s="8">
        <v>11</v>
      </c>
      <c r="Q144" s="8">
        <v>2.7364000000000002</v>
      </c>
      <c r="R144" s="8">
        <v>70</v>
      </c>
      <c r="S144" s="8">
        <v>117</v>
      </c>
      <c r="T144" s="3">
        <v>149</v>
      </c>
      <c r="U144" s="8">
        <v>1575.433</v>
      </c>
      <c r="V144" s="8">
        <v>507.053</v>
      </c>
      <c r="W144" s="8">
        <v>752.85199999999998</v>
      </c>
      <c r="X144" s="8">
        <v>132.18100000000001</v>
      </c>
      <c r="Y144" s="8">
        <v>4.9400000000000004</v>
      </c>
      <c r="Z144" s="8">
        <v>8.0150000000000006</v>
      </c>
      <c r="AA144" s="8">
        <v>21.7</v>
      </c>
      <c r="AB144" s="8">
        <v>290.5</v>
      </c>
      <c r="AC144" s="8">
        <v>13608</v>
      </c>
      <c r="AD144" s="8">
        <v>3964</v>
      </c>
      <c r="AE144" s="8">
        <v>268</v>
      </c>
      <c r="AF144" s="8" cm="1">
        <f t="array" aca="1" ref="AF144" ca="1">_xlfn.XLOOKUP($A144,    INDIRECT("'" &amp; AF$16 &amp; "'!$A$20:$A$219"),    _xlfn.XLOOKUP(AF$18,INDIRECT("'" &amp; AF$16 &amp; "'!$B$18:$BC$18"), INDIRECT("'" &amp; AF$16 &amp; "'!$B$20:$BC$219"),"XXXXX",0,1),    "XX",    0,    1)</f>
        <v>17</v>
      </c>
      <c r="AG144" s="8" cm="1">
        <f t="array" aca="1" ref="AG144" ca="1">_xlfn.XLOOKUP($A144,    INDIRECT("'" &amp; AG$16 &amp; "'!$A$20:$A$219"),    _xlfn.XLOOKUP(AG$18,INDIRECT("'" &amp; AG$16 &amp; "'!$B$18:$BC$18"), INDIRECT("'" &amp; AG$16 &amp; "'!$B$20:$BC$219"),"XXXXX",0,1),    "XX",    0,    1)</f>
        <v>17</v>
      </c>
      <c r="AH144" s="8" cm="1">
        <f t="array" aca="1" ref="AH144" ca="1">_xlfn.XLOOKUP($A144,    INDIRECT("'" &amp; AH$16 &amp; "'!$A$20:$A$219"),    _xlfn.XLOOKUP(AH$18,INDIRECT("'" &amp; AH$16 &amp; "'!$B$18:$BC$18"), INDIRECT("'" &amp; AH$16 &amp; "'!$B$20:$BC$219"),"XXXXX",0,1),    "XX",    0,    1)</f>
        <v>21</v>
      </c>
      <c r="AI144" s="8" cm="1">
        <f t="array" aca="1" ref="AI144" ca="1">_xlfn.XLOOKUP($A144,    INDIRECT("'" &amp; AI$16 &amp; "'!$A$20:$A$219"),    _xlfn.XLOOKUP(AI$18,INDIRECT("'" &amp; AI$16 &amp; "'!$B$18:$BC$18"), INDIRECT("'" &amp; AI$16 &amp; "'!$B$20:$BC$219"),"XXXXX",0,1),    "XX",    0,    1)</f>
        <v>21</v>
      </c>
      <c r="AJ144" s="8" cm="1">
        <f t="array" aca="1" ref="AJ144" ca="1">_xlfn.XLOOKUP($A144,    INDIRECT("'" &amp; AJ$16 &amp; "'!$A$20:$A$219"),    _xlfn.XLOOKUP(AJ$18,INDIRECT("'" &amp; AJ$16 &amp; "'!$B$18:$BC$18"), INDIRECT("'" &amp; AJ$16 &amp; "'!$B$20:$BC$219"),"XXXXX",0,1),    "XX",    0,    1)</f>
        <v>21</v>
      </c>
      <c r="AK144" s="8" cm="1">
        <f t="array" aca="1" ref="AK144" ca="1">_xlfn.XLOOKUP($A144,    INDIRECT("'" &amp; AK$16 &amp; "'!$A$20:$A$219"),    _xlfn.XLOOKUP(AK$18,INDIRECT("'" &amp; AK$16 &amp; "'!$B$18:$BC$18"), INDIRECT("'" &amp; AK$16 &amp; "'!$B$20:$BC$219"),"XXXXX",0,1),    "XX",    0,    1)</f>
        <v>21</v>
      </c>
      <c r="AM144" s="16"/>
      <c r="AW144" s="8">
        <v>1</v>
      </c>
      <c r="AX144" s="8">
        <f t="shared" ca="1" si="39"/>
        <v>1.5454545454545454</v>
      </c>
      <c r="AY144" s="8">
        <f t="shared" ca="1" si="43"/>
        <v>1.5454545454545454</v>
      </c>
      <c r="AZ144" s="8">
        <f t="shared" ca="1" si="44"/>
        <v>1.9090909090909092</v>
      </c>
      <c r="BA144" s="8">
        <f t="shared" ca="1" si="45"/>
        <v>1.9090909090909092</v>
      </c>
      <c r="BB144" s="8">
        <f t="shared" ca="1" si="46"/>
        <v>1.9090909090909092</v>
      </c>
      <c r="BC144" s="8">
        <f t="shared" ca="1" si="47"/>
        <v>1.9090909090909092</v>
      </c>
      <c r="BE144" s="8">
        <f t="shared" ca="1" si="40"/>
        <v>0</v>
      </c>
      <c r="BF144" s="8">
        <f t="shared" ca="1" si="41"/>
        <v>0</v>
      </c>
      <c r="BG144" s="8">
        <f t="shared" ca="1" si="42"/>
        <v>0</v>
      </c>
    </row>
    <row r="145" spans="1:59" x14ac:dyDescent="0.2">
      <c r="A145" s="8" t="s">
        <v>19</v>
      </c>
      <c r="B145" s="8" t="s">
        <v>269</v>
      </c>
      <c r="C145" s="8">
        <v>-37.9</v>
      </c>
      <c r="D145" s="8">
        <v>470333.6</v>
      </c>
      <c r="E145" s="8">
        <v>5965984.5</v>
      </c>
      <c r="F145" s="8">
        <v>0</v>
      </c>
      <c r="G145" s="8">
        <v>-0.7</v>
      </c>
      <c r="H145" s="8">
        <v>0</v>
      </c>
      <c r="I145" s="8">
        <v>2</v>
      </c>
      <c r="J145" s="8">
        <v>0</v>
      </c>
      <c r="K145" s="8">
        <v>-67.8</v>
      </c>
      <c r="L145" s="8">
        <v>29.9</v>
      </c>
      <c r="M145" s="8">
        <v>1767.933</v>
      </c>
      <c r="N145" s="8">
        <v>93.2</v>
      </c>
      <c r="O145" s="8">
        <v>8</v>
      </c>
      <c r="P145" s="8">
        <v>10</v>
      </c>
      <c r="Q145" s="8">
        <v>2.92</v>
      </c>
      <c r="R145" s="8">
        <v>68</v>
      </c>
      <c r="S145" s="8">
        <v>110</v>
      </c>
      <c r="T145" s="3">
        <v>147</v>
      </c>
      <c r="U145" s="8">
        <v>1419.7860000000001</v>
      </c>
      <c r="V145" s="8">
        <v>489.37200000000001</v>
      </c>
      <c r="W145" s="8">
        <v>752.85199999999998</v>
      </c>
      <c r="X145" s="8">
        <v>132.18100000000001</v>
      </c>
      <c r="Y145" s="8">
        <v>4.9400000000000004</v>
      </c>
      <c r="Z145" s="8">
        <v>8.0150000000000006</v>
      </c>
      <c r="AA145" s="8">
        <v>21.7</v>
      </c>
      <c r="AB145" s="8">
        <v>290.5</v>
      </c>
      <c r="AC145" s="8">
        <v>12783</v>
      </c>
      <c r="AD145" s="8">
        <v>3365</v>
      </c>
      <c r="AE145" s="8">
        <v>268</v>
      </c>
      <c r="AF145" s="8" cm="1">
        <f t="array" aca="1" ref="AF145" ca="1">_xlfn.XLOOKUP($A145,    INDIRECT("'" &amp; AF$16 &amp; "'!$A$20:$A$219"),    _xlfn.XLOOKUP(AF$18,INDIRECT("'" &amp; AF$16 &amp; "'!$B$18:$BC$18"), INDIRECT("'" &amp; AF$16 &amp; "'!$B$20:$BC$219"),"XXXXX",0,1),    "XX",    0,    1)</f>
        <v>15</v>
      </c>
      <c r="AG145" s="8" cm="1">
        <f t="array" aca="1" ref="AG145" ca="1">_xlfn.XLOOKUP($A145,    INDIRECT("'" &amp; AG$16 &amp; "'!$A$20:$A$219"),    _xlfn.XLOOKUP(AG$18,INDIRECT("'" &amp; AG$16 &amp; "'!$B$18:$BC$18"), INDIRECT("'" &amp; AG$16 &amp; "'!$B$20:$BC$219"),"XXXXX",0,1),    "XX",    0,    1)</f>
        <v>15</v>
      </c>
      <c r="AH145" s="8" cm="1">
        <f t="array" aca="1" ref="AH145" ca="1">_xlfn.XLOOKUP($A145,    INDIRECT("'" &amp; AH$16 &amp; "'!$A$20:$A$219"),    _xlfn.XLOOKUP(AH$18,INDIRECT("'" &amp; AH$16 &amp; "'!$B$18:$BC$18"), INDIRECT("'" &amp; AH$16 &amp; "'!$B$20:$BC$219"),"XXXXX",0,1),    "XX",    0,    1)</f>
        <v>19</v>
      </c>
      <c r="AI145" s="8" cm="1">
        <f t="array" aca="1" ref="AI145" ca="1">_xlfn.XLOOKUP($A145,    INDIRECT("'" &amp; AI$16 &amp; "'!$A$20:$A$219"),    _xlfn.XLOOKUP(AI$18,INDIRECT("'" &amp; AI$16 &amp; "'!$B$18:$BC$18"), INDIRECT("'" &amp; AI$16 &amp; "'!$B$20:$BC$219"),"XXXXX",0,1),    "XX",    0,    1)</f>
        <v>19</v>
      </c>
      <c r="AJ145" s="8" cm="1">
        <f t="array" aca="1" ref="AJ145" ca="1">_xlfn.XLOOKUP($A145,    INDIRECT("'" &amp; AJ$16 &amp; "'!$A$20:$A$219"),    _xlfn.XLOOKUP(AJ$18,INDIRECT("'" &amp; AJ$16 &amp; "'!$B$18:$BC$18"), INDIRECT("'" &amp; AJ$16 &amp; "'!$B$20:$BC$219"),"XXXXX",0,1),    "XX",    0,    1)</f>
        <v>21</v>
      </c>
      <c r="AK145" s="8" cm="1">
        <f t="array" aca="1" ref="AK145" ca="1">_xlfn.XLOOKUP($A145,    INDIRECT("'" &amp; AK$16 &amp; "'!$A$20:$A$219"),    _xlfn.XLOOKUP(AK$18,INDIRECT("'" &amp; AK$16 &amp; "'!$B$18:$BC$18"), INDIRECT("'" &amp; AK$16 &amp; "'!$B$20:$BC$219"),"XXXXX",0,1),    "XX",    0,    1)</f>
        <v>21</v>
      </c>
      <c r="AM145" s="16"/>
      <c r="AW145" s="8">
        <v>1</v>
      </c>
      <c r="AX145" s="8">
        <f t="shared" ca="1" si="39"/>
        <v>1.5</v>
      </c>
      <c r="AY145" s="8">
        <f t="shared" ca="1" si="43"/>
        <v>1.5</v>
      </c>
      <c r="AZ145" s="8">
        <f t="shared" ca="1" si="44"/>
        <v>1.9</v>
      </c>
      <c r="BA145" s="8">
        <f t="shared" ca="1" si="45"/>
        <v>1.9</v>
      </c>
      <c r="BB145" s="8">
        <f t="shared" ca="1" si="46"/>
        <v>2.1</v>
      </c>
      <c r="BC145" s="8">
        <f t="shared" ca="1" si="47"/>
        <v>2.1</v>
      </c>
      <c r="BE145" s="8">
        <f t="shared" ca="1" si="40"/>
        <v>0</v>
      </c>
      <c r="BF145" s="8">
        <f t="shared" ca="1" si="41"/>
        <v>0</v>
      </c>
      <c r="BG145" s="8">
        <f t="shared" ca="1" si="42"/>
        <v>0</v>
      </c>
    </row>
    <row r="146" spans="1:59" x14ac:dyDescent="0.2">
      <c r="A146" s="8" t="s">
        <v>15</v>
      </c>
      <c r="B146" s="8" t="s">
        <v>265</v>
      </c>
      <c r="C146" s="8">
        <v>-33.5</v>
      </c>
      <c r="D146" s="8">
        <v>474004.5</v>
      </c>
      <c r="E146" s="8">
        <v>5963438.7000000002</v>
      </c>
      <c r="F146" s="8">
        <v>0</v>
      </c>
      <c r="G146" s="8">
        <v>-0.7</v>
      </c>
      <c r="H146" s="8">
        <v>0</v>
      </c>
      <c r="I146" s="8">
        <v>2</v>
      </c>
      <c r="J146" s="8">
        <v>0</v>
      </c>
      <c r="K146" s="8">
        <v>-62.2</v>
      </c>
      <c r="L146" s="8">
        <v>28.7</v>
      </c>
      <c r="M146" s="8">
        <v>1572.8789999999999</v>
      </c>
      <c r="N146" s="8">
        <v>87.6</v>
      </c>
      <c r="O146" s="8">
        <v>8</v>
      </c>
      <c r="P146" s="8">
        <v>10</v>
      </c>
      <c r="Q146" s="8">
        <v>2.8</v>
      </c>
      <c r="R146" s="8">
        <v>64</v>
      </c>
      <c r="S146" s="8">
        <v>110</v>
      </c>
      <c r="T146" s="3">
        <v>147</v>
      </c>
      <c r="U146" s="8">
        <v>1358.0350000000001</v>
      </c>
      <c r="V146" s="8">
        <v>461.714</v>
      </c>
      <c r="W146" s="8">
        <v>752.85199999999998</v>
      </c>
      <c r="X146" s="8">
        <v>132.18100000000001</v>
      </c>
      <c r="Y146" s="8">
        <v>4.9400000000000004</v>
      </c>
      <c r="Z146" s="8">
        <v>8.0150000000000006</v>
      </c>
      <c r="AA146" s="8">
        <v>21.7</v>
      </c>
      <c r="AB146" s="8">
        <v>290.5</v>
      </c>
      <c r="AC146" s="8">
        <v>12436</v>
      </c>
      <c r="AD146" s="8">
        <v>3094</v>
      </c>
      <c r="AE146" s="8">
        <v>268</v>
      </c>
      <c r="AF146" s="8" cm="1">
        <f t="array" aca="1" ref="AF146" ca="1">_xlfn.XLOOKUP($A146,    INDIRECT("'" &amp; AF$16 &amp; "'!$A$20:$A$219"),    _xlfn.XLOOKUP(AF$18,INDIRECT("'" &amp; AF$16 &amp; "'!$B$18:$BC$18"), INDIRECT("'" &amp; AF$16 &amp; "'!$B$20:$BC$219"),"XXXXX",0,1),    "XX",    0,    1)</f>
        <v>15</v>
      </c>
      <c r="AG146" s="8" cm="1">
        <f t="array" aca="1" ref="AG146" ca="1">_xlfn.XLOOKUP($A146,    INDIRECT("'" &amp; AG$16 &amp; "'!$A$20:$A$219"),    _xlfn.XLOOKUP(AG$18,INDIRECT("'" &amp; AG$16 &amp; "'!$B$18:$BC$18"), INDIRECT("'" &amp; AG$16 &amp; "'!$B$20:$BC$219"),"XXXXX",0,1),    "XX",    0,    1)</f>
        <v>15</v>
      </c>
      <c r="AH146" s="8" cm="1">
        <f t="array" aca="1" ref="AH146" ca="1">_xlfn.XLOOKUP($A146,    INDIRECT("'" &amp; AH$16 &amp; "'!$A$20:$A$219"),    _xlfn.XLOOKUP(AH$18,INDIRECT("'" &amp; AH$16 &amp; "'!$B$18:$BC$18"), INDIRECT("'" &amp; AH$16 &amp; "'!$B$20:$BC$219"),"XXXXX",0,1),    "XX",    0,    1)</f>
        <v>19</v>
      </c>
      <c r="AI146" s="8" cm="1">
        <f t="array" aca="1" ref="AI146" ca="1">_xlfn.XLOOKUP($A146,    INDIRECT("'" &amp; AI$16 &amp; "'!$A$20:$A$219"),    _xlfn.XLOOKUP(AI$18,INDIRECT("'" &amp; AI$16 &amp; "'!$B$18:$BC$18"), INDIRECT("'" &amp; AI$16 &amp; "'!$B$20:$BC$219"),"XXXXX",0,1),    "XX",    0,    1)</f>
        <v>19</v>
      </c>
      <c r="AJ146" s="8" cm="1">
        <f t="array" aca="1" ref="AJ146" ca="1">_xlfn.XLOOKUP($A146,    INDIRECT("'" &amp; AJ$16 &amp; "'!$A$20:$A$219"),    _xlfn.XLOOKUP(AJ$18,INDIRECT("'" &amp; AJ$16 &amp; "'!$B$18:$BC$18"), INDIRECT("'" &amp; AJ$16 &amp; "'!$B$20:$BC$219"),"XXXXX",0,1),    "XX",    0,    1)</f>
        <v>19</v>
      </c>
      <c r="AK146" s="8" cm="1">
        <f t="array" aca="1" ref="AK146" ca="1">_xlfn.XLOOKUP($A146,    INDIRECT("'" &amp; AK$16 &amp; "'!$A$20:$A$219"),    _xlfn.XLOOKUP(AK$18,INDIRECT("'" &amp; AK$16 &amp; "'!$B$18:$BC$18"), INDIRECT("'" &amp; AK$16 &amp; "'!$B$20:$BC$219"),"XXXXX",0,1),    "XX",    0,    1)</f>
        <v>19</v>
      </c>
      <c r="AM146" s="16"/>
      <c r="AW146" s="8">
        <v>1</v>
      </c>
      <c r="AX146" s="8">
        <f t="shared" ca="1" si="39"/>
        <v>1.5</v>
      </c>
      <c r="AY146" s="8">
        <f t="shared" ca="1" si="43"/>
        <v>1.5</v>
      </c>
      <c r="AZ146" s="8">
        <f t="shared" ca="1" si="44"/>
        <v>1.9</v>
      </c>
      <c r="BA146" s="8">
        <f t="shared" ca="1" si="45"/>
        <v>1.9</v>
      </c>
      <c r="BB146" s="8">
        <f t="shared" ca="1" si="46"/>
        <v>1.9</v>
      </c>
      <c r="BC146" s="8">
        <f t="shared" ca="1" si="47"/>
        <v>1.9</v>
      </c>
      <c r="BE146" s="8">
        <f t="shared" ca="1" si="40"/>
        <v>0</v>
      </c>
      <c r="BF146" s="8">
        <f t="shared" ca="1" si="41"/>
        <v>0</v>
      </c>
      <c r="BG146" s="8">
        <f t="shared" ca="1" si="42"/>
        <v>0</v>
      </c>
    </row>
    <row r="147" spans="1:59" x14ac:dyDescent="0.2">
      <c r="A147" s="8" t="s">
        <v>193</v>
      </c>
      <c r="B147" s="8" t="s">
        <v>265</v>
      </c>
      <c r="C147" s="8">
        <v>-49.6</v>
      </c>
      <c r="D147" s="8">
        <v>472295</v>
      </c>
      <c r="E147" s="8">
        <v>5969540</v>
      </c>
      <c r="F147" s="8">
        <v>0</v>
      </c>
      <c r="G147" s="8">
        <v>-0.6</v>
      </c>
      <c r="H147" s="8">
        <v>0</v>
      </c>
      <c r="I147" s="8">
        <v>2</v>
      </c>
      <c r="J147" s="8">
        <v>0</v>
      </c>
      <c r="K147" s="8">
        <v>-79.8</v>
      </c>
      <c r="L147" s="8">
        <v>30.2</v>
      </c>
      <c r="M147" s="8">
        <v>2270.7539999999999</v>
      </c>
      <c r="N147" s="8">
        <v>105.2</v>
      </c>
      <c r="O147" s="8">
        <v>8</v>
      </c>
      <c r="P147" s="8">
        <v>11</v>
      </c>
      <c r="Q147" s="8">
        <v>2.6909000000000001</v>
      </c>
      <c r="R147" s="8">
        <v>70</v>
      </c>
      <c r="S147" s="8">
        <v>117</v>
      </c>
      <c r="T147" s="3">
        <v>149</v>
      </c>
      <c r="U147" s="8">
        <v>1643.153</v>
      </c>
      <c r="V147" s="8">
        <v>403.11700000000002</v>
      </c>
      <c r="W147" s="8">
        <v>752.85199999999998</v>
      </c>
      <c r="X147" s="8">
        <v>132.18100000000001</v>
      </c>
      <c r="Y147" s="8">
        <v>4.9400000000000004</v>
      </c>
      <c r="Z147" s="8">
        <v>8.0150000000000006</v>
      </c>
      <c r="AA147" s="8">
        <v>21.7</v>
      </c>
      <c r="AB147" s="8">
        <v>290.5</v>
      </c>
      <c r="AC147" s="8">
        <v>13899</v>
      </c>
      <c r="AD147" s="8">
        <v>4291</v>
      </c>
      <c r="AE147" s="8">
        <v>268</v>
      </c>
      <c r="AF147" s="8" cm="1">
        <f t="array" aca="1" ref="AF147" ca="1">_xlfn.XLOOKUP($A147,    INDIRECT("'" &amp; AF$16 &amp; "'!$A$20:$A$219"),    _xlfn.XLOOKUP(AF$18,INDIRECT("'" &amp; AF$16 &amp; "'!$B$18:$BC$18"), INDIRECT("'" &amp; AF$16 &amp; "'!$B$20:$BC$219"),"XXXXX",0,1),    "XX",    0,    1)</f>
        <v>15</v>
      </c>
      <c r="AG147" s="8" cm="1">
        <f t="array" aca="1" ref="AG147" ca="1">_xlfn.XLOOKUP($A147,    INDIRECT("'" &amp; AG$16 &amp; "'!$A$20:$A$219"),    _xlfn.XLOOKUP(AG$18,INDIRECT("'" &amp; AG$16 &amp; "'!$B$18:$BC$18"), INDIRECT("'" &amp; AG$16 &amp; "'!$B$20:$BC$219"),"XXXXX",0,1),    "XX",    0,    1)</f>
        <v>15</v>
      </c>
      <c r="AH147" s="8" cm="1">
        <f t="array" aca="1" ref="AH147" ca="1">_xlfn.XLOOKUP($A147,    INDIRECT("'" &amp; AH$16 &amp; "'!$A$20:$A$219"),    _xlfn.XLOOKUP(AH$18,INDIRECT("'" &amp; AH$16 &amp; "'!$B$18:$BC$18"), INDIRECT("'" &amp; AH$16 &amp; "'!$B$20:$BC$219"),"XXXXX",0,1),    "XX",    0,    1)</f>
        <v>19</v>
      </c>
      <c r="AI147" s="8" cm="1">
        <f t="array" aca="1" ref="AI147" ca="1">_xlfn.XLOOKUP($A147,    INDIRECT("'" &amp; AI$16 &amp; "'!$A$20:$A$219"),    _xlfn.XLOOKUP(AI$18,INDIRECT("'" &amp; AI$16 &amp; "'!$B$18:$BC$18"), INDIRECT("'" &amp; AI$16 &amp; "'!$B$20:$BC$219"),"XXXXX",0,1),    "XX",    0,    1)</f>
        <v>19</v>
      </c>
      <c r="AJ147" s="8" cm="1">
        <f t="array" aca="1" ref="AJ147" ca="1">_xlfn.XLOOKUP($A147,    INDIRECT("'" &amp; AJ$16 &amp; "'!$A$20:$A$219"),    _xlfn.XLOOKUP(AJ$18,INDIRECT("'" &amp; AJ$16 &amp; "'!$B$18:$BC$18"), INDIRECT("'" &amp; AJ$16 &amp; "'!$B$20:$BC$219"),"XXXXX",0,1),    "XX",    0,    1)</f>
        <v>21</v>
      </c>
      <c r="AK147" s="8" cm="1">
        <f t="array" aca="1" ref="AK147" ca="1">_xlfn.XLOOKUP($A147,    INDIRECT("'" &amp; AK$16 &amp; "'!$A$20:$A$219"),    _xlfn.XLOOKUP(AK$18,INDIRECT("'" &amp; AK$16 &amp; "'!$B$18:$BC$18"), INDIRECT("'" &amp; AK$16 &amp; "'!$B$20:$BC$219"),"XXXXX",0,1),    "XX",    0,    1)</f>
        <v>21</v>
      </c>
      <c r="AM147" s="16"/>
      <c r="AW147" s="8">
        <v>1</v>
      </c>
      <c r="AX147" s="8">
        <f t="shared" ca="1" si="39"/>
        <v>1.3636363636363635</v>
      </c>
      <c r="AY147" s="8">
        <f t="shared" ca="1" si="43"/>
        <v>1.3636363636363635</v>
      </c>
      <c r="AZ147" s="8">
        <f t="shared" ca="1" si="44"/>
        <v>1.7272727272727273</v>
      </c>
      <c r="BA147" s="8">
        <f t="shared" ca="1" si="45"/>
        <v>1.7272727272727273</v>
      </c>
      <c r="BB147" s="8">
        <f t="shared" ca="1" si="46"/>
        <v>1.9090909090909092</v>
      </c>
      <c r="BC147" s="8">
        <f t="shared" ca="1" si="47"/>
        <v>1.9090909090909092</v>
      </c>
      <c r="BE147" s="8">
        <f t="shared" ca="1" si="40"/>
        <v>0</v>
      </c>
      <c r="BF147" s="8">
        <f t="shared" ca="1" si="41"/>
        <v>0</v>
      </c>
      <c r="BG147" s="8">
        <f t="shared" ca="1" si="42"/>
        <v>0</v>
      </c>
    </row>
    <row r="148" spans="1:59" x14ac:dyDescent="0.2">
      <c r="A148" s="8" t="s">
        <v>26</v>
      </c>
      <c r="B148" s="8" t="s">
        <v>269</v>
      </c>
      <c r="C148" s="8">
        <v>-37.6</v>
      </c>
      <c r="D148" s="8">
        <v>474485.7</v>
      </c>
      <c r="E148" s="8">
        <v>5969293.2000000002</v>
      </c>
      <c r="F148" s="8">
        <v>0</v>
      </c>
      <c r="G148" s="8">
        <v>-0.8</v>
      </c>
      <c r="H148" s="8">
        <v>0</v>
      </c>
      <c r="I148" s="8">
        <v>2</v>
      </c>
      <c r="J148" s="8">
        <v>0</v>
      </c>
      <c r="K148" s="8">
        <v>-67.7</v>
      </c>
      <c r="L148" s="8">
        <v>30.1</v>
      </c>
      <c r="M148" s="8">
        <v>1754.0920000000001</v>
      </c>
      <c r="N148" s="8">
        <v>93.1</v>
      </c>
      <c r="O148" s="8">
        <v>8</v>
      </c>
      <c r="P148" s="8">
        <v>10</v>
      </c>
      <c r="Q148" s="8">
        <v>2.93</v>
      </c>
      <c r="R148" s="8">
        <v>68</v>
      </c>
      <c r="S148" s="8">
        <v>110</v>
      </c>
      <c r="T148" s="3">
        <v>147</v>
      </c>
      <c r="U148" s="8">
        <v>1419.8620000000001</v>
      </c>
      <c r="V148" s="8">
        <v>483.68</v>
      </c>
      <c r="W148" s="8">
        <v>752.85199999999998</v>
      </c>
      <c r="X148" s="8">
        <v>132.18100000000001</v>
      </c>
      <c r="Y148" s="8">
        <v>4.9400000000000004</v>
      </c>
      <c r="Z148" s="8">
        <v>8.0150000000000006</v>
      </c>
      <c r="AA148" s="8">
        <v>21.7</v>
      </c>
      <c r="AB148" s="8">
        <v>290.5</v>
      </c>
      <c r="AC148" s="8">
        <v>12777</v>
      </c>
      <c r="AD148" s="8">
        <v>3347</v>
      </c>
      <c r="AE148" s="8">
        <v>268</v>
      </c>
      <c r="AF148" s="8" cm="1">
        <f t="array" aca="1" ref="AF148" ca="1">_xlfn.XLOOKUP($A148,    INDIRECT("'" &amp; AF$16 &amp; "'!$A$20:$A$219"),    _xlfn.XLOOKUP(AF$18,INDIRECT("'" &amp; AF$16 &amp; "'!$B$18:$BC$18"), INDIRECT("'" &amp; AF$16 &amp; "'!$B$20:$BC$219"),"XXXXX",0,1),    "XX",    0,    1)</f>
        <v>15</v>
      </c>
      <c r="AG148" s="8" cm="1">
        <f t="array" aca="1" ref="AG148" ca="1">_xlfn.XLOOKUP($A148,    INDIRECT("'" &amp; AG$16 &amp; "'!$A$20:$A$219"),    _xlfn.XLOOKUP(AG$18,INDIRECT("'" &amp; AG$16 &amp; "'!$B$18:$BC$18"), INDIRECT("'" &amp; AG$16 &amp; "'!$B$20:$BC$219"),"XXXXX",0,1),    "XX",    0,    1)</f>
        <v>15</v>
      </c>
      <c r="AH148" s="8" cm="1">
        <f t="array" aca="1" ref="AH148" ca="1">_xlfn.XLOOKUP($A148,    INDIRECT("'" &amp; AH$16 &amp; "'!$A$20:$A$219"),    _xlfn.XLOOKUP(AH$18,INDIRECT("'" &amp; AH$16 &amp; "'!$B$18:$BC$18"), INDIRECT("'" &amp; AH$16 &amp; "'!$B$20:$BC$219"),"XXXXX",0,1),    "XX",    0,    1)</f>
        <v>19</v>
      </c>
      <c r="AI148" s="8" cm="1">
        <f t="array" aca="1" ref="AI148" ca="1">_xlfn.XLOOKUP($A148,    INDIRECT("'" &amp; AI$16 &amp; "'!$A$20:$A$219"),    _xlfn.XLOOKUP(AI$18,INDIRECT("'" &amp; AI$16 &amp; "'!$B$18:$BC$18"), INDIRECT("'" &amp; AI$16 &amp; "'!$B$20:$BC$219"),"XXXXX",0,1),    "XX",    0,    1)</f>
        <v>19</v>
      </c>
      <c r="AJ148" s="8" cm="1">
        <f t="array" aca="1" ref="AJ148" ca="1">_xlfn.XLOOKUP($A148,    INDIRECT("'" &amp; AJ$16 &amp; "'!$A$20:$A$219"),    _xlfn.XLOOKUP(AJ$18,INDIRECT("'" &amp; AJ$16 &amp; "'!$B$18:$BC$18"), INDIRECT("'" &amp; AJ$16 &amp; "'!$B$20:$BC$219"),"XXXXX",0,1),    "XX",    0,    1)</f>
        <v>21</v>
      </c>
      <c r="AK148" s="8" cm="1">
        <f t="array" aca="1" ref="AK148" ca="1">_xlfn.XLOOKUP($A148,    INDIRECT("'" &amp; AK$16 &amp; "'!$A$20:$A$219"),    _xlfn.XLOOKUP(AK$18,INDIRECT("'" &amp; AK$16 &amp; "'!$B$18:$BC$18"), INDIRECT("'" &amp; AK$16 &amp; "'!$B$20:$BC$219"),"XXXXX",0,1),    "XX",    0,    1)</f>
        <v>21</v>
      </c>
      <c r="AM148" s="16"/>
      <c r="AW148" s="8">
        <v>1</v>
      </c>
      <c r="AX148" s="8">
        <f t="shared" ca="1" si="39"/>
        <v>1.5</v>
      </c>
      <c r="AY148" s="8">
        <f t="shared" ref="AY148:AY179" ca="1" si="48">AG148/$P148</f>
        <v>1.5</v>
      </c>
      <c r="AZ148" s="8">
        <f t="shared" ref="AZ148:AZ179" ca="1" si="49">AH148/$P148</f>
        <v>1.9</v>
      </c>
      <c r="BA148" s="8">
        <f t="shared" ref="BA148:BA179" ca="1" si="50">AI148/$P148</f>
        <v>1.9</v>
      </c>
      <c r="BB148" s="8">
        <f t="shared" ref="BB148:BB179" ca="1" si="51">AJ148/$P148</f>
        <v>2.1</v>
      </c>
      <c r="BC148" s="8">
        <f t="shared" ref="BC148:BC179" ca="1" si="52">AK148/$P148</f>
        <v>2.1</v>
      </c>
      <c r="BE148" s="8">
        <f t="shared" ca="1" si="40"/>
        <v>0</v>
      </c>
      <c r="BF148" s="8">
        <f t="shared" ca="1" si="41"/>
        <v>0</v>
      </c>
      <c r="BG148" s="8">
        <f t="shared" ca="1" si="42"/>
        <v>0</v>
      </c>
    </row>
    <row r="149" spans="1:59" x14ac:dyDescent="0.2">
      <c r="A149" s="8" t="s">
        <v>158</v>
      </c>
      <c r="B149" s="8" t="s">
        <v>272</v>
      </c>
      <c r="C149" s="8">
        <v>-27.7</v>
      </c>
      <c r="D149" s="8">
        <v>475028.2</v>
      </c>
      <c r="E149" s="8">
        <v>5971616</v>
      </c>
      <c r="F149" s="8">
        <v>0</v>
      </c>
      <c r="G149" s="8">
        <v>-0.6</v>
      </c>
      <c r="H149" s="8">
        <v>0</v>
      </c>
      <c r="I149" s="8">
        <v>2</v>
      </c>
      <c r="J149" s="8">
        <v>0</v>
      </c>
      <c r="K149" s="8">
        <v>-58</v>
      </c>
      <c r="L149" s="8">
        <v>30.3</v>
      </c>
      <c r="M149" s="8">
        <v>1425.029</v>
      </c>
      <c r="N149" s="8">
        <v>83.4</v>
      </c>
      <c r="O149" s="8">
        <v>8</v>
      </c>
      <c r="P149" s="8">
        <v>10</v>
      </c>
      <c r="Q149" s="8">
        <v>2.97</v>
      </c>
      <c r="R149" s="8">
        <v>64</v>
      </c>
      <c r="S149" s="8">
        <v>110</v>
      </c>
      <c r="T149" s="3">
        <v>147</v>
      </c>
      <c r="U149" s="8">
        <v>1233.7909999999999</v>
      </c>
      <c r="V149" s="8">
        <v>456.00799999999998</v>
      </c>
      <c r="W149" s="8">
        <v>752.85199999999998</v>
      </c>
      <c r="X149" s="8">
        <v>132.18100000000001</v>
      </c>
      <c r="Y149" s="8">
        <v>4.9400000000000004</v>
      </c>
      <c r="Z149" s="8">
        <v>8.0150000000000006</v>
      </c>
      <c r="AA149" s="8">
        <v>21.7</v>
      </c>
      <c r="AB149" s="8">
        <v>290.5</v>
      </c>
      <c r="AC149" s="8">
        <v>12176</v>
      </c>
      <c r="AD149" s="8">
        <v>2733</v>
      </c>
      <c r="AE149" s="8">
        <v>268</v>
      </c>
      <c r="AF149" s="8" cm="1">
        <f t="array" aca="1" ref="AF149" ca="1">_xlfn.XLOOKUP($A149,    INDIRECT("'" &amp; AF$16 &amp; "'!$A$20:$A$219"),    _xlfn.XLOOKUP(AF$18,INDIRECT("'" &amp; AF$16 &amp; "'!$B$18:$BC$18"), INDIRECT("'" &amp; AF$16 &amp; "'!$B$20:$BC$219"),"XXXXX",0,1),    "XX",    0,    1)</f>
        <v>15</v>
      </c>
      <c r="AG149" s="8" cm="1">
        <f t="array" aca="1" ref="AG149" ca="1">_xlfn.XLOOKUP($A149,    INDIRECT("'" &amp; AG$16 &amp; "'!$A$20:$A$219"),    _xlfn.XLOOKUP(AG$18,INDIRECT("'" &amp; AG$16 &amp; "'!$B$18:$BC$18"), INDIRECT("'" &amp; AG$16 &amp; "'!$B$20:$BC$219"),"XXXXX",0,1),    "XX",    0,    1)</f>
        <v>15</v>
      </c>
      <c r="AH149" s="8" cm="1">
        <f t="array" aca="1" ref="AH149" ca="1">_xlfn.XLOOKUP($A149,    INDIRECT("'" &amp; AH$16 &amp; "'!$A$20:$A$219"),    _xlfn.XLOOKUP(AH$18,INDIRECT("'" &amp; AH$16 &amp; "'!$B$18:$BC$18"), INDIRECT("'" &amp; AH$16 &amp; "'!$B$20:$BC$219"),"XXXXX",0,1),    "XX",    0,    1)</f>
        <v>19</v>
      </c>
      <c r="AI149" s="8" cm="1">
        <f t="array" aca="1" ref="AI149" ca="1">_xlfn.XLOOKUP($A149,    INDIRECT("'" &amp; AI$16 &amp; "'!$A$20:$A$219"),    _xlfn.XLOOKUP(AI$18,INDIRECT("'" &amp; AI$16 &amp; "'!$B$18:$BC$18"), INDIRECT("'" &amp; AI$16 &amp; "'!$B$20:$BC$219"),"XXXXX",0,1),    "XX",    0,    1)</f>
        <v>19</v>
      </c>
      <c r="AJ149" s="8" cm="1">
        <f t="array" aca="1" ref="AJ149" ca="1">_xlfn.XLOOKUP($A149,    INDIRECT("'" &amp; AJ$16 &amp; "'!$A$20:$A$219"),    _xlfn.XLOOKUP(AJ$18,INDIRECT("'" &amp; AJ$16 &amp; "'!$B$18:$BC$18"), INDIRECT("'" &amp; AJ$16 &amp; "'!$B$20:$BC$219"),"XXXXX",0,1),    "XX",    0,    1)</f>
        <v>21</v>
      </c>
      <c r="AK149" s="8" cm="1">
        <f t="array" aca="1" ref="AK149" ca="1">_xlfn.XLOOKUP($A149,    INDIRECT("'" &amp; AK$16 &amp; "'!$A$20:$A$219"),    _xlfn.XLOOKUP(AK$18,INDIRECT("'" &amp; AK$16 &amp; "'!$B$18:$BC$18"), INDIRECT("'" &amp; AK$16 &amp; "'!$B$20:$BC$219"),"XXXXX",0,1),    "XX",    0,    1)</f>
        <v>21</v>
      </c>
      <c r="AM149" s="16"/>
      <c r="AW149" s="8">
        <v>1</v>
      </c>
      <c r="AX149" s="8">
        <f t="shared" ref="AX149:AX212" ca="1" si="53">AF149/$P149</f>
        <v>1.5</v>
      </c>
      <c r="AY149" s="8">
        <f t="shared" ca="1" si="48"/>
        <v>1.5</v>
      </c>
      <c r="AZ149" s="8">
        <f t="shared" ca="1" si="49"/>
        <v>1.9</v>
      </c>
      <c r="BA149" s="8">
        <f t="shared" ca="1" si="50"/>
        <v>1.9</v>
      </c>
      <c r="BB149" s="8">
        <f t="shared" ca="1" si="51"/>
        <v>2.1</v>
      </c>
      <c r="BC149" s="8">
        <f t="shared" ca="1" si="52"/>
        <v>2.1</v>
      </c>
      <c r="BE149" s="8">
        <f t="shared" ref="BE149:BE212" ca="1" si="54">AG149-AF149</f>
        <v>0</v>
      </c>
      <c r="BF149" s="8">
        <f t="shared" ref="BF149:BF212" ca="1" si="55">AI149-AH149</f>
        <v>0</v>
      </c>
      <c r="BG149" s="8">
        <f t="shared" ref="BG149:BG212" ca="1" si="56">AK149-AJ149</f>
        <v>0</v>
      </c>
    </row>
    <row r="150" spans="1:59" x14ac:dyDescent="0.2">
      <c r="A150" s="8" t="s">
        <v>37</v>
      </c>
      <c r="B150" s="8" t="s">
        <v>265</v>
      </c>
      <c r="C150" s="8">
        <v>-38.700000000000003</v>
      </c>
      <c r="D150" s="8">
        <v>452477.5</v>
      </c>
      <c r="E150" s="8">
        <v>5974927</v>
      </c>
      <c r="F150" s="8">
        <v>0</v>
      </c>
      <c r="G150" s="8">
        <v>-0.6</v>
      </c>
      <c r="H150" s="8">
        <v>0</v>
      </c>
      <c r="I150" s="8">
        <v>2</v>
      </c>
      <c r="J150" s="8">
        <v>0</v>
      </c>
      <c r="K150" s="8">
        <v>-65</v>
      </c>
      <c r="L150" s="8">
        <v>26.3</v>
      </c>
      <c r="M150" s="8">
        <v>1715.348</v>
      </c>
      <c r="N150" s="8">
        <v>90.4</v>
      </c>
      <c r="O150" s="8">
        <v>8</v>
      </c>
      <c r="P150" s="8">
        <v>10</v>
      </c>
      <c r="Q150" s="8">
        <v>2.57</v>
      </c>
      <c r="R150" s="8">
        <v>68</v>
      </c>
      <c r="S150" s="8">
        <v>110</v>
      </c>
      <c r="T150" s="3">
        <v>147</v>
      </c>
      <c r="U150" s="8">
        <v>1419.7860000000001</v>
      </c>
      <c r="V150" s="8">
        <v>458.55900000000003</v>
      </c>
      <c r="W150" s="8">
        <v>752.85199999999998</v>
      </c>
      <c r="X150" s="8">
        <v>132.18100000000001</v>
      </c>
      <c r="Y150" s="8">
        <v>4.9400000000000004</v>
      </c>
      <c r="Z150" s="8">
        <v>8.0150000000000006</v>
      </c>
      <c r="AA150" s="8">
        <v>21.7</v>
      </c>
      <c r="AB150" s="8">
        <v>290.5</v>
      </c>
      <c r="AC150" s="8">
        <v>12608</v>
      </c>
      <c r="AD150" s="8">
        <v>3416</v>
      </c>
      <c r="AE150" s="8">
        <v>268</v>
      </c>
      <c r="AF150" s="8" cm="1">
        <f t="array" aca="1" ref="AF150" ca="1">_xlfn.XLOOKUP($A150,    INDIRECT("'" &amp; AF$16 &amp; "'!$A$20:$A$219"),    _xlfn.XLOOKUP(AF$18,INDIRECT("'" &amp; AF$16 &amp; "'!$B$18:$BC$18"), INDIRECT("'" &amp; AF$16 &amp; "'!$B$20:$BC$219"),"XXXXX",0,1),    "XX",    0,    1)</f>
        <v>15</v>
      </c>
      <c r="AG150" s="8" cm="1">
        <f t="array" aca="1" ref="AG150" ca="1">_xlfn.XLOOKUP($A150,    INDIRECT("'" &amp; AG$16 &amp; "'!$A$20:$A$219"),    _xlfn.XLOOKUP(AG$18,INDIRECT("'" &amp; AG$16 &amp; "'!$B$18:$BC$18"), INDIRECT("'" &amp; AG$16 &amp; "'!$B$20:$BC$219"),"XXXXX",0,1),    "XX",    0,    1)</f>
        <v>15</v>
      </c>
      <c r="AH150" s="8" cm="1">
        <f t="array" aca="1" ref="AH150" ca="1">_xlfn.XLOOKUP($A150,    INDIRECT("'" &amp; AH$16 &amp; "'!$A$20:$A$219"),    _xlfn.XLOOKUP(AH$18,INDIRECT("'" &amp; AH$16 &amp; "'!$B$18:$BC$18"), INDIRECT("'" &amp; AH$16 &amp; "'!$B$20:$BC$219"),"XXXXX",0,1),    "XX",    0,    1)</f>
        <v>15</v>
      </c>
      <c r="AI150" s="8" cm="1">
        <f t="array" aca="1" ref="AI150" ca="1">_xlfn.XLOOKUP($A150,    INDIRECT("'" &amp; AI$16 &amp; "'!$A$20:$A$219"),    _xlfn.XLOOKUP(AI$18,INDIRECT("'" &amp; AI$16 &amp; "'!$B$18:$BC$18"), INDIRECT("'" &amp; AI$16 &amp; "'!$B$20:$BC$219"),"XXXXX",0,1),    "XX",    0,    1)</f>
        <v>15</v>
      </c>
      <c r="AJ150" s="8" cm="1">
        <f t="array" aca="1" ref="AJ150" ca="1">_xlfn.XLOOKUP($A150,    INDIRECT("'" &amp; AJ$16 &amp; "'!$A$20:$A$219"),    _xlfn.XLOOKUP(AJ$18,INDIRECT("'" &amp; AJ$16 &amp; "'!$B$18:$BC$18"), INDIRECT("'" &amp; AJ$16 &amp; "'!$B$20:$BC$219"),"XXXXX",0,1),    "XX",    0,    1)</f>
        <v>17</v>
      </c>
      <c r="AK150" s="8" cm="1">
        <f t="array" aca="1" ref="AK150" ca="1">_xlfn.XLOOKUP($A150,    INDIRECT("'" &amp; AK$16 &amp; "'!$A$20:$A$219"),    _xlfn.XLOOKUP(AK$18,INDIRECT("'" &amp; AK$16 &amp; "'!$B$18:$BC$18"), INDIRECT("'" &amp; AK$16 &amp; "'!$B$20:$BC$219"),"XXXXX",0,1),    "XX",    0,    1)</f>
        <v>17</v>
      </c>
      <c r="AM150" s="16"/>
      <c r="AW150" s="8">
        <v>1</v>
      </c>
      <c r="AX150" s="8">
        <f t="shared" ca="1" si="53"/>
        <v>1.5</v>
      </c>
      <c r="AY150" s="8">
        <f t="shared" ca="1" si="48"/>
        <v>1.5</v>
      </c>
      <c r="AZ150" s="8">
        <f t="shared" ca="1" si="49"/>
        <v>1.5</v>
      </c>
      <c r="BA150" s="8">
        <f t="shared" ca="1" si="50"/>
        <v>1.5</v>
      </c>
      <c r="BB150" s="8">
        <f t="shared" ca="1" si="51"/>
        <v>1.7</v>
      </c>
      <c r="BC150" s="8">
        <f t="shared" ca="1" si="52"/>
        <v>1.7</v>
      </c>
      <c r="BE150" s="8">
        <f t="shared" ca="1" si="54"/>
        <v>0</v>
      </c>
      <c r="BF150" s="8">
        <f t="shared" ca="1" si="55"/>
        <v>0</v>
      </c>
      <c r="BG150" s="8">
        <f t="shared" ca="1" si="56"/>
        <v>0</v>
      </c>
    </row>
    <row r="151" spans="1:59" x14ac:dyDescent="0.2">
      <c r="A151" s="8" t="s">
        <v>81</v>
      </c>
      <c r="B151" s="8" t="s">
        <v>269</v>
      </c>
      <c r="C151" s="8">
        <v>-37.299999999999997</v>
      </c>
      <c r="D151" s="8">
        <v>453759.5</v>
      </c>
      <c r="E151" s="8">
        <v>5976097.0999999996</v>
      </c>
      <c r="F151" s="8">
        <v>0</v>
      </c>
      <c r="G151" s="8">
        <v>-0.7</v>
      </c>
      <c r="H151" s="8">
        <v>0</v>
      </c>
      <c r="I151" s="8">
        <v>2</v>
      </c>
      <c r="J151" s="8">
        <v>0</v>
      </c>
      <c r="K151" s="8">
        <v>-63.2</v>
      </c>
      <c r="L151" s="8">
        <v>25.9</v>
      </c>
      <c r="M151" s="8">
        <v>1670.76</v>
      </c>
      <c r="N151" s="8">
        <v>88.6</v>
      </c>
      <c r="O151" s="8">
        <v>8</v>
      </c>
      <c r="P151" s="8">
        <v>10</v>
      </c>
      <c r="Q151" s="8">
        <v>2.52</v>
      </c>
      <c r="R151" s="8">
        <v>68</v>
      </c>
      <c r="S151" s="8">
        <v>110</v>
      </c>
      <c r="T151" s="3">
        <v>147</v>
      </c>
      <c r="U151" s="8">
        <v>1295.1780000000001</v>
      </c>
      <c r="V151" s="8">
        <v>514.59299999999996</v>
      </c>
      <c r="W151" s="8">
        <v>752.85199999999998</v>
      </c>
      <c r="X151" s="8">
        <v>132.18100000000001</v>
      </c>
      <c r="Y151" s="8">
        <v>4.9400000000000004</v>
      </c>
      <c r="Z151" s="8">
        <v>8.0150000000000006</v>
      </c>
      <c r="AA151" s="8">
        <v>21.7</v>
      </c>
      <c r="AB151" s="8">
        <v>290.5</v>
      </c>
      <c r="AC151" s="8">
        <v>12496</v>
      </c>
      <c r="AD151" s="8">
        <v>3329</v>
      </c>
      <c r="AE151" s="8">
        <v>268</v>
      </c>
      <c r="AF151" s="8" cm="1">
        <f t="array" aca="1" ref="AF151" ca="1">_xlfn.XLOOKUP($A151,    INDIRECT("'" &amp; AF$16 &amp; "'!$A$20:$A$219"),    _xlfn.XLOOKUP(AF$18,INDIRECT("'" &amp; AF$16 &amp; "'!$B$18:$BC$18"), INDIRECT("'" &amp; AF$16 &amp; "'!$B$20:$BC$219"),"XXXXX",0,1),    "XX",    0,    1)</f>
        <v>15</v>
      </c>
      <c r="AG151" s="8" cm="1">
        <f t="array" aca="1" ref="AG151" ca="1">_xlfn.XLOOKUP($A151,    INDIRECT("'" &amp; AG$16 &amp; "'!$A$20:$A$219"),    _xlfn.XLOOKUP(AG$18,INDIRECT("'" &amp; AG$16 &amp; "'!$B$18:$BC$18"), INDIRECT("'" &amp; AG$16 &amp; "'!$B$20:$BC$219"),"XXXXX",0,1),    "XX",    0,    1)</f>
        <v>15</v>
      </c>
      <c r="AH151" s="8" cm="1">
        <f t="array" aca="1" ref="AH151" ca="1">_xlfn.XLOOKUP($A151,    INDIRECT("'" &amp; AH$16 &amp; "'!$A$20:$A$219"),    _xlfn.XLOOKUP(AH$18,INDIRECT("'" &amp; AH$16 &amp; "'!$B$18:$BC$18"), INDIRECT("'" &amp; AH$16 &amp; "'!$B$20:$BC$219"),"XXXXX",0,1),    "XX",    0,    1)</f>
        <v>15</v>
      </c>
      <c r="AI151" s="8" cm="1">
        <f t="array" aca="1" ref="AI151" ca="1">_xlfn.XLOOKUP($A151,    INDIRECT("'" &amp; AI$16 &amp; "'!$A$20:$A$219"),    _xlfn.XLOOKUP(AI$18,INDIRECT("'" &amp; AI$16 &amp; "'!$B$18:$BC$18"), INDIRECT("'" &amp; AI$16 &amp; "'!$B$20:$BC$219"),"XXXXX",0,1),    "XX",    0,    1)</f>
        <v>15</v>
      </c>
      <c r="AJ151" s="8" cm="1">
        <f t="array" aca="1" ref="AJ151" ca="1">_xlfn.XLOOKUP($A151,    INDIRECT("'" &amp; AJ$16 &amp; "'!$A$20:$A$219"),    _xlfn.XLOOKUP(AJ$18,INDIRECT("'" &amp; AJ$16 &amp; "'!$B$18:$BC$18"), INDIRECT("'" &amp; AJ$16 &amp; "'!$B$20:$BC$219"),"XXXXX",0,1),    "XX",    0,    1)</f>
        <v>17</v>
      </c>
      <c r="AK151" s="8" cm="1">
        <f t="array" aca="1" ref="AK151" ca="1">_xlfn.XLOOKUP($A151,    INDIRECT("'" &amp; AK$16 &amp; "'!$A$20:$A$219"),    _xlfn.XLOOKUP(AK$18,INDIRECT("'" &amp; AK$16 &amp; "'!$B$18:$BC$18"), INDIRECT("'" &amp; AK$16 &amp; "'!$B$20:$BC$219"),"XXXXX",0,1),    "XX",    0,    1)</f>
        <v>17</v>
      </c>
      <c r="AM151" s="16"/>
      <c r="AW151" s="8">
        <v>1</v>
      </c>
      <c r="AX151" s="8">
        <f t="shared" ca="1" si="53"/>
        <v>1.5</v>
      </c>
      <c r="AY151" s="8">
        <f t="shared" ca="1" si="48"/>
        <v>1.5</v>
      </c>
      <c r="AZ151" s="8">
        <f t="shared" ca="1" si="49"/>
        <v>1.5</v>
      </c>
      <c r="BA151" s="8">
        <f t="shared" ca="1" si="50"/>
        <v>1.5</v>
      </c>
      <c r="BB151" s="8">
        <f t="shared" ca="1" si="51"/>
        <v>1.7</v>
      </c>
      <c r="BC151" s="8">
        <f t="shared" ca="1" si="52"/>
        <v>1.7</v>
      </c>
      <c r="BE151" s="8">
        <f t="shared" ca="1" si="54"/>
        <v>0</v>
      </c>
      <c r="BF151" s="8">
        <f t="shared" ca="1" si="55"/>
        <v>0</v>
      </c>
      <c r="BG151" s="8">
        <f t="shared" ca="1" si="56"/>
        <v>0</v>
      </c>
    </row>
    <row r="152" spans="1:59" x14ac:dyDescent="0.2">
      <c r="A152" s="8" t="s">
        <v>103</v>
      </c>
      <c r="B152" s="8" t="s">
        <v>265</v>
      </c>
      <c r="C152" s="8">
        <v>-36.6</v>
      </c>
      <c r="D152" s="8">
        <v>456981.4</v>
      </c>
      <c r="E152" s="8">
        <v>5974090</v>
      </c>
      <c r="F152" s="8">
        <v>0</v>
      </c>
      <c r="G152" s="8">
        <v>-0.6</v>
      </c>
      <c r="H152" s="8">
        <v>0</v>
      </c>
      <c r="I152" s="8">
        <v>2</v>
      </c>
      <c r="J152" s="8">
        <v>0</v>
      </c>
      <c r="K152" s="8">
        <v>-61.7</v>
      </c>
      <c r="L152" s="8">
        <v>25.1</v>
      </c>
      <c r="M152" s="8">
        <v>1578.502</v>
      </c>
      <c r="N152" s="8">
        <v>87.1</v>
      </c>
      <c r="O152" s="8">
        <v>8</v>
      </c>
      <c r="P152" s="8">
        <v>10</v>
      </c>
      <c r="Q152" s="8">
        <v>2.4500000000000002</v>
      </c>
      <c r="R152" s="8">
        <v>68</v>
      </c>
      <c r="S152" s="8">
        <v>110</v>
      </c>
      <c r="T152" s="3">
        <v>147</v>
      </c>
      <c r="U152" s="8">
        <v>1295.53</v>
      </c>
      <c r="V152" s="8">
        <v>521.02700000000004</v>
      </c>
      <c r="W152" s="8">
        <v>752.85199999999998</v>
      </c>
      <c r="X152" s="8">
        <v>132.18100000000001</v>
      </c>
      <c r="Y152" s="8">
        <v>4.9400000000000004</v>
      </c>
      <c r="Z152" s="8">
        <v>8.0150000000000006</v>
      </c>
      <c r="AA152" s="8">
        <v>21.7</v>
      </c>
      <c r="AB152" s="8">
        <v>290.5</v>
      </c>
      <c r="AC152" s="8">
        <v>12404</v>
      </c>
      <c r="AD152" s="8">
        <v>3286</v>
      </c>
      <c r="AE152" s="8">
        <v>268</v>
      </c>
      <c r="AF152" s="8" cm="1">
        <f t="array" aca="1" ref="AF152" ca="1">_xlfn.XLOOKUP($A152,    INDIRECT("'" &amp; AF$16 &amp; "'!$A$20:$A$219"),    _xlfn.XLOOKUP(AF$18,INDIRECT("'" &amp; AF$16 &amp; "'!$B$18:$BC$18"), INDIRECT("'" &amp; AF$16 &amp; "'!$B$20:$BC$219"),"XXXXX",0,1),    "XX",    0,    1)</f>
        <v>15</v>
      </c>
      <c r="AG152" s="8" cm="1">
        <f t="array" aca="1" ref="AG152" ca="1">_xlfn.XLOOKUP($A152,    INDIRECT("'" &amp; AG$16 &amp; "'!$A$20:$A$219"),    _xlfn.XLOOKUP(AG$18,INDIRECT("'" &amp; AG$16 &amp; "'!$B$18:$BC$18"), INDIRECT("'" &amp; AG$16 &amp; "'!$B$20:$BC$219"),"XXXXX",0,1),    "XX",    0,    1)</f>
        <v>15</v>
      </c>
      <c r="AH152" s="8" cm="1">
        <f t="array" aca="1" ref="AH152" ca="1">_xlfn.XLOOKUP($A152,    INDIRECT("'" &amp; AH$16 &amp; "'!$A$20:$A$219"),    _xlfn.XLOOKUP(AH$18,INDIRECT("'" &amp; AH$16 &amp; "'!$B$18:$BC$18"), INDIRECT("'" &amp; AH$16 &amp; "'!$B$20:$BC$219"),"XXXXX",0,1),    "XX",    0,    1)</f>
        <v>15</v>
      </c>
      <c r="AI152" s="8" cm="1">
        <f t="array" aca="1" ref="AI152" ca="1">_xlfn.XLOOKUP($A152,    INDIRECT("'" &amp; AI$16 &amp; "'!$A$20:$A$219"),    _xlfn.XLOOKUP(AI$18,INDIRECT("'" &amp; AI$16 &amp; "'!$B$18:$BC$18"), INDIRECT("'" &amp; AI$16 &amp; "'!$B$20:$BC$219"),"XXXXX",0,1),    "XX",    0,    1)</f>
        <v>15</v>
      </c>
      <c r="AJ152" s="8" cm="1">
        <f t="array" aca="1" ref="AJ152" ca="1">_xlfn.XLOOKUP($A152,    INDIRECT("'" &amp; AJ$16 &amp; "'!$A$20:$A$219"),    _xlfn.XLOOKUP(AJ$18,INDIRECT("'" &amp; AJ$16 &amp; "'!$B$18:$BC$18"), INDIRECT("'" &amp; AJ$16 &amp; "'!$B$20:$BC$219"),"XXXXX",0,1),    "XX",    0,    1)</f>
        <v>15</v>
      </c>
      <c r="AK152" s="8" cm="1">
        <f t="array" aca="1" ref="AK152" ca="1">_xlfn.XLOOKUP($A152,    INDIRECT("'" &amp; AK$16 &amp; "'!$A$20:$A$219"),    _xlfn.XLOOKUP(AK$18,INDIRECT("'" &amp; AK$16 &amp; "'!$B$18:$BC$18"), INDIRECT("'" &amp; AK$16 &amp; "'!$B$20:$BC$219"),"XXXXX",0,1),    "XX",    0,    1)</f>
        <v>15</v>
      </c>
      <c r="AM152" s="16"/>
      <c r="AW152" s="8">
        <v>1</v>
      </c>
      <c r="AX152" s="8">
        <f t="shared" ca="1" si="53"/>
        <v>1.5</v>
      </c>
      <c r="AY152" s="8">
        <f t="shared" ca="1" si="48"/>
        <v>1.5</v>
      </c>
      <c r="AZ152" s="8">
        <f t="shared" ca="1" si="49"/>
        <v>1.5</v>
      </c>
      <c r="BA152" s="8">
        <f t="shared" ca="1" si="50"/>
        <v>1.5</v>
      </c>
      <c r="BB152" s="8">
        <f t="shared" ca="1" si="51"/>
        <v>1.5</v>
      </c>
      <c r="BC152" s="8">
        <f t="shared" ca="1" si="52"/>
        <v>1.5</v>
      </c>
      <c r="BE152" s="8">
        <f t="shared" ca="1" si="54"/>
        <v>0</v>
      </c>
      <c r="BF152" s="8">
        <f t="shared" ca="1" si="55"/>
        <v>0</v>
      </c>
      <c r="BG152" s="8">
        <f t="shared" ca="1" si="56"/>
        <v>0</v>
      </c>
    </row>
    <row r="153" spans="1:59" x14ac:dyDescent="0.2">
      <c r="A153" s="8" t="s">
        <v>72</v>
      </c>
      <c r="B153" s="8" t="s">
        <v>265</v>
      </c>
      <c r="C153" s="8">
        <v>-36.6</v>
      </c>
      <c r="D153" s="8">
        <v>459452</v>
      </c>
      <c r="E153" s="8">
        <v>5973390</v>
      </c>
      <c r="F153" s="8">
        <v>0</v>
      </c>
      <c r="G153" s="8">
        <v>-0.8</v>
      </c>
      <c r="H153" s="8">
        <v>0</v>
      </c>
      <c r="I153" s="8">
        <v>2</v>
      </c>
      <c r="J153" s="8">
        <v>0</v>
      </c>
      <c r="K153" s="8">
        <v>-63.9</v>
      </c>
      <c r="L153" s="8">
        <v>27.3</v>
      </c>
      <c r="M153" s="8">
        <v>1632.479</v>
      </c>
      <c r="N153" s="8">
        <v>89.3</v>
      </c>
      <c r="O153" s="8">
        <v>8</v>
      </c>
      <c r="P153" s="8">
        <v>10</v>
      </c>
      <c r="Q153" s="8">
        <v>2.65</v>
      </c>
      <c r="R153" s="8">
        <v>68</v>
      </c>
      <c r="S153" s="8">
        <v>110</v>
      </c>
      <c r="T153" s="3">
        <v>147</v>
      </c>
      <c r="U153" s="8">
        <v>1295.5170000000001</v>
      </c>
      <c r="V153" s="8">
        <v>577.14800000000002</v>
      </c>
      <c r="W153" s="8">
        <v>752.85199999999998</v>
      </c>
      <c r="X153" s="8">
        <v>132.18100000000001</v>
      </c>
      <c r="Y153" s="8">
        <v>4.9400000000000004</v>
      </c>
      <c r="Z153" s="8">
        <v>8.0150000000000006</v>
      </c>
      <c r="AA153" s="8">
        <v>21.7</v>
      </c>
      <c r="AB153" s="8">
        <v>290.5</v>
      </c>
      <c r="AC153" s="8">
        <v>12541</v>
      </c>
      <c r="AD153" s="8">
        <v>3286</v>
      </c>
      <c r="AE153" s="8">
        <v>268</v>
      </c>
      <c r="AF153" s="8" cm="1">
        <f t="array" aca="1" ref="AF153" ca="1">_xlfn.XLOOKUP($A153,    INDIRECT("'" &amp; AF$16 &amp; "'!$A$20:$A$219"),    _xlfn.XLOOKUP(AF$18,INDIRECT("'" &amp; AF$16 &amp; "'!$B$18:$BC$18"), INDIRECT("'" &amp; AF$16 &amp; "'!$B$20:$BC$219"),"XXXXX",0,1),    "XX",    0,    1)</f>
        <v>15</v>
      </c>
      <c r="AG153" s="8" cm="1">
        <f t="array" aca="1" ref="AG153" ca="1">_xlfn.XLOOKUP($A153,    INDIRECT("'" &amp; AG$16 &amp; "'!$A$20:$A$219"),    _xlfn.XLOOKUP(AG$18,INDIRECT("'" &amp; AG$16 &amp; "'!$B$18:$BC$18"), INDIRECT("'" &amp; AG$16 &amp; "'!$B$20:$BC$219"),"XXXXX",0,1),    "XX",    0,    1)</f>
        <v>15</v>
      </c>
      <c r="AH153" s="8" cm="1">
        <f t="array" aca="1" ref="AH153" ca="1">_xlfn.XLOOKUP($A153,    INDIRECT("'" &amp; AH$16 &amp; "'!$A$20:$A$219"),    _xlfn.XLOOKUP(AH$18,INDIRECT("'" &amp; AH$16 &amp; "'!$B$18:$BC$18"), INDIRECT("'" &amp; AH$16 &amp; "'!$B$20:$BC$219"),"XXXXX",0,1),    "XX",    0,    1)</f>
        <v>17</v>
      </c>
      <c r="AI153" s="8" cm="1">
        <f t="array" aca="1" ref="AI153" ca="1">_xlfn.XLOOKUP($A153,    INDIRECT("'" &amp; AI$16 &amp; "'!$A$20:$A$219"),    _xlfn.XLOOKUP(AI$18,INDIRECT("'" &amp; AI$16 &amp; "'!$B$18:$BC$18"), INDIRECT("'" &amp; AI$16 &amp; "'!$B$20:$BC$219"),"XXXXX",0,1),    "XX",    0,    1)</f>
        <v>17</v>
      </c>
      <c r="AJ153" s="8" cm="1">
        <f t="array" aca="1" ref="AJ153" ca="1">_xlfn.XLOOKUP($A153,    INDIRECT("'" &amp; AJ$16 &amp; "'!$A$20:$A$219"),    _xlfn.XLOOKUP(AJ$18,INDIRECT("'" &amp; AJ$16 &amp; "'!$B$18:$BC$18"), INDIRECT("'" &amp; AJ$16 &amp; "'!$B$20:$BC$219"),"XXXXX",0,1),    "XX",    0,    1)</f>
        <v>17</v>
      </c>
      <c r="AK153" s="8" cm="1">
        <f t="array" aca="1" ref="AK153" ca="1">_xlfn.XLOOKUP($A153,    INDIRECT("'" &amp; AK$16 &amp; "'!$A$20:$A$219"),    _xlfn.XLOOKUP(AK$18,INDIRECT("'" &amp; AK$16 &amp; "'!$B$18:$BC$18"), INDIRECT("'" &amp; AK$16 &amp; "'!$B$20:$BC$219"),"XXXXX",0,1),    "XX",    0,    1)</f>
        <v>17</v>
      </c>
      <c r="AM153" s="16"/>
      <c r="AW153" s="8">
        <v>1</v>
      </c>
      <c r="AX153" s="8">
        <f t="shared" ca="1" si="53"/>
        <v>1.5</v>
      </c>
      <c r="AY153" s="8">
        <f t="shared" ca="1" si="48"/>
        <v>1.5</v>
      </c>
      <c r="AZ153" s="8">
        <f t="shared" ca="1" si="49"/>
        <v>1.7</v>
      </c>
      <c r="BA153" s="8">
        <f t="shared" ca="1" si="50"/>
        <v>1.7</v>
      </c>
      <c r="BB153" s="8">
        <f t="shared" ca="1" si="51"/>
        <v>1.7</v>
      </c>
      <c r="BC153" s="8">
        <f t="shared" ca="1" si="52"/>
        <v>1.7</v>
      </c>
      <c r="BE153" s="8">
        <f t="shared" ca="1" si="54"/>
        <v>0</v>
      </c>
      <c r="BF153" s="8">
        <f t="shared" ca="1" si="55"/>
        <v>0</v>
      </c>
      <c r="BG153" s="8">
        <f t="shared" ca="1" si="56"/>
        <v>0</v>
      </c>
    </row>
    <row r="154" spans="1:59" x14ac:dyDescent="0.2">
      <c r="A154" s="8" t="s">
        <v>66</v>
      </c>
      <c r="B154" s="8" t="s">
        <v>265</v>
      </c>
      <c r="C154" s="8">
        <v>-37.9</v>
      </c>
      <c r="D154" s="8">
        <v>463237.4</v>
      </c>
      <c r="E154" s="8">
        <v>5970640</v>
      </c>
      <c r="F154" s="8">
        <v>0</v>
      </c>
      <c r="G154" s="8">
        <v>-0.6</v>
      </c>
      <c r="H154" s="8">
        <v>0</v>
      </c>
      <c r="I154" s="8">
        <v>2</v>
      </c>
      <c r="J154" s="8">
        <v>0</v>
      </c>
      <c r="K154" s="8">
        <v>-63.8</v>
      </c>
      <c r="L154" s="8">
        <v>25.9</v>
      </c>
      <c r="M154" s="8">
        <v>1641.8910000000001</v>
      </c>
      <c r="N154" s="8">
        <v>89.2</v>
      </c>
      <c r="O154" s="8">
        <v>8</v>
      </c>
      <c r="P154" s="8">
        <v>10</v>
      </c>
      <c r="Q154" s="8">
        <v>2.5299999999999998</v>
      </c>
      <c r="R154" s="8">
        <v>68</v>
      </c>
      <c r="S154" s="8">
        <v>110</v>
      </c>
      <c r="T154" s="3">
        <v>147</v>
      </c>
      <c r="U154" s="8">
        <v>1357.7460000000001</v>
      </c>
      <c r="V154" s="8">
        <v>452.86700000000002</v>
      </c>
      <c r="W154" s="8">
        <v>752.85199999999998</v>
      </c>
      <c r="X154" s="8">
        <v>132.18100000000001</v>
      </c>
      <c r="Y154" s="8">
        <v>4.9400000000000004</v>
      </c>
      <c r="Z154" s="8">
        <v>8.0150000000000006</v>
      </c>
      <c r="AA154" s="8">
        <v>21.7</v>
      </c>
      <c r="AB154" s="8">
        <v>290.5</v>
      </c>
      <c r="AC154" s="8">
        <v>12535</v>
      </c>
      <c r="AD154" s="8">
        <v>3366</v>
      </c>
      <c r="AE154" s="8">
        <v>268</v>
      </c>
      <c r="AF154" s="8" cm="1">
        <f t="array" aca="1" ref="AF154" ca="1">_xlfn.XLOOKUP($A154,    INDIRECT("'" &amp; AF$16 &amp; "'!$A$20:$A$219"),    _xlfn.XLOOKUP(AF$18,INDIRECT("'" &amp; AF$16 &amp; "'!$B$18:$BC$18"), INDIRECT("'" &amp; AF$16 &amp; "'!$B$20:$BC$219"),"XXXXX",0,1),    "XX",    0,    1)</f>
        <v>15</v>
      </c>
      <c r="AG154" s="8" cm="1">
        <f t="array" aca="1" ref="AG154" ca="1">_xlfn.XLOOKUP($A154,    INDIRECT("'" &amp; AG$16 &amp; "'!$A$20:$A$219"),    _xlfn.XLOOKUP(AG$18,INDIRECT("'" &amp; AG$16 &amp; "'!$B$18:$BC$18"), INDIRECT("'" &amp; AG$16 &amp; "'!$B$20:$BC$219"),"XXXXX",0,1),    "XX",    0,    1)</f>
        <v>15</v>
      </c>
      <c r="AH154" s="8" cm="1">
        <f t="array" aca="1" ref="AH154" ca="1">_xlfn.XLOOKUP($A154,    INDIRECT("'" &amp; AH$16 &amp; "'!$A$20:$A$219"),    _xlfn.XLOOKUP(AH$18,INDIRECT("'" &amp; AH$16 &amp; "'!$B$18:$BC$18"), INDIRECT("'" &amp; AH$16 &amp; "'!$B$20:$BC$219"),"XXXXX",0,1),    "XX",    0,    1)</f>
        <v>15</v>
      </c>
      <c r="AI154" s="8" cm="1">
        <f t="array" aca="1" ref="AI154" ca="1">_xlfn.XLOOKUP($A154,    INDIRECT("'" &amp; AI$16 &amp; "'!$A$20:$A$219"),    _xlfn.XLOOKUP(AI$18,INDIRECT("'" &amp; AI$16 &amp; "'!$B$18:$BC$18"), INDIRECT("'" &amp; AI$16 &amp; "'!$B$20:$BC$219"),"XXXXX",0,1),    "XX",    0,    1)</f>
        <v>15</v>
      </c>
      <c r="AJ154" s="8" cm="1">
        <f t="array" aca="1" ref="AJ154" ca="1">_xlfn.XLOOKUP($A154,    INDIRECT("'" &amp; AJ$16 &amp; "'!$A$20:$A$219"),    _xlfn.XLOOKUP(AJ$18,INDIRECT("'" &amp; AJ$16 &amp; "'!$B$18:$BC$18"), INDIRECT("'" &amp; AJ$16 &amp; "'!$B$20:$BC$219"),"XXXXX",0,1),    "XX",    0,    1)</f>
        <v>17</v>
      </c>
      <c r="AK154" s="8" cm="1">
        <f t="array" aca="1" ref="AK154" ca="1">_xlfn.XLOOKUP($A154,    INDIRECT("'" &amp; AK$16 &amp; "'!$A$20:$A$219"),    _xlfn.XLOOKUP(AK$18,INDIRECT("'" &amp; AK$16 &amp; "'!$B$18:$BC$18"), INDIRECT("'" &amp; AK$16 &amp; "'!$B$20:$BC$219"),"XXXXX",0,1),    "XX",    0,    1)</f>
        <v>17</v>
      </c>
      <c r="AM154" s="16"/>
      <c r="AW154" s="8">
        <v>1</v>
      </c>
      <c r="AX154" s="8">
        <f t="shared" ca="1" si="53"/>
        <v>1.5</v>
      </c>
      <c r="AY154" s="8">
        <f t="shared" ca="1" si="48"/>
        <v>1.5</v>
      </c>
      <c r="AZ154" s="8">
        <f t="shared" ca="1" si="49"/>
        <v>1.5</v>
      </c>
      <c r="BA154" s="8">
        <f t="shared" ca="1" si="50"/>
        <v>1.5</v>
      </c>
      <c r="BB154" s="8">
        <f t="shared" ca="1" si="51"/>
        <v>1.7</v>
      </c>
      <c r="BC154" s="8">
        <f t="shared" ca="1" si="52"/>
        <v>1.7</v>
      </c>
      <c r="BE154" s="8">
        <f t="shared" ca="1" si="54"/>
        <v>0</v>
      </c>
      <c r="BF154" s="8">
        <f t="shared" ca="1" si="55"/>
        <v>0</v>
      </c>
      <c r="BG154" s="8">
        <f t="shared" ca="1" si="56"/>
        <v>0</v>
      </c>
    </row>
    <row r="155" spans="1:59" x14ac:dyDescent="0.2">
      <c r="A155" s="8" t="s">
        <v>172</v>
      </c>
      <c r="B155" s="8" t="s">
        <v>265</v>
      </c>
      <c r="C155" s="8">
        <v>-39.9</v>
      </c>
      <c r="D155" s="8">
        <v>466616</v>
      </c>
      <c r="E155" s="8">
        <v>5968560</v>
      </c>
      <c r="F155" s="8">
        <v>0</v>
      </c>
      <c r="G155" s="8">
        <v>-0.7</v>
      </c>
      <c r="H155" s="8">
        <v>0</v>
      </c>
      <c r="I155" s="8">
        <v>2</v>
      </c>
      <c r="J155" s="8">
        <v>0</v>
      </c>
      <c r="K155" s="8">
        <v>-68</v>
      </c>
      <c r="L155" s="8">
        <v>28.1</v>
      </c>
      <c r="M155" s="8">
        <v>1771.9159999999999</v>
      </c>
      <c r="N155" s="8">
        <v>93.4</v>
      </c>
      <c r="O155" s="8">
        <v>8</v>
      </c>
      <c r="P155" s="8">
        <v>10.5</v>
      </c>
      <c r="Q155" s="8">
        <v>2.6095000000000002</v>
      </c>
      <c r="R155" s="8">
        <v>72</v>
      </c>
      <c r="S155" s="8">
        <v>112</v>
      </c>
      <c r="T155" s="3">
        <v>146</v>
      </c>
      <c r="U155" s="8">
        <v>1405.9949999999999</v>
      </c>
      <c r="V155" s="8">
        <v>329.00599999999997</v>
      </c>
      <c r="W155" s="8">
        <v>752.85199999999998</v>
      </c>
      <c r="X155" s="8">
        <v>132.18100000000001</v>
      </c>
      <c r="Y155" s="8">
        <v>4.9400000000000004</v>
      </c>
      <c r="Z155" s="8">
        <v>8.0150000000000006</v>
      </c>
      <c r="AA155" s="8">
        <v>21.7</v>
      </c>
      <c r="AB155" s="8">
        <v>290.5</v>
      </c>
      <c r="AC155" s="8">
        <v>12950</v>
      </c>
      <c r="AD155" s="8">
        <v>3564</v>
      </c>
      <c r="AE155" s="8">
        <v>268</v>
      </c>
      <c r="AF155" s="8" cm="1">
        <f t="array" aca="1" ref="AF155" ca="1">_xlfn.XLOOKUP($A155,    INDIRECT("'" &amp; AF$16 &amp; "'!$A$20:$A$219"),    _xlfn.XLOOKUP(AF$18,INDIRECT("'" &amp; AF$16 &amp; "'!$B$18:$BC$18"), INDIRECT("'" &amp; AF$16 &amp; "'!$B$20:$BC$219"),"XXXXX",0,1),    "XX",    0,    1)</f>
        <v>15</v>
      </c>
      <c r="AG155" s="8" cm="1">
        <f t="array" aca="1" ref="AG155" ca="1">_xlfn.XLOOKUP($A155,    INDIRECT("'" &amp; AG$16 &amp; "'!$A$20:$A$219"),    _xlfn.XLOOKUP(AG$18,INDIRECT("'" &amp; AG$16 &amp; "'!$B$18:$BC$18"), INDIRECT("'" &amp; AG$16 &amp; "'!$B$20:$BC$219"),"XXXXX",0,1),    "XX",    0,    1)</f>
        <v>15</v>
      </c>
      <c r="AH155" s="8" cm="1">
        <f t="array" aca="1" ref="AH155" ca="1">_xlfn.XLOOKUP($A155,    INDIRECT("'" &amp; AH$16 &amp; "'!$A$20:$A$219"),    _xlfn.XLOOKUP(AH$18,INDIRECT("'" &amp; AH$16 &amp; "'!$B$18:$BC$18"), INDIRECT("'" &amp; AH$16 &amp; "'!$B$20:$BC$219"),"XXXXX",0,1),    "XX",    0,    1)</f>
        <v>17</v>
      </c>
      <c r="AI155" s="8" cm="1">
        <f t="array" aca="1" ref="AI155" ca="1">_xlfn.XLOOKUP($A155,    INDIRECT("'" &amp; AI$16 &amp; "'!$A$20:$A$219"),    _xlfn.XLOOKUP(AI$18,INDIRECT("'" &amp; AI$16 &amp; "'!$B$18:$BC$18"), INDIRECT("'" &amp; AI$16 &amp; "'!$B$20:$BC$219"),"XXXXX",0,1),    "XX",    0,    1)</f>
        <v>17</v>
      </c>
      <c r="AJ155" s="8" cm="1">
        <f t="array" aca="1" ref="AJ155" ca="1">_xlfn.XLOOKUP($A155,    INDIRECT("'" &amp; AJ$16 &amp; "'!$A$20:$A$219"),    _xlfn.XLOOKUP(AJ$18,INDIRECT("'" &amp; AJ$16 &amp; "'!$B$18:$BC$18"), INDIRECT("'" &amp; AJ$16 &amp; "'!$B$20:$BC$219"),"XXXXX",0,1),    "XX",    0,    1)</f>
        <v>19</v>
      </c>
      <c r="AK155" s="8" cm="1">
        <f t="array" aca="1" ref="AK155" ca="1">_xlfn.XLOOKUP($A155,    INDIRECT("'" &amp; AK$16 &amp; "'!$A$20:$A$219"),    _xlfn.XLOOKUP(AK$18,INDIRECT("'" &amp; AK$16 &amp; "'!$B$18:$BC$18"), INDIRECT("'" &amp; AK$16 &amp; "'!$B$20:$BC$219"),"XXXXX",0,1),    "XX",    0,    1)</f>
        <v>19</v>
      </c>
      <c r="AM155" s="16"/>
      <c r="AW155" s="8">
        <v>1</v>
      </c>
      <c r="AX155" s="8">
        <f t="shared" ca="1" si="53"/>
        <v>1.4285714285714286</v>
      </c>
      <c r="AY155" s="8">
        <f t="shared" ca="1" si="48"/>
        <v>1.4285714285714286</v>
      </c>
      <c r="AZ155" s="8">
        <f t="shared" ca="1" si="49"/>
        <v>1.6190476190476191</v>
      </c>
      <c r="BA155" s="8">
        <f t="shared" ca="1" si="50"/>
        <v>1.6190476190476191</v>
      </c>
      <c r="BB155" s="8">
        <f t="shared" ca="1" si="51"/>
        <v>1.8095238095238095</v>
      </c>
      <c r="BC155" s="8">
        <f t="shared" ca="1" si="52"/>
        <v>1.8095238095238095</v>
      </c>
      <c r="BE155" s="8">
        <f t="shared" ca="1" si="54"/>
        <v>0</v>
      </c>
      <c r="BF155" s="8">
        <f t="shared" ca="1" si="55"/>
        <v>0</v>
      </c>
      <c r="BG155" s="8">
        <f t="shared" ca="1" si="56"/>
        <v>0</v>
      </c>
    </row>
    <row r="156" spans="1:59" x14ac:dyDescent="0.2">
      <c r="A156" s="8" t="s">
        <v>199</v>
      </c>
      <c r="B156" s="8" t="s">
        <v>265</v>
      </c>
      <c r="C156" s="8">
        <v>-45.1</v>
      </c>
      <c r="D156" s="8">
        <v>469237</v>
      </c>
      <c r="E156" s="8">
        <v>5967750</v>
      </c>
      <c r="F156" s="8">
        <v>0</v>
      </c>
      <c r="G156" s="8">
        <v>-0.7</v>
      </c>
      <c r="H156" s="8">
        <v>0</v>
      </c>
      <c r="I156" s="8">
        <v>2</v>
      </c>
      <c r="J156" s="8">
        <v>0</v>
      </c>
      <c r="K156" s="8">
        <v>-78.7</v>
      </c>
      <c r="L156" s="8">
        <v>33.6</v>
      </c>
      <c r="M156" s="8">
        <v>2094.7669999999998</v>
      </c>
      <c r="N156" s="8">
        <v>104.1</v>
      </c>
      <c r="O156" s="8">
        <v>8</v>
      </c>
      <c r="P156" s="8">
        <v>11</v>
      </c>
      <c r="Q156" s="8">
        <v>2.9908999999999999</v>
      </c>
      <c r="R156" s="8">
        <v>70</v>
      </c>
      <c r="S156" s="8">
        <v>117</v>
      </c>
      <c r="T156" s="3">
        <v>149</v>
      </c>
      <c r="U156" s="8">
        <v>1643.9580000000001</v>
      </c>
      <c r="V156" s="8">
        <v>472.935</v>
      </c>
      <c r="W156" s="8">
        <v>752.85199999999998</v>
      </c>
      <c r="X156" s="8">
        <v>132.18100000000001</v>
      </c>
      <c r="Y156" s="8">
        <v>4.9400000000000004</v>
      </c>
      <c r="Z156" s="8">
        <v>8.0150000000000006</v>
      </c>
      <c r="AA156" s="8">
        <v>21.7</v>
      </c>
      <c r="AB156" s="8">
        <v>290.5</v>
      </c>
      <c r="AC156" s="8">
        <v>13827</v>
      </c>
      <c r="AD156" s="8">
        <v>3984</v>
      </c>
      <c r="AE156" s="8">
        <v>268</v>
      </c>
      <c r="AF156" s="8" cm="1">
        <f t="array" aca="1" ref="AF156" ca="1">_xlfn.XLOOKUP($A156,    INDIRECT("'" &amp; AF$16 &amp; "'!$A$20:$A$219"),    _xlfn.XLOOKUP(AF$18,INDIRECT("'" &amp; AF$16 &amp; "'!$B$18:$BC$18"), INDIRECT("'" &amp; AF$16 &amp; "'!$B$20:$BC$219"),"XXXXX",0,1),    "XX",    0,    1)</f>
        <v>19</v>
      </c>
      <c r="AG156" s="8" cm="1">
        <f t="array" aca="1" ref="AG156" ca="1">_xlfn.XLOOKUP($A156,    INDIRECT("'" &amp; AG$16 &amp; "'!$A$20:$A$219"),    _xlfn.XLOOKUP(AG$18,INDIRECT("'" &amp; AG$16 &amp; "'!$B$18:$BC$18"), INDIRECT("'" &amp; AG$16 &amp; "'!$B$20:$BC$219"),"XXXXX",0,1),    "XX",    0,    1)</f>
        <v>19</v>
      </c>
      <c r="AH156" s="8" cm="1">
        <f t="array" aca="1" ref="AH156" ca="1">_xlfn.XLOOKUP($A156,    INDIRECT("'" &amp; AH$16 &amp; "'!$A$20:$A$219"),    _xlfn.XLOOKUP(AH$18,INDIRECT("'" &amp; AH$16 &amp; "'!$B$18:$BC$18"), INDIRECT("'" &amp; AH$16 &amp; "'!$B$20:$BC$219"),"XXXXX",0,1),    "XX",    0,    1)</f>
        <v>23</v>
      </c>
      <c r="AI156" s="8" cm="1">
        <f t="array" aca="1" ref="AI156" ca="1">_xlfn.XLOOKUP($A156,    INDIRECT("'" &amp; AI$16 &amp; "'!$A$20:$A$219"),    _xlfn.XLOOKUP(AI$18,INDIRECT("'" &amp; AI$16 &amp; "'!$B$18:$BC$18"), INDIRECT("'" &amp; AI$16 &amp; "'!$B$20:$BC$219"),"XXXXX",0,1),    "XX",    0,    1)</f>
        <v>23</v>
      </c>
      <c r="AJ156" s="8" cm="1">
        <f t="array" aca="1" ref="AJ156" ca="1">_xlfn.XLOOKUP($A156,    INDIRECT("'" &amp; AJ$16 &amp; "'!$A$20:$A$219"),    _xlfn.XLOOKUP(AJ$18,INDIRECT("'" &amp; AJ$16 &amp; "'!$B$18:$BC$18"), INDIRECT("'" &amp; AJ$16 &amp; "'!$B$20:$BC$219"),"XXXXX",0,1),    "XX",    0,    1)</f>
        <v>24.6</v>
      </c>
      <c r="AK156" s="8" cm="1">
        <f t="array" aca="1" ref="AK156" ca="1">_xlfn.XLOOKUP($A156,    INDIRECT("'" &amp; AK$16 &amp; "'!$A$20:$A$219"),    _xlfn.XLOOKUP(AK$18,INDIRECT("'" &amp; AK$16 &amp; "'!$B$18:$BC$18"), INDIRECT("'" &amp; AK$16 &amp; "'!$B$20:$BC$219"),"XXXXX",0,1),    "XX",    0,    1)</f>
        <v>24.6</v>
      </c>
      <c r="AM156" s="16"/>
      <c r="AW156" s="8">
        <v>1</v>
      </c>
      <c r="AX156" s="8">
        <f t="shared" ca="1" si="53"/>
        <v>1.7272727272727273</v>
      </c>
      <c r="AY156" s="8">
        <f t="shared" ca="1" si="48"/>
        <v>1.7272727272727273</v>
      </c>
      <c r="AZ156" s="8">
        <f t="shared" ca="1" si="49"/>
        <v>2.0909090909090908</v>
      </c>
      <c r="BA156" s="8">
        <f t="shared" ca="1" si="50"/>
        <v>2.0909090909090908</v>
      </c>
      <c r="BB156" s="8">
        <f t="shared" ca="1" si="51"/>
        <v>2.2363636363636363</v>
      </c>
      <c r="BC156" s="8">
        <f t="shared" ca="1" si="52"/>
        <v>2.2363636363636363</v>
      </c>
      <c r="BE156" s="8">
        <f t="shared" ca="1" si="54"/>
        <v>0</v>
      </c>
      <c r="BF156" s="8">
        <f t="shared" ca="1" si="55"/>
        <v>0</v>
      </c>
      <c r="BG156" s="8">
        <f t="shared" ca="1" si="56"/>
        <v>0</v>
      </c>
    </row>
    <row r="157" spans="1:59" x14ac:dyDescent="0.2">
      <c r="A157" s="8" t="s">
        <v>31</v>
      </c>
      <c r="B157" s="8" t="s">
        <v>269</v>
      </c>
      <c r="C157" s="8">
        <v>-36.799999999999997</v>
      </c>
      <c r="D157" s="8">
        <v>473128.1</v>
      </c>
      <c r="E157" s="8">
        <v>5964859.7999999998</v>
      </c>
      <c r="F157" s="8">
        <v>0</v>
      </c>
      <c r="G157" s="8">
        <v>-0.7</v>
      </c>
      <c r="H157" s="8">
        <v>0</v>
      </c>
      <c r="I157" s="8">
        <v>2</v>
      </c>
      <c r="J157" s="8">
        <v>0</v>
      </c>
      <c r="K157" s="8">
        <v>-66.8</v>
      </c>
      <c r="L157" s="8">
        <v>30</v>
      </c>
      <c r="M157" s="8">
        <v>1715.9159999999999</v>
      </c>
      <c r="N157" s="8">
        <v>92.2</v>
      </c>
      <c r="O157" s="8">
        <v>8</v>
      </c>
      <c r="P157" s="8">
        <v>10</v>
      </c>
      <c r="Q157" s="8">
        <v>2.93</v>
      </c>
      <c r="R157" s="8">
        <v>68</v>
      </c>
      <c r="S157" s="8">
        <v>110</v>
      </c>
      <c r="T157" s="3">
        <v>147</v>
      </c>
      <c r="U157" s="8">
        <v>1357.646</v>
      </c>
      <c r="V157" s="8">
        <v>452.86700000000002</v>
      </c>
      <c r="W157" s="8">
        <v>752.85199999999998</v>
      </c>
      <c r="X157" s="8">
        <v>132.18100000000001</v>
      </c>
      <c r="Y157" s="8">
        <v>4.9400000000000004</v>
      </c>
      <c r="Z157" s="8">
        <v>8.0150000000000006</v>
      </c>
      <c r="AA157" s="8">
        <v>21.7</v>
      </c>
      <c r="AB157" s="8">
        <v>290.5</v>
      </c>
      <c r="AC157" s="8">
        <v>12721</v>
      </c>
      <c r="AD157" s="8">
        <v>3298</v>
      </c>
      <c r="AE157" s="8">
        <v>268</v>
      </c>
      <c r="AF157" s="8" cm="1">
        <f t="array" aca="1" ref="AF157" ca="1">_xlfn.XLOOKUP($A157,    INDIRECT("'" &amp; AF$16 &amp; "'!$A$20:$A$219"),    _xlfn.XLOOKUP(AF$18,INDIRECT("'" &amp; AF$16 &amp; "'!$B$18:$BC$18"), INDIRECT("'" &amp; AF$16 &amp; "'!$B$20:$BC$219"),"XXXXX",0,1),    "XX",    0,    1)</f>
        <v>15</v>
      </c>
      <c r="AG157" s="8" cm="1">
        <f t="array" aca="1" ref="AG157" ca="1">_xlfn.XLOOKUP($A157,    INDIRECT("'" &amp; AG$16 &amp; "'!$A$20:$A$219"),    _xlfn.XLOOKUP(AG$18,INDIRECT("'" &amp; AG$16 &amp; "'!$B$18:$BC$18"), INDIRECT("'" &amp; AG$16 &amp; "'!$B$20:$BC$219"),"XXXXX",0,1),    "XX",    0,    1)</f>
        <v>15</v>
      </c>
      <c r="AH157" s="8" cm="1">
        <f t="array" aca="1" ref="AH157" ca="1">_xlfn.XLOOKUP($A157,    INDIRECT("'" &amp; AH$16 &amp; "'!$A$20:$A$219"),    _xlfn.XLOOKUP(AH$18,INDIRECT("'" &amp; AH$16 &amp; "'!$B$18:$BC$18"), INDIRECT("'" &amp; AH$16 &amp; "'!$B$20:$BC$219"),"XXXXX",0,1),    "XX",    0,    1)</f>
        <v>19</v>
      </c>
      <c r="AI157" s="8" cm="1">
        <f t="array" aca="1" ref="AI157" ca="1">_xlfn.XLOOKUP($A157,    INDIRECT("'" &amp; AI$16 &amp; "'!$A$20:$A$219"),    _xlfn.XLOOKUP(AI$18,INDIRECT("'" &amp; AI$16 &amp; "'!$B$18:$BC$18"), INDIRECT("'" &amp; AI$16 &amp; "'!$B$20:$BC$219"),"XXXXX",0,1),    "XX",    0,    1)</f>
        <v>19</v>
      </c>
      <c r="AJ157" s="8" cm="1">
        <f t="array" aca="1" ref="AJ157" ca="1">_xlfn.XLOOKUP($A157,    INDIRECT("'" &amp; AJ$16 &amp; "'!$A$20:$A$219"),    _xlfn.XLOOKUP(AJ$18,INDIRECT("'" &amp; AJ$16 &amp; "'!$B$18:$BC$18"), INDIRECT("'" &amp; AJ$16 &amp; "'!$B$20:$BC$219"),"XXXXX",0,1),    "XX",    0,    1)</f>
        <v>21</v>
      </c>
      <c r="AK157" s="8" cm="1">
        <f t="array" aca="1" ref="AK157" ca="1">_xlfn.XLOOKUP($A157,    INDIRECT("'" &amp; AK$16 &amp; "'!$A$20:$A$219"),    _xlfn.XLOOKUP(AK$18,INDIRECT("'" &amp; AK$16 &amp; "'!$B$18:$BC$18"), INDIRECT("'" &amp; AK$16 &amp; "'!$B$20:$BC$219"),"XXXXX",0,1),    "XX",    0,    1)</f>
        <v>21</v>
      </c>
      <c r="AM157" s="16"/>
      <c r="AW157" s="8">
        <v>1</v>
      </c>
      <c r="AX157" s="8">
        <f t="shared" ca="1" si="53"/>
        <v>1.5</v>
      </c>
      <c r="AY157" s="8">
        <f t="shared" ca="1" si="48"/>
        <v>1.5</v>
      </c>
      <c r="AZ157" s="8">
        <f t="shared" ca="1" si="49"/>
        <v>1.9</v>
      </c>
      <c r="BA157" s="8">
        <f t="shared" ca="1" si="50"/>
        <v>1.9</v>
      </c>
      <c r="BB157" s="8">
        <f t="shared" ca="1" si="51"/>
        <v>2.1</v>
      </c>
      <c r="BC157" s="8">
        <f t="shared" ca="1" si="52"/>
        <v>2.1</v>
      </c>
      <c r="BE157" s="8">
        <f t="shared" ca="1" si="54"/>
        <v>0</v>
      </c>
      <c r="BF157" s="8">
        <f t="shared" ca="1" si="55"/>
        <v>0</v>
      </c>
      <c r="BG157" s="8">
        <f t="shared" ca="1" si="56"/>
        <v>0</v>
      </c>
    </row>
    <row r="158" spans="1:59" x14ac:dyDescent="0.2">
      <c r="A158" s="8" t="s">
        <v>184</v>
      </c>
      <c r="B158" s="8" t="s">
        <v>265</v>
      </c>
      <c r="C158" s="8">
        <v>-39.9</v>
      </c>
      <c r="D158" s="8">
        <v>471135</v>
      </c>
      <c r="E158" s="8">
        <v>5971400</v>
      </c>
      <c r="F158" s="8">
        <v>0</v>
      </c>
      <c r="G158" s="8">
        <v>-0.6</v>
      </c>
      <c r="H158" s="8">
        <v>0</v>
      </c>
      <c r="I158" s="8">
        <v>2</v>
      </c>
      <c r="J158" s="8">
        <v>0</v>
      </c>
      <c r="K158" s="8">
        <v>-66.8</v>
      </c>
      <c r="L158" s="8">
        <v>26.9</v>
      </c>
      <c r="M158" s="8">
        <v>1722.5239999999999</v>
      </c>
      <c r="N158" s="8">
        <v>92.2</v>
      </c>
      <c r="O158" s="8">
        <v>8</v>
      </c>
      <c r="P158" s="8">
        <v>10.5</v>
      </c>
      <c r="Q158" s="8">
        <v>2.5047999999999999</v>
      </c>
      <c r="R158" s="8">
        <v>70</v>
      </c>
      <c r="S158" s="8">
        <v>112</v>
      </c>
      <c r="T158" s="3">
        <v>146</v>
      </c>
      <c r="U158" s="8">
        <v>1406.2080000000001</v>
      </c>
      <c r="V158" s="8">
        <v>423.21699999999998</v>
      </c>
      <c r="W158" s="8">
        <v>752.85199999999998</v>
      </c>
      <c r="X158" s="8">
        <v>132.18100000000001</v>
      </c>
      <c r="Y158" s="8">
        <v>4.9400000000000004</v>
      </c>
      <c r="Z158" s="8">
        <v>8.0150000000000006</v>
      </c>
      <c r="AA158" s="8">
        <v>21.7</v>
      </c>
      <c r="AB158" s="8">
        <v>290.5</v>
      </c>
      <c r="AC158" s="8">
        <v>12872</v>
      </c>
      <c r="AD158" s="8">
        <v>3565</v>
      </c>
      <c r="AE158" s="8">
        <v>268</v>
      </c>
      <c r="AF158" s="8" cm="1">
        <f t="array" aca="1" ref="AF158" ca="1">_xlfn.XLOOKUP($A158,    INDIRECT("'" &amp; AF$16 &amp; "'!$A$20:$A$219"),    _xlfn.XLOOKUP(AF$18,INDIRECT("'" &amp; AF$16 &amp; "'!$B$18:$BC$18"), INDIRECT("'" &amp; AF$16 &amp; "'!$B$20:$BC$219"),"XXXXX",0,1),    "XX",    0,    1)</f>
        <v>15</v>
      </c>
      <c r="AG158" s="8" cm="1">
        <f t="array" aca="1" ref="AG158" ca="1">_xlfn.XLOOKUP($A158,    INDIRECT("'" &amp; AG$16 &amp; "'!$A$20:$A$219"),    _xlfn.XLOOKUP(AG$18,INDIRECT("'" &amp; AG$16 &amp; "'!$B$18:$BC$18"), INDIRECT("'" &amp; AG$16 &amp; "'!$B$20:$BC$219"),"XXXXX",0,1),    "XX",    0,    1)</f>
        <v>15</v>
      </c>
      <c r="AH158" s="8" cm="1">
        <f t="array" aca="1" ref="AH158" ca="1">_xlfn.XLOOKUP($A158,    INDIRECT("'" &amp; AH$16 &amp; "'!$A$20:$A$219"),    _xlfn.XLOOKUP(AH$18,INDIRECT("'" &amp; AH$16 &amp; "'!$B$18:$BC$18"), INDIRECT("'" &amp; AH$16 &amp; "'!$B$20:$BC$219"),"XXXXX",0,1),    "XX",    0,    1)</f>
        <v>17</v>
      </c>
      <c r="AI158" s="8" cm="1">
        <f t="array" aca="1" ref="AI158" ca="1">_xlfn.XLOOKUP($A158,    INDIRECT("'" &amp; AI$16 &amp; "'!$A$20:$A$219"),    _xlfn.XLOOKUP(AI$18,INDIRECT("'" &amp; AI$16 &amp; "'!$B$18:$BC$18"), INDIRECT("'" &amp; AI$16 &amp; "'!$B$20:$BC$219"),"XXXXX",0,1),    "XX",    0,    1)</f>
        <v>17</v>
      </c>
      <c r="AJ158" s="8" cm="1">
        <f t="array" aca="1" ref="AJ158" ca="1">_xlfn.XLOOKUP($A158,    INDIRECT("'" &amp; AJ$16 &amp; "'!$A$20:$A$219"),    _xlfn.XLOOKUP(AJ$18,INDIRECT("'" &amp; AJ$16 &amp; "'!$B$18:$BC$18"), INDIRECT("'" &amp; AJ$16 &amp; "'!$B$20:$BC$219"),"XXXXX",0,1),    "XX",    0,    1)</f>
        <v>17</v>
      </c>
      <c r="AK158" s="8" cm="1">
        <f t="array" aca="1" ref="AK158" ca="1">_xlfn.XLOOKUP($A158,    INDIRECT("'" &amp; AK$16 &amp; "'!$A$20:$A$219"),    _xlfn.XLOOKUP(AK$18,INDIRECT("'" &amp; AK$16 &amp; "'!$B$18:$BC$18"), INDIRECT("'" &amp; AK$16 &amp; "'!$B$20:$BC$219"),"XXXXX",0,1),    "XX",    0,    1)</f>
        <v>17</v>
      </c>
      <c r="AM158" s="16"/>
      <c r="AW158" s="8">
        <v>1</v>
      </c>
      <c r="AX158" s="8">
        <f t="shared" ca="1" si="53"/>
        <v>1.4285714285714286</v>
      </c>
      <c r="AY158" s="8">
        <f t="shared" ca="1" si="48"/>
        <v>1.4285714285714286</v>
      </c>
      <c r="AZ158" s="8">
        <f t="shared" ca="1" si="49"/>
        <v>1.6190476190476191</v>
      </c>
      <c r="BA158" s="8">
        <f t="shared" ca="1" si="50"/>
        <v>1.6190476190476191</v>
      </c>
      <c r="BB158" s="8">
        <f t="shared" ca="1" si="51"/>
        <v>1.6190476190476191</v>
      </c>
      <c r="BC158" s="8">
        <f t="shared" ca="1" si="52"/>
        <v>1.6190476190476191</v>
      </c>
      <c r="BE158" s="8">
        <f t="shared" ca="1" si="54"/>
        <v>0</v>
      </c>
      <c r="BF158" s="8">
        <f t="shared" ca="1" si="55"/>
        <v>0</v>
      </c>
      <c r="BG158" s="8">
        <f t="shared" ca="1" si="56"/>
        <v>0</v>
      </c>
    </row>
    <row r="159" spans="1:59" x14ac:dyDescent="0.2">
      <c r="A159" s="8" t="s">
        <v>24</v>
      </c>
      <c r="B159" s="8" t="s">
        <v>269</v>
      </c>
      <c r="C159" s="8">
        <v>-35.9</v>
      </c>
      <c r="D159" s="8">
        <v>473540.5</v>
      </c>
      <c r="E159" s="8">
        <v>5970810</v>
      </c>
      <c r="F159" s="8">
        <v>0</v>
      </c>
      <c r="G159" s="8">
        <v>-0.6</v>
      </c>
      <c r="H159" s="8">
        <v>0</v>
      </c>
      <c r="I159" s="8">
        <v>2</v>
      </c>
      <c r="J159" s="8">
        <v>0</v>
      </c>
      <c r="K159" s="8">
        <v>-67.2</v>
      </c>
      <c r="L159" s="8">
        <v>31.3</v>
      </c>
      <c r="M159" s="8">
        <v>1699.1369999999999</v>
      </c>
      <c r="N159" s="8">
        <v>92.6</v>
      </c>
      <c r="O159" s="8">
        <v>8</v>
      </c>
      <c r="P159" s="8">
        <v>10</v>
      </c>
      <c r="Q159" s="8">
        <v>3.07</v>
      </c>
      <c r="R159" s="8">
        <v>68</v>
      </c>
      <c r="S159" s="8">
        <v>110</v>
      </c>
      <c r="T159" s="3">
        <v>147</v>
      </c>
      <c r="U159" s="8">
        <v>1420.1379999999999</v>
      </c>
      <c r="V159" s="8">
        <v>483.86799999999999</v>
      </c>
      <c r="W159" s="8">
        <v>752.85199999999998</v>
      </c>
      <c r="X159" s="8">
        <v>132.18100000000001</v>
      </c>
      <c r="Y159" s="8">
        <v>4.9400000000000004</v>
      </c>
      <c r="Z159" s="8">
        <v>8.0150000000000006</v>
      </c>
      <c r="AA159" s="8">
        <v>21.7</v>
      </c>
      <c r="AB159" s="8">
        <v>290.5</v>
      </c>
      <c r="AC159" s="8">
        <v>12747</v>
      </c>
      <c r="AD159" s="8">
        <v>3242</v>
      </c>
      <c r="AE159" s="8">
        <v>268</v>
      </c>
      <c r="AF159" s="8" cm="1">
        <f t="array" aca="1" ref="AF159" ca="1">_xlfn.XLOOKUP($A159,    INDIRECT("'" &amp; AF$16 &amp; "'!$A$20:$A$219"),    _xlfn.XLOOKUP(AF$18,INDIRECT("'" &amp; AF$16 &amp; "'!$B$18:$BC$18"), INDIRECT("'" &amp; AF$16 &amp; "'!$B$20:$BC$219"),"XXXXX",0,1),    "XX",    0,    1)</f>
        <v>17</v>
      </c>
      <c r="AG159" s="8" cm="1">
        <f t="array" aca="1" ref="AG159" ca="1">_xlfn.XLOOKUP($A159,    INDIRECT("'" &amp; AG$16 &amp; "'!$A$20:$A$219"),    _xlfn.XLOOKUP(AG$18,INDIRECT("'" &amp; AG$16 &amp; "'!$B$18:$BC$18"), INDIRECT("'" &amp; AG$16 &amp; "'!$B$20:$BC$219"),"XXXXX",0,1),    "XX",    0,    1)</f>
        <v>17</v>
      </c>
      <c r="AH159" s="8" cm="1">
        <f t="array" aca="1" ref="AH159" ca="1">_xlfn.XLOOKUP($A159,    INDIRECT("'" &amp; AH$16 &amp; "'!$A$20:$A$219"),    _xlfn.XLOOKUP(AH$18,INDIRECT("'" &amp; AH$16 &amp; "'!$B$18:$BC$18"), INDIRECT("'" &amp; AH$16 &amp; "'!$B$20:$BC$219"),"XXXXX",0,1),    "XX",    0,    1)</f>
        <v>21</v>
      </c>
      <c r="AI159" s="8" cm="1">
        <f t="array" aca="1" ref="AI159" ca="1">_xlfn.XLOOKUP($A159,    INDIRECT("'" &amp; AI$16 &amp; "'!$A$20:$A$219"),    _xlfn.XLOOKUP(AI$18,INDIRECT("'" &amp; AI$16 &amp; "'!$B$18:$BC$18"), INDIRECT("'" &amp; AI$16 &amp; "'!$B$20:$BC$219"),"XXXXX",0,1),    "XX",    0,    1)</f>
        <v>21</v>
      </c>
      <c r="AJ159" s="8" cm="1">
        <f t="array" aca="1" ref="AJ159" ca="1">_xlfn.XLOOKUP($A159,    INDIRECT("'" &amp; AJ$16 &amp; "'!$A$20:$A$219"),    _xlfn.XLOOKUP(AJ$18,INDIRECT("'" &amp; AJ$16 &amp; "'!$B$18:$BC$18"), INDIRECT("'" &amp; AJ$16 &amp; "'!$B$20:$BC$219"),"XXXXX",0,1),    "XX",    0,    1)</f>
        <v>21</v>
      </c>
      <c r="AK159" s="8" cm="1">
        <f t="array" aca="1" ref="AK159" ca="1">_xlfn.XLOOKUP($A159,    INDIRECT("'" &amp; AK$16 &amp; "'!$A$20:$A$219"),    _xlfn.XLOOKUP(AK$18,INDIRECT("'" &amp; AK$16 &amp; "'!$B$18:$BC$18"), INDIRECT("'" &amp; AK$16 &amp; "'!$B$20:$BC$219"),"XXXXX",0,1),    "XX",    0,    1)</f>
        <v>21</v>
      </c>
      <c r="AM159" s="16"/>
      <c r="AW159" s="8">
        <v>1</v>
      </c>
      <c r="AX159" s="8">
        <f t="shared" ca="1" si="53"/>
        <v>1.7</v>
      </c>
      <c r="AY159" s="8">
        <f t="shared" ca="1" si="48"/>
        <v>1.7</v>
      </c>
      <c r="AZ159" s="8">
        <f t="shared" ca="1" si="49"/>
        <v>2.1</v>
      </c>
      <c r="BA159" s="8">
        <f t="shared" ca="1" si="50"/>
        <v>2.1</v>
      </c>
      <c r="BB159" s="8">
        <f t="shared" ca="1" si="51"/>
        <v>2.1</v>
      </c>
      <c r="BC159" s="8">
        <f t="shared" ca="1" si="52"/>
        <v>2.1</v>
      </c>
      <c r="BE159" s="8">
        <f t="shared" ca="1" si="54"/>
        <v>0</v>
      </c>
      <c r="BF159" s="8">
        <f t="shared" ca="1" si="55"/>
        <v>0</v>
      </c>
      <c r="BG159" s="8">
        <f t="shared" ca="1" si="56"/>
        <v>0</v>
      </c>
    </row>
    <row r="160" spans="1:59" x14ac:dyDescent="0.2">
      <c r="A160" s="8" t="s">
        <v>129</v>
      </c>
      <c r="B160" s="8" t="s">
        <v>265</v>
      </c>
      <c r="C160" s="8">
        <v>-31.2</v>
      </c>
      <c r="D160" s="8">
        <v>474030</v>
      </c>
      <c r="E160" s="8">
        <v>5973220</v>
      </c>
      <c r="F160" s="8">
        <v>0</v>
      </c>
      <c r="G160" s="8">
        <v>-0.6</v>
      </c>
      <c r="H160" s="8">
        <v>0</v>
      </c>
      <c r="I160" s="8">
        <v>2</v>
      </c>
      <c r="J160" s="8">
        <v>0</v>
      </c>
      <c r="K160" s="8">
        <v>-60.2</v>
      </c>
      <c r="L160" s="8">
        <v>29</v>
      </c>
      <c r="M160" s="8">
        <v>1478.508</v>
      </c>
      <c r="N160" s="8">
        <v>85.6</v>
      </c>
      <c r="O160" s="8">
        <v>8</v>
      </c>
      <c r="P160" s="8">
        <v>10</v>
      </c>
      <c r="Q160" s="8">
        <v>2.84</v>
      </c>
      <c r="R160" s="8">
        <v>68</v>
      </c>
      <c r="S160" s="8">
        <v>110</v>
      </c>
      <c r="T160" s="3">
        <v>147</v>
      </c>
      <c r="U160" s="8">
        <v>1296.0329999999999</v>
      </c>
      <c r="V160" s="8">
        <v>586.55999999999995</v>
      </c>
      <c r="W160" s="8">
        <v>752.85199999999998</v>
      </c>
      <c r="X160" s="8">
        <v>132.18100000000001</v>
      </c>
      <c r="Y160" s="8">
        <v>4.9400000000000004</v>
      </c>
      <c r="Z160" s="8">
        <v>8.0150000000000006</v>
      </c>
      <c r="AA160" s="8">
        <v>21.7</v>
      </c>
      <c r="AB160" s="8">
        <v>290.5</v>
      </c>
      <c r="AC160" s="8">
        <v>12313</v>
      </c>
      <c r="AD160" s="8">
        <v>2950</v>
      </c>
      <c r="AE160" s="8">
        <v>268</v>
      </c>
      <c r="AF160" s="8" cm="1">
        <f t="array" aca="1" ref="AF160" ca="1">_xlfn.XLOOKUP($A160,    INDIRECT("'" &amp; AF$16 &amp; "'!$A$20:$A$219"),    _xlfn.XLOOKUP(AF$18,INDIRECT("'" &amp; AF$16 &amp; "'!$B$18:$BC$18"), INDIRECT("'" &amp; AF$16 &amp; "'!$B$20:$BC$219"),"XXXXX",0,1),    "XX",    0,    1)</f>
        <v>15</v>
      </c>
      <c r="AG160" s="8" cm="1">
        <f t="array" aca="1" ref="AG160" ca="1">_xlfn.XLOOKUP($A160,    INDIRECT("'" &amp; AG$16 &amp; "'!$A$20:$A$219"),    _xlfn.XLOOKUP(AG$18,INDIRECT("'" &amp; AG$16 &amp; "'!$B$18:$BC$18"), INDIRECT("'" &amp; AG$16 &amp; "'!$B$20:$BC$219"),"XXXXX",0,1),    "XX",    0,    1)</f>
        <v>15</v>
      </c>
      <c r="AH160" s="8" cm="1">
        <f t="array" aca="1" ref="AH160" ca="1">_xlfn.XLOOKUP($A160,    INDIRECT("'" &amp; AH$16 &amp; "'!$A$20:$A$219"),    _xlfn.XLOOKUP(AH$18,INDIRECT("'" &amp; AH$16 &amp; "'!$B$18:$BC$18"), INDIRECT("'" &amp; AH$16 &amp; "'!$B$20:$BC$219"),"XXXXX",0,1),    "XX",    0,    1)</f>
        <v>19</v>
      </c>
      <c r="AI160" s="8" cm="1">
        <f t="array" aca="1" ref="AI160" ca="1">_xlfn.XLOOKUP($A160,    INDIRECT("'" &amp; AI$16 &amp; "'!$A$20:$A$219"),    _xlfn.XLOOKUP(AI$18,INDIRECT("'" &amp; AI$16 &amp; "'!$B$18:$BC$18"), INDIRECT("'" &amp; AI$16 &amp; "'!$B$20:$BC$219"),"XXXXX",0,1),    "XX",    0,    1)</f>
        <v>19</v>
      </c>
      <c r="AJ160" s="8" cm="1">
        <f t="array" aca="1" ref="AJ160" ca="1">_xlfn.XLOOKUP($A160,    INDIRECT("'" &amp; AJ$16 &amp; "'!$A$20:$A$219"),    _xlfn.XLOOKUP(AJ$18,INDIRECT("'" &amp; AJ$16 &amp; "'!$B$18:$BC$18"), INDIRECT("'" &amp; AJ$16 &amp; "'!$B$20:$BC$219"),"XXXXX",0,1),    "XX",    0,    1)</f>
        <v>19</v>
      </c>
      <c r="AK160" s="8" cm="1">
        <f t="array" aca="1" ref="AK160" ca="1">_xlfn.XLOOKUP($A160,    INDIRECT("'" &amp; AK$16 &amp; "'!$A$20:$A$219"),    _xlfn.XLOOKUP(AK$18,INDIRECT("'" &amp; AK$16 &amp; "'!$B$18:$BC$18"), INDIRECT("'" &amp; AK$16 &amp; "'!$B$20:$BC$219"),"XXXXX",0,1),    "XX",    0,    1)</f>
        <v>19</v>
      </c>
      <c r="AM160" s="16"/>
      <c r="AW160" s="8">
        <v>1</v>
      </c>
      <c r="AX160" s="8">
        <f t="shared" ca="1" si="53"/>
        <v>1.5</v>
      </c>
      <c r="AY160" s="8">
        <f t="shared" ca="1" si="48"/>
        <v>1.5</v>
      </c>
      <c r="AZ160" s="8">
        <f t="shared" ca="1" si="49"/>
        <v>1.9</v>
      </c>
      <c r="BA160" s="8">
        <f t="shared" ca="1" si="50"/>
        <v>1.9</v>
      </c>
      <c r="BB160" s="8">
        <f t="shared" ca="1" si="51"/>
        <v>1.9</v>
      </c>
      <c r="BC160" s="8">
        <f t="shared" ca="1" si="52"/>
        <v>1.9</v>
      </c>
      <c r="BE160" s="8">
        <f t="shared" ca="1" si="54"/>
        <v>0</v>
      </c>
      <c r="BF160" s="8">
        <f t="shared" ca="1" si="55"/>
        <v>0</v>
      </c>
      <c r="BG160" s="8">
        <f t="shared" ca="1" si="56"/>
        <v>0</v>
      </c>
    </row>
    <row r="161" spans="1:59" x14ac:dyDescent="0.2">
      <c r="A161" s="8" t="s">
        <v>168</v>
      </c>
      <c r="B161" s="8" t="s">
        <v>265</v>
      </c>
      <c r="C161" s="8">
        <v>-37.4</v>
      </c>
      <c r="D161" s="8">
        <v>451758.6</v>
      </c>
      <c r="E161" s="8">
        <v>5976071.2000000002</v>
      </c>
      <c r="F161" s="8">
        <v>0</v>
      </c>
      <c r="G161" s="8">
        <v>-0.6</v>
      </c>
      <c r="H161" s="8">
        <v>0</v>
      </c>
      <c r="I161" s="8">
        <v>2</v>
      </c>
      <c r="J161" s="8">
        <v>0</v>
      </c>
      <c r="K161" s="8">
        <v>-71.900000000000006</v>
      </c>
      <c r="L161" s="8">
        <v>34.5</v>
      </c>
      <c r="M161" s="8">
        <v>1855.6030000000001</v>
      </c>
      <c r="N161" s="8">
        <v>97.3</v>
      </c>
      <c r="O161" s="8">
        <v>8</v>
      </c>
      <c r="P161" s="8">
        <v>10.5</v>
      </c>
      <c r="Q161" s="8">
        <v>3.2286000000000001</v>
      </c>
      <c r="R161" s="8">
        <v>72</v>
      </c>
      <c r="S161" s="8">
        <v>112</v>
      </c>
      <c r="T161" s="3">
        <v>146</v>
      </c>
      <c r="U161" s="8">
        <v>1471.44</v>
      </c>
      <c r="V161" s="8">
        <v>493.01</v>
      </c>
      <c r="W161" s="8">
        <v>752.85199999999998</v>
      </c>
      <c r="X161" s="8">
        <v>132.18100000000001</v>
      </c>
      <c r="Y161" s="8">
        <v>4.9400000000000004</v>
      </c>
      <c r="Z161" s="8">
        <v>8.0150000000000006</v>
      </c>
      <c r="AA161" s="8">
        <v>21.7</v>
      </c>
      <c r="AB161" s="8">
        <v>290.5</v>
      </c>
      <c r="AC161" s="8">
        <v>13205</v>
      </c>
      <c r="AD161" s="8">
        <v>3400</v>
      </c>
      <c r="AE161" s="8">
        <v>268</v>
      </c>
      <c r="AF161" s="8" cm="1">
        <f t="array" aca="1" ref="AF161" ca="1">_xlfn.XLOOKUP($A161,    INDIRECT("'" &amp; AF$16 &amp; "'!$A$20:$A$219"),    _xlfn.XLOOKUP(AF$18,INDIRECT("'" &amp; AF$16 &amp; "'!$B$18:$BC$18"), INDIRECT("'" &amp; AF$16 &amp; "'!$B$20:$BC$219"),"XXXXX",0,1),    "XX",    0,    1)</f>
        <v>19</v>
      </c>
      <c r="AG161" s="8" cm="1">
        <f t="array" aca="1" ref="AG161" ca="1">_xlfn.XLOOKUP($A161,    INDIRECT("'" &amp; AG$16 &amp; "'!$A$20:$A$219"),    _xlfn.XLOOKUP(AG$18,INDIRECT("'" &amp; AG$16 &amp; "'!$B$18:$BC$18"), INDIRECT("'" &amp; AG$16 &amp; "'!$B$20:$BC$219"),"XXXXX",0,1),    "XX",    0,    1)</f>
        <v>19</v>
      </c>
      <c r="AH161" s="8" cm="1">
        <f t="array" aca="1" ref="AH161" ca="1">_xlfn.XLOOKUP($A161,    INDIRECT("'" &amp; AH$16 &amp; "'!$A$20:$A$219"),    _xlfn.XLOOKUP(AH$18,INDIRECT("'" &amp; AH$16 &amp; "'!$B$18:$BC$18"), INDIRECT("'" &amp; AH$16 &amp; "'!$B$20:$BC$219"),"XXXXX",0,1),    "XX",    0,    1)</f>
        <v>23</v>
      </c>
      <c r="AI161" s="8" cm="1">
        <f t="array" aca="1" ref="AI161" ca="1">_xlfn.XLOOKUP($A161,    INDIRECT("'" &amp; AI$16 &amp; "'!$A$20:$A$219"),    _xlfn.XLOOKUP(AI$18,INDIRECT("'" &amp; AI$16 &amp; "'!$B$18:$BC$18"), INDIRECT("'" &amp; AI$16 &amp; "'!$B$20:$BC$219"),"XXXXX",0,1),    "XX",    0,    1)</f>
        <v>23</v>
      </c>
      <c r="AJ161" s="8" cm="1">
        <f t="array" aca="1" ref="AJ161" ca="1">_xlfn.XLOOKUP($A161,    INDIRECT("'" &amp; AJ$16 &amp; "'!$A$20:$A$219"),    _xlfn.XLOOKUP(AJ$18,INDIRECT("'" &amp; AJ$16 &amp; "'!$B$18:$BC$18"), INDIRECT("'" &amp; AJ$16 &amp; "'!$B$20:$BC$219"),"XXXXX",0,1),    "XX",    0,    1)</f>
        <v>24.6</v>
      </c>
      <c r="AK161" s="8" cm="1">
        <f t="array" aca="1" ref="AK161" ca="1">_xlfn.XLOOKUP($A161,    INDIRECT("'" &amp; AK$16 &amp; "'!$A$20:$A$219"),    _xlfn.XLOOKUP(AK$18,INDIRECT("'" &amp; AK$16 &amp; "'!$B$18:$BC$18"), INDIRECT("'" &amp; AK$16 &amp; "'!$B$20:$BC$219"),"XXXXX",0,1),    "XX",    0,    1)</f>
        <v>24.6</v>
      </c>
      <c r="AM161" s="16"/>
      <c r="AW161" s="8">
        <v>1</v>
      </c>
      <c r="AX161" s="8">
        <f t="shared" ca="1" si="53"/>
        <v>1.8095238095238095</v>
      </c>
      <c r="AY161" s="8">
        <f t="shared" ca="1" si="48"/>
        <v>1.8095238095238095</v>
      </c>
      <c r="AZ161" s="8">
        <f t="shared" ca="1" si="49"/>
        <v>2.1904761904761907</v>
      </c>
      <c r="BA161" s="8">
        <f t="shared" ca="1" si="50"/>
        <v>2.1904761904761907</v>
      </c>
      <c r="BB161" s="8">
        <f t="shared" ca="1" si="51"/>
        <v>2.342857142857143</v>
      </c>
      <c r="BC161" s="8">
        <f t="shared" ca="1" si="52"/>
        <v>2.342857142857143</v>
      </c>
      <c r="BE161" s="8">
        <f t="shared" ca="1" si="54"/>
        <v>0</v>
      </c>
      <c r="BF161" s="8">
        <f t="shared" ca="1" si="55"/>
        <v>0</v>
      </c>
      <c r="BG161" s="8">
        <f t="shared" ca="1" si="56"/>
        <v>0</v>
      </c>
    </row>
    <row r="162" spans="1:59" x14ac:dyDescent="0.2">
      <c r="A162" s="8" t="s">
        <v>189</v>
      </c>
      <c r="B162" s="8" t="s">
        <v>265</v>
      </c>
      <c r="C162" s="8">
        <v>-39.5</v>
      </c>
      <c r="D162" s="8">
        <v>452933</v>
      </c>
      <c r="E162" s="8">
        <v>5977408</v>
      </c>
      <c r="F162" s="8">
        <v>0</v>
      </c>
      <c r="G162" s="8">
        <v>-0.6</v>
      </c>
      <c r="H162" s="8">
        <v>0</v>
      </c>
      <c r="I162" s="8">
        <v>2</v>
      </c>
      <c r="J162" s="8">
        <v>0</v>
      </c>
      <c r="K162" s="8">
        <v>-72.5</v>
      </c>
      <c r="L162" s="8">
        <v>33</v>
      </c>
      <c r="M162" s="8">
        <v>1907.65</v>
      </c>
      <c r="N162" s="8">
        <v>97.9</v>
      </c>
      <c r="O162" s="8">
        <v>8</v>
      </c>
      <c r="P162" s="8">
        <v>11</v>
      </c>
      <c r="Q162" s="8">
        <v>2.9455</v>
      </c>
      <c r="R162" s="8">
        <v>70</v>
      </c>
      <c r="S162" s="8">
        <v>117</v>
      </c>
      <c r="T162" s="3">
        <v>149</v>
      </c>
      <c r="U162" s="8">
        <v>1507.16</v>
      </c>
      <c r="V162" s="8">
        <v>438.47800000000001</v>
      </c>
      <c r="W162" s="8">
        <v>752.85199999999998</v>
      </c>
      <c r="X162" s="8">
        <v>132.18100000000001</v>
      </c>
      <c r="Y162" s="8">
        <v>4.9400000000000004</v>
      </c>
      <c r="Z162" s="8">
        <v>8.0150000000000006</v>
      </c>
      <c r="AA162" s="8">
        <v>21.7</v>
      </c>
      <c r="AB162" s="8">
        <v>290.5</v>
      </c>
      <c r="AC162" s="8">
        <v>13403</v>
      </c>
      <c r="AD162" s="8">
        <v>3601</v>
      </c>
      <c r="AE162" s="8">
        <v>268</v>
      </c>
      <c r="AF162" s="8" cm="1">
        <f t="array" aca="1" ref="AF162" ca="1">_xlfn.XLOOKUP($A162,    INDIRECT("'" &amp; AF$16 &amp; "'!$A$20:$A$219"),    _xlfn.XLOOKUP(AF$18,INDIRECT("'" &amp; AF$16 &amp; "'!$B$18:$BC$18"), INDIRECT("'" &amp; AF$16 &amp; "'!$B$20:$BC$219"),"XXXXX",0,1),    "XX",    0,    1)</f>
        <v>19</v>
      </c>
      <c r="AG162" s="8" cm="1">
        <f t="array" aca="1" ref="AG162" ca="1">_xlfn.XLOOKUP($A162,    INDIRECT("'" &amp; AG$16 &amp; "'!$A$20:$A$219"),    _xlfn.XLOOKUP(AG$18,INDIRECT("'" &amp; AG$16 &amp; "'!$B$18:$BC$18"), INDIRECT("'" &amp; AG$16 &amp; "'!$B$20:$BC$219"),"XXXXX",0,1),    "XX",    0,    1)</f>
        <v>19</v>
      </c>
      <c r="AH162" s="8" cm="1">
        <f t="array" aca="1" ref="AH162" ca="1">_xlfn.XLOOKUP($A162,    INDIRECT("'" &amp; AH$16 &amp; "'!$A$20:$A$219"),    _xlfn.XLOOKUP(AH$18,INDIRECT("'" &amp; AH$16 &amp; "'!$B$18:$BC$18"), INDIRECT("'" &amp; AH$16 &amp; "'!$B$20:$BC$219"),"XXXXX",0,1),    "XX",    0,    1)</f>
        <v>23</v>
      </c>
      <c r="AI162" s="8" cm="1">
        <f t="array" aca="1" ref="AI162" ca="1">_xlfn.XLOOKUP($A162,    INDIRECT("'" &amp; AI$16 &amp; "'!$A$20:$A$219"),    _xlfn.XLOOKUP(AI$18,INDIRECT("'" &amp; AI$16 &amp; "'!$B$18:$BC$18"), INDIRECT("'" &amp; AI$16 &amp; "'!$B$20:$BC$219"),"XXXXX",0,1),    "XX",    0,    1)</f>
        <v>23</v>
      </c>
      <c r="AJ162" s="8" cm="1">
        <f t="array" aca="1" ref="AJ162" ca="1">_xlfn.XLOOKUP($A162,    INDIRECT("'" &amp; AJ$16 &amp; "'!$A$20:$A$219"),    _xlfn.XLOOKUP(AJ$18,INDIRECT("'" &amp; AJ$16 &amp; "'!$B$18:$BC$18"), INDIRECT("'" &amp; AJ$16 &amp; "'!$B$20:$BC$219"),"XXXXX",0,1),    "XX",    0,    1)</f>
        <v>23</v>
      </c>
      <c r="AK162" s="8" cm="1">
        <f t="array" aca="1" ref="AK162" ca="1">_xlfn.XLOOKUP($A162,    INDIRECT("'" &amp; AK$16 &amp; "'!$A$20:$A$219"),    _xlfn.XLOOKUP(AK$18,INDIRECT("'" &amp; AK$16 &amp; "'!$B$18:$BC$18"), INDIRECT("'" &amp; AK$16 &amp; "'!$B$20:$BC$219"),"XXXXX",0,1),    "XX",    0,    1)</f>
        <v>23</v>
      </c>
      <c r="AM162" s="16"/>
      <c r="AW162" s="8">
        <v>1</v>
      </c>
      <c r="AX162" s="8">
        <f t="shared" ca="1" si="53"/>
        <v>1.7272727272727273</v>
      </c>
      <c r="AY162" s="8">
        <f t="shared" ca="1" si="48"/>
        <v>1.7272727272727273</v>
      </c>
      <c r="AZ162" s="8">
        <f t="shared" ca="1" si="49"/>
        <v>2.0909090909090908</v>
      </c>
      <c r="BA162" s="8">
        <f t="shared" ca="1" si="50"/>
        <v>2.0909090909090908</v>
      </c>
      <c r="BB162" s="8">
        <f t="shared" ca="1" si="51"/>
        <v>2.0909090909090908</v>
      </c>
      <c r="BC162" s="8">
        <f t="shared" ca="1" si="52"/>
        <v>2.0909090909090908</v>
      </c>
      <c r="BE162" s="8">
        <f t="shared" ca="1" si="54"/>
        <v>0</v>
      </c>
      <c r="BF162" s="8">
        <f t="shared" ca="1" si="55"/>
        <v>0</v>
      </c>
      <c r="BG162" s="8">
        <f t="shared" ca="1" si="56"/>
        <v>0</v>
      </c>
    </row>
    <row r="163" spans="1:59" x14ac:dyDescent="0.2">
      <c r="A163" s="8" t="s">
        <v>57</v>
      </c>
      <c r="B163" s="8" t="s">
        <v>265</v>
      </c>
      <c r="C163" s="8">
        <v>-36.5</v>
      </c>
      <c r="D163" s="8">
        <v>456083.8</v>
      </c>
      <c r="E163" s="8">
        <v>5975530</v>
      </c>
      <c r="F163" s="8">
        <v>0</v>
      </c>
      <c r="G163" s="8">
        <v>-0.6</v>
      </c>
      <c r="H163" s="8">
        <v>0</v>
      </c>
      <c r="I163" s="8">
        <v>2</v>
      </c>
      <c r="J163" s="8">
        <v>0</v>
      </c>
      <c r="K163" s="8">
        <v>-64.900000000000006</v>
      </c>
      <c r="L163" s="8">
        <v>28.4</v>
      </c>
      <c r="M163" s="8">
        <v>1631.509</v>
      </c>
      <c r="N163" s="8">
        <v>90.3</v>
      </c>
      <c r="O163" s="8">
        <v>8</v>
      </c>
      <c r="P163" s="8">
        <v>10</v>
      </c>
      <c r="Q163" s="8">
        <v>2.78</v>
      </c>
      <c r="R163" s="8">
        <v>68</v>
      </c>
      <c r="S163" s="8">
        <v>110</v>
      </c>
      <c r="T163" s="3">
        <v>147</v>
      </c>
      <c r="U163" s="8">
        <v>1357.922</v>
      </c>
      <c r="V163" s="8">
        <v>552.01599999999996</v>
      </c>
      <c r="W163" s="8">
        <v>752.85199999999998</v>
      </c>
      <c r="X163" s="8">
        <v>132.18100000000001</v>
      </c>
      <c r="Y163" s="8">
        <v>4.9400000000000004</v>
      </c>
      <c r="Z163" s="8">
        <v>8.0150000000000006</v>
      </c>
      <c r="AA163" s="8">
        <v>21.7</v>
      </c>
      <c r="AB163" s="8">
        <v>290.5</v>
      </c>
      <c r="AC163" s="8">
        <v>12604</v>
      </c>
      <c r="AD163" s="8">
        <v>3279</v>
      </c>
      <c r="AE163" s="8">
        <v>268</v>
      </c>
      <c r="AF163" s="8" cm="1">
        <f t="array" aca="1" ref="AF163" ca="1">_xlfn.XLOOKUP($A163,    INDIRECT("'" &amp; AF$16 &amp; "'!$A$20:$A$219"),    _xlfn.XLOOKUP(AF$18,INDIRECT("'" &amp; AF$16 &amp; "'!$B$18:$BC$18"), INDIRECT("'" &amp; AF$16 &amp; "'!$B$20:$BC$219"),"XXXXX",0,1),    "XX",    0,    1)</f>
        <v>15</v>
      </c>
      <c r="AG163" s="8" cm="1">
        <f t="array" aca="1" ref="AG163" ca="1">_xlfn.XLOOKUP($A163,    INDIRECT("'" &amp; AG$16 &amp; "'!$A$20:$A$219"),    _xlfn.XLOOKUP(AG$18,INDIRECT("'" &amp; AG$16 &amp; "'!$B$18:$BC$18"), INDIRECT("'" &amp; AG$16 &amp; "'!$B$20:$BC$219"),"XXXXX",0,1),    "XX",    0,    1)</f>
        <v>15</v>
      </c>
      <c r="AH163" s="8" cm="1">
        <f t="array" aca="1" ref="AH163" ca="1">_xlfn.XLOOKUP($A163,    INDIRECT("'" &amp; AH$16 &amp; "'!$A$20:$A$219"),    _xlfn.XLOOKUP(AH$18,INDIRECT("'" &amp; AH$16 &amp; "'!$B$18:$BC$18"), INDIRECT("'" &amp; AH$16 &amp; "'!$B$20:$BC$219"),"XXXXX",0,1),    "XX",    0,    1)</f>
        <v>17</v>
      </c>
      <c r="AI163" s="8" cm="1">
        <f t="array" aca="1" ref="AI163" ca="1">_xlfn.XLOOKUP($A163,    INDIRECT("'" &amp; AI$16 &amp; "'!$A$20:$A$219"),    _xlfn.XLOOKUP(AI$18,INDIRECT("'" &amp; AI$16 &amp; "'!$B$18:$BC$18"), INDIRECT("'" &amp; AI$16 &amp; "'!$B$20:$BC$219"),"XXXXX",0,1),    "XX",    0,    1)</f>
        <v>17</v>
      </c>
      <c r="AJ163" s="8" cm="1">
        <f t="array" aca="1" ref="AJ163" ca="1">_xlfn.XLOOKUP($A163,    INDIRECT("'" &amp; AJ$16 &amp; "'!$A$20:$A$219"),    _xlfn.XLOOKUP(AJ$18,INDIRECT("'" &amp; AJ$16 &amp; "'!$B$18:$BC$18"), INDIRECT("'" &amp; AJ$16 &amp; "'!$B$20:$BC$219"),"XXXXX",0,1),    "XX",    0,    1)</f>
        <v>19</v>
      </c>
      <c r="AK163" s="8" cm="1">
        <f t="array" aca="1" ref="AK163" ca="1">_xlfn.XLOOKUP($A163,    INDIRECT("'" &amp; AK$16 &amp; "'!$A$20:$A$219"),    _xlfn.XLOOKUP(AK$18,INDIRECT("'" &amp; AK$16 &amp; "'!$B$18:$BC$18"), INDIRECT("'" &amp; AK$16 &amp; "'!$B$20:$BC$219"),"XXXXX",0,1),    "XX",    0,    1)</f>
        <v>19</v>
      </c>
      <c r="AM163" s="16"/>
      <c r="AW163" s="8">
        <v>1</v>
      </c>
      <c r="AX163" s="8">
        <f t="shared" ca="1" si="53"/>
        <v>1.5</v>
      </c>
      <c r="AY163" s="8">
        <f t="shared" ca="1" si="48"/>
        <v>1.5</v>
      </c>
      <c r="AZ163" s="8">
        <f t="shared" ca="1" si="49"/>
        <v>1.7</v>
      </c>
      <c r="BA163" s="8">
        <f t="shared" ca="1" si="50"/>
        <v>1.7</v>
      </c>
      <c r="BB163" s="8">
        <f t="shared" ca="1" si="51"/>
        <v>1.9</v>
      </c>
      <c r="BC163" s="8">
        <f t="shared" ca="1" si="52"/>
        <v>1.9</v>
      </c>
      <c r="BE163" s="8">
        <f t="shared" ca="1" si="54"/>
        <v>0</v>
      </c>
      <c r="BF163" s="8">
        <f t="shared" ca="1" si="55"/>
        <v>0</v>
      </c>
      <c r="BG163" s="8">
        <f t="shared" ca="1" si="56"/>
        <v>0</v>
      </c>
    </row>
    <row r="164" spans="1:59" x14ac:dyDescent="0.2">
      <c r="A164" s="8" t="s">
        <v>70</v>
      </c>
      <c r="B164" s="8" t="s">
        <v>265</v>
      </c>
      <c r="C164" s="8">
        <v>-37.200000000000003</v>
      </c>
      <c r="D164" s="8">
        <v>458772</v>
      </c>
      <c r="E164" s="8">
        <v>5974480</v>
      </c>
      <c r="F164" s="8">
        <v>0</v>
      </c>
      <c r="G164" s="8">
        <v>-0.7</v>
      </c>
      <c r="H164" s="8">
        <v>0</v>
      </c>
      <c r="I164" s="8">
        <v>2</v>
      </c>
      <c r="J164" s="8">
        <v>0</v>
      </c>
      <c r="K164" s="8">
        <v>-63.6</v>
      </c>
      <c r="L164" s="8">
        <v>26.4</v>
      </c>
      <c r="M164" s="8">
        <v>1642.5650000000001</v>
      </c>
      <c r="N164" s="8">
        <v>89</v>
      </c>
      <c r="O164" s="8">
        <v>8</v>
      </c>
      <c r="P164" s="8">
        <v>10</v>
      </c>
      <c r="Q164" s="8">
        <v>2.57</v>
      </c>
      <c r="R164" s="8">
        <v>68</v>
      </c>
      <c r="S164" s="8">
        <v>110</v>
      </c>
      <c r="T164" s="3">
        <v>147</v>
      </c>
      <c r="U164" s="8">
        <v>1295.404</v>
      </c>
      <c r="V164" s="8">
        <v>396.85899999999998</v>
      </c>
      <c r="W164" s="8">
        <v>752.85199999999998</v>
      </c>
      <c r="X164" s="8">
        <v>132.18100000000001</v>
      </c>
      <c r="Y164" s="8">
        <v>4.9400000000000004</v>
      </c>
      <c r="Z164" s="8">
        <v>8.0150000000000006</v>
      </c>
      <c r="AA164" s="8">
        <v>21.7</v>
      </c>
      <c r="AB164" s="8">
        <v>290.5</v>
      </c>
      <c r="AC164" s="8">
        <v>12522</v>
      </c>
      <c r="AD164" s="8">
        <v>3323</v>
      </c>
      <c r="AE164" s="8">
        <v>268</v>
      </c>
      <c r="AF164" s="8" cm="1">
        <f t="array" aca="1" ref="AF164" ca="1">_xlfn.XLOOKUP($A164,    INDIRECT("'" &amp; AF$16 &amp; "'!$A$20:$A$219"),    _xlfn.XLOOKUP(AF$18,INDIRECT("'" &amp; AF$16 &amp; "'!$B$18:$BC$18"), INDIRECT("'" &amp; AF$16 &amp; "'!$B$20:$BC$219"),"XXXXX",0,1),    "XX",    0,    1)</f>
        <v>15</v>
      </c>
      <c r="AG164" s="8" cm="1">
        <f t="array" aca="1" ref="AG164" ca="1">_xlfn.XLOOKUP($A164,    INDIRECT("'" &amp; AG$16 &amp; "'!$A$20:$A$219"),    _xlfn.XLOOKUP(AG$18,INDIRECT("'" &amp; AG$16 &amp; "'!$B$18:$BC$18"), INDIRECT("'" &amp; AG$16 &amp; "'!$B$20:$BC$219"),"XXXXX",0,1),    "XX",    0,    1)</f>
        <v>15</v>
      </c>
      <c r="AH164" s="8" cm="1">
        <f t="array" aca="1" ref="AH164" ca="1">_xlfn.XLOOKUP($A164,    INDIRECT("'" &amp; AH$16 &amp; "'!$A$20:$A$219"),    _xlfn.XLOOKUP(AH$18,INDIRECT("'" &amp; AH$16 &amp; "'!$B$18:$BC$18"), INDIRECT("'" &amp; AH$16 &amp; "'!$B$20:$BC$219"),"XXXXX",0,1),    "XX",    0,    1)</f>
        <v>15</v>
      </c>
      <c r="AI164" s="8" cm="1">
        <f t="array" aca="1" ref="AI164" ca="1">_xlfn.XLOOKUP($A164,    INDIRECT("'" &amp; AI$16 &amp; "'!$A$20:$A$219"),    _xlfn.XLOOKUP(AI$18,INDIRECT("'" &amp; AI$16 &amp; "'!$B$18:$BC$18"), INDIRECT("'" &amp; AI$16 &amp; "'!$B$20:$BC$219"),"XXXXX",0,1),    "XX",    0,    1)</f>
        <v>15</v>
      </c>
      <c r="AJ164" s="8" cm="1">
        <f t="array" aca="1" ref="AJ164" ca="1">_xlfn.XLOOKUP($A164,    INDIRECT("'" &amp; AJ$16 &amp; "'!$A$20:$A$219"),    _xlfn.XLOOKUP(AJ$18,INDIRECT("'" &amp; AJ$16 &amp; "'!$B$18:$BC$18"), INDIRECT("'" &amp; AJ$16 &amp; "'!$B$20:$BC$219"),"XXXXX",0,1),    "XX",    0,    1)</f>
        <v>17</v>
      </c>
      <c r="AK164" s="8" cm="1">
        <f t="array" aca="1" ref="AK164" ca="1">_xlfn.XLOOKUP($A164,    INDIRECT("'" &amp; AK$16 &amp; "'!$A$20:$A$219"),    _xlfn.XLOOKUP(AK$18,INDIRECT("'" &amp; AK$16 &amp; "'!$B$18:$BC$18"), INDIRECT("'" &amp; AK$16 &amp; "'!$B$20:$BC$219"),"XXXXX",0,1),    "XX",    0,    1)</f>
        <v>17</v>
      </c>
      <c r="AM164" s="16"/>
      <c r="AW164" s="8">
        <v>1</v>
      </c>
      <c r="AX164" s="8">
        <f t="shared" ca="1" si="53"/>
        <v>1.5</v>
      </c>
      <c r="AY164" s="8">
        <f t="shared" ca="1" si="48"/>
        <v>1.5</v>
      </c>
      <c r="AZ164" s="8">
        <f t="shared" ca="1" si="49"/>
        <v>1.5</v>
      </c>
      <c r="BA164" s="8">
        <f t="shared" ca="1" si="50"/>
        <v>1.5</v>
      </c>
      <c r="BB164" s="8">
        <f t="shared" ca="1" si="51"/>
        <v>1.7</v>
      </c>
      <c r="BC164" s="8">
        <f t="shared" ca="1" si="52"/>
        <v>1.7</v>
      </c>
      <c r="BE164" s="8">
        <f t="shared" ca="1" si="54"/>
        <v>0</v>
      </c>
      <c r="BF164" s="8">
        <f t="shared" ca="1" si="55"/>
        <v>0</v>
      </c>
      <c r="BG164" s="8">
        <f t="shared" ca="1" si="56"/>
        <v>0</v>
      </c>
    </row>
    <row r="165" spans="1:59" x14ac:dyDescent="0.2">
      <c r="A165" s="8" t="s">
        <v>165</v>
      </c>
      <c r="B165" s="8" t="s">
        <v>265</v>
      </c>
      <c r="C165" s="8">
        <v>-36.700000000000003</v>
      </c>
      <c r="D165" s="8">
        <v>462334.6</v>
      </c>
      <c r="E165" s="8">
        <v>5972090</v>
      </c>
      <c r="F165" s="8">
        <v>0</v>
      </c>
      <c r="G165" s="8">
        <v>-0.7</v>
      </c>
      <c r="H165" s="8">
        <v>0</v>
      </c>
      <c r="I165" s="8">
        <v>2</v>
      </c>
      <c r="J165" s="8">
        <v>0</v>
      </c>
      <c r="K165" s="8">
        <v>-65</v>
      </c>
      <c r="L165" s="8">
        <v>28.3</v>
      </c>
      <c r="M165" s="8">
        <v>1661.7539999999999</v>
      </c>
      <c r="N165" s="8">
        <v>90.4</v>
      </c>
      <c r="O165" s="8">
        <v>8</v>
      </c>
      <c r="P165" s="8">
        <v>10</v>
      </c>
      <c r="Q165" s="8">
        <v>2.76</v>
      </c>
      <c r="R165" s="8">
        <v>68</v>
      </c>
      <c r="S165" s="8">
        <v>110</v>
      </c>
      <c r="T165" s="3">
        <v>147</v>
      </c>
      <c r="U165" s="8">
        <v>1357.7460000000001</v>
      </c>
      <c r="V165" s="8">
        <v>427.78399999999999</v>
      </c>
      <c r="W165" s="8">
        <v>752.85199999999998</v>
      </c>
      <c r="X165" s="8">
        <v>132.18100000000001</v>
      </c>
      <c r="Y165" s="8">
        <v>4.9400000000000004</v>
      </c>
      <c r="Z165" s="8">
        <v>8.0150000000000006</v>
      </c>
      <c r="AA165" s="8">
        <v>21.7</v>
      </c>
      <c r="AB165" s="8">
        <v>290.5</v>
      </c>
      <c r="AC165" s="8">
        <v>12610</v>
      </c>
      <c r="AD165" s="8">
        <v>3292</v>
      </c>
      <c r="AE165" s="8">
        <v>268</v>
      </c>
      <c r="AF165" s="8" cm="1">
        <f t="array" aca="1" ref="AF165" ca="1">_xlfn.XLOOKUP($A165,    INDIRECT("'" &amp; AF$16 &amp; "'!$A$20:$A$219"),    _xlfn.XLOOKUP(AF$18,INDIRECT("'" &amp; AF$16 &amp; "'!$B$18:$BC$18"), INDIRECT("'" &amp; AF$16 &amp; "'!$B$20:$BC$219"),"XXXXX",0,1),    "XX",    0,    1)</f>
        <v>15</v>
      </c>
      <c r="AG165" s="8" cm="1">
        <f t="array" aca="1" ref="AG165" ca="1">_xlfn.XLOOKUP($A165,    INDIRECT("'" &amp; AG$16 &amp; "'!$A$20:$A$219"),    _xlfn.XLOOKUP(AG$18,INDIRECT("'" &amp; AG$16 &amp; "'!$B$18:$BC$18"), INDIRECT("'" &amp; AG$16 &amp; "'!$B$20:$BC$219"),"XXXXX",0,1),    "XX",    0,    1)</f>
        <v>15</v>
      </c>
      <c r="AH165" s="8" cm="1">
        <f t="array" aca="1" ref="AH165" ca="1">_xlfn.XLOOKUP($A165,    INDIRECT("'" &amp; AH$16 &amp; "'!$A$20:$A$219"),    _xlfn.XLOOKUP(AH$18,INDIRECT("'" &amp; AH$16 &amp; "'!$B$18:$BC$18"), INDIRECT("'" &amp; AH$16 &amp; "'!$B$20:$BC$219"),"XXXXX",0,1),    "XX",    0,    1)</f>
        <v>17</v>
      </c>
      <c r="AI165" s="8" cm="1">
        <f t="array" aca="1" ref="AI165" ca="1">_xlfn.XLOOKUP($A165,    INDIRECT("'" &amp; AI$16 &amp; "'!$A$20:$A$219"),    _xlfn.XLOOKUP(AI$18,INDIRECT("'" &amp; AI$16 &amp; "'!$B$18:$BC$18"), INDIRECT("'" &amp; AI$16 &amp; "'!$B$20:$BC$219"),"XXXXX",0,1),    "XX",    0,    1)</f>
        <v>17</v>
      </c>
      <c r="AJ165" s="8" cm="1">
        <f t="array" aca="1" ref="AJ165" ca="1">_xlfn.XLOOKUP($A165,    INDIRECT("'" &amp; AJ$16 &amp; "'!$A$20:$A$219"),    _xlfn.XLOOKUP(AJ$18,INDIRECT("'" &amp; AJ$16 &amp; "'!$B$18:$BC$18"), INDIRECT("'" &amp; AJ$16 &amp; "'!$B$20:$BC$219"),"XXXXX",0,1),    "XX",    0,    1)</f>
        <v>19</v>
      </c>
      <c r="AK165" s="8" cm="1">
        <f t="array" aca="1" ref="AK165" ca="1">_xlfn.XLOOKUP($A165,    INDIRECT("'" &amp; AK$16 &amp; "'!$A$20:$A$219"),    _xlfn.XLOOKUP(AK$18,INDIRECT("'" &amp; AK$16 &amp; "'!$B$18:$BC$18"), INDIRECT("'" &amp; AK$16 &amp; "'!$B$20:$BC$219"),"XXXXX",0,1),    "XX",    0,    1)</f>
        <v>19</v>
      </c>
      <c r="AM165" s="16"/>
      <c r="AW165" s="8">
        <v>1</v>
      </c>
      <c r="AX165" s="8">
        <f t="shared" ca="1" si="53"/>
        <v>1.5</v>
      </c>
      <c r="AY165" s="8">
        <f t="shared" ca="1" si="48"/>
        <v>1.5</v>
      </c>
      <c r="AZ165" s="8">
        <f t="shared" ca="1" si="49"/>
        <v>1.7</v>
      </c>
      <c r="BA165" s="8">
        <f t="shared" ca="1" si="50"/>
        <v>1.7</v>
      </c>
      <c r="BB165" s="8">
        <f t="shared" ca="1" si="51"/>
        <v>1.9</v>
      </c>
      <c r="BC165" s="8">
        <f t="shared" ca="1" si="52"/>
        <v>1.9</v>
      </c>
      <c r="BE165" s="8">
        <f t="shared" ca="1" si="54"/>
        <v>0</v>
      </c>
      <c r="BF165" s="8">
        <f t="shared" ca="1" si="55"/>
        <v>0</v>
      </c>
      <c r="BG165" s="8">
        <f t="shared" ca="1" si="56"/>
        <v>0</v>
      </c>
    </row>
    <row r="166" spans="1:59" x14ac:dyDescent="0.2">
      <c r="A166" s="8" t="s">
        <v>94</v>
      </c>
      <c r="B166" s="8" t="s">
        <v>265</v>
      </c>
      <c r="C166" s="8">
        <v>-36.799999999999997</v>
      </c>
      <c r="D166" s="8">
        <v>465636.1</v>
      </c>
      <c r="E166" s="8">
        <v>5970130</v>
      </c>
      <c r="F166" s="8">
        <v>0</v>
      </c>
      <c r="G166" s="8">
        <v>-0.7</v>
      </c>
      <c r="H166" s="8">
        <v>0</v>
      </c>
      <c r="I166" s="8">
        <v>2</v>
      </c>
      <c r="J166" s="8">
        <v>0</v>
      </c>
      <c r="K166" s="8">
        <v>-62.6</v>
      </c>
      <c r="L166" s="8">
        <v>25.8</v>
      </c>
      <c r="M166" s="8">
        <v>1635.769</v>
      </c>
      <c r="N166" s="8">
        <v>88</v>
      </c>
      <c r="O166" s="8">
        <v>8</v>
      </c>
      <c r="P166" s="8">
        <v>10</v>
      </c>
      <c r="Q166" s="8">
        <v>2.5099999999999998</v>
      </c>
      <c r="R166" s="8">
        <v>68</v>
      </c>
      <c r="S166" s="8">
        <v>110</v>
      </c>
      <c r="T166" s="3">
        <v>147</v>
      </c>
      <c r="U166" s="8">
        <v>1295.3040000000001</v>
      </c>
      <c r="V166" s="8">
        <v>396.88400000000001</v>
      </c>
      <c r="W166" s="8">
        <v>752.85199999999998</v>
      </c>
      <c r="X166" s="8">
        <v>132.18100000000001</v>
      </c>
      <c r="Y166" s="8">
        <v>4.9400000000000004</v>
      </c>
      <c r="Z166" s="8">
        <v>8.0150000000000006</v>
      </c>
      <c r="AA166" s="8">
        <v>21.7</v>
      </c>
      <c r="AB166" s="8">
        <v>290.5</v>
      </c>
      <c r="AC166" s="8">
        <v>12459</v>
      </c>
      <c r="AD166" s="8">
        <v>3298</v>
      </c>
      <c r="AE166" s="8">
        <v>268</v>
      </c>
      <c r="AF166" s="8" cm="1">
        <f t="array" aca="1" ref="AF166" ca="1">_xlfn.XLOOKUP($A166,    INDIRECT("'" &amp; AF$16 &amp; "'!$A$20:$A$219"),    _xlfn.XLOOKUP(AF$18,INDIRECT("'" &amp; AF$16 &amp; "'!$B$18:$BC$18"), INDIRECT("'" &amp; AF$16 &amp; "'!$B$20:$BC$219"),"XXXXX",0,1),    "XX",    0,    1)</f>
        <v>15</v>
      </c>
      <c r="AG166" s="8" cm="1">
        <f t="array" aca="1" ref="AG166" ca="1">_xlfn.XLOOKUP($A166,    INDIRECT("'" &amp; AG$16 &amp; "'!$A$20:$A$219"),    _xlfn.XLOOKUP(AG$18,INDIRECT("'" &amp; AG$16 &amp; "'!$B$18:$BC$18"), INDIRECT("'" &amp; AG$16 &amp; "'!$B$20:$BC$219"),"XXXXX",0,1),    "XX",    0,    1)</f>
        <v>15</v>
      </c>
      <c r="AH166" s="8" cm="1">
        <f t="array" aca="1" ref="AH166" ca="1">_xlfn.XLOOKUP($A166,    INDIRECT("'" &amp; AH$16 &amp; "'!$A$20:$A$219"),    _xlfn.XLOOKUP(AH$18,INDIRECT("'" &amp; AH$16 &amp; "'!$B$18:$BC$18"), INDIRECT("'" &amp; AH$16 &amp; "'!$B$20:$BC$219"),"XXXXX",0,1),    "XX",    0,    1)</f>
        <v>15</v>
      </c>
      <c r="AI166" s="8" cm="1">
        <f t="array" aca="1" ref="AI166" ca="1">_xlfn.XLOOKUP($A166,    INDIRECT("'" &amp; AI$16 &amp; "'!$A$20:$A$219"),    _xlfn.XLOOKUP(AI$18,INDIRECT("'" &amp; AI$16 &amp; "'!$B$18:$BC$18"), INDIRECT("'" &amp; AI$16 &amp; "'!$B$20:$BC$219"),"XXXXX",0,1),    "XX",    0,    1)</f>
        <v>15</v>
      </c>
      <c r="AJ166" s="8" cm="1">
        <f t="array" aca="1" ref="AJ166" ca="1">_xlfn.XLOOKUP($A166,    INDIRECT("'" &amp; AJ$16 &amp; "'!$A$20:$A$219"),    _xlfn.XLOOKUP(AJ$18,INDIRECT("'" &amp; AJ$16 &amp; "'!$B$18:$BC$18"), INDIRECT("'" &amp; AJ$16 &amp; "'!$B$20:$BC$219"),"XXXXX",0,1),    "XX",    0,    1)</f>
        <v>17</v>
      </c>
      <c r="AK166" s="8" cm="1">
        <f t="array" aca="1" ref="AK166" ca="1">_xlfn.XLOOKUP($A166,    INDIRECT("'" &amp; AK$16 &amp; "'!$A$20:$A$219"),    _xlfn.XLOOKUP(AK$18,INDIRECT("'" &amp; AK$16 &amp; "'!$B$18:$BC$18"), INDIRECT("'" &amp; AK$16 &amp; "'!$B$20:$BC$219"),"XXXXX",0,1),    "XX",    0,    1)</f>
        <v>17</v>
      </c>
      <c r="AM166" s="16"/>
      <c r="AW166" s="8">
        <v>1</v>
      </c>
      <c r="AX166" s="8">
        <f t="shared" ca="1" si="53"/>
        <v>1.5</v>
      </c>
      <c r="AY166" s="8">
        <f t="shared" ca="1" si="48"/>
        <v>1.5</v>
      </c>
      <c r="AZ166" s="8">
        <f t="shared" ca="1" si="49"/>
        <v>1.5</v>
      </c>
      <c r="BA166" s="8">
        <f t="shared" ca="1" si="50"/>
        <v>1.5</v>
      </c>
      <c r="BB166" s="8">
        <f t="shared" ca="1" si="51"/>
        <v>1.7</v>
      </c>
      <c r="BC166" s="8">
        <f t="shared" ca="1" si="52"/>
        <v>1.7</v>
      </c>
      <c r="BE166" s="8">
        <f t="shared" ca="1" si="54"/>
        <v>0</v>
      </c>
      <c r="BF166" s="8">
        <f t="shared" ca="1" si="55"/>
        <v>0</v>
      </c>
      <c r="BG166" s="8">
        <f t="shared" ca="1" si="56"/>
        <v>0</v>
      </c>
    </row>
    <row r="167" spans="1:59" x14ac:dyDescent="0.2">
      <c r="A167" s="8" t="s">
        <v>163</v>
      </c>
      <c r="B167" s="8" t="s">
        <v>265</v>
      </c>
      <c r="C167" s="8">
        <v>-38.200000000000003</v>
      </c>
      <c r="D167" s="8">
        <v>468137</v>
      </c>
      <c r="E167" s="8">
        <v>5969520</v>
      </c>
      <c r="F167" s="8">
        <v>0</v>
      </c>
      <c r="G167" s="8">
        <v>-0.6</v>
      </c>
      <c r="H167" s="8">
        <v>0</v>
      </c>
      <c r="I167" s="8">
        <v>2</v>
      </c>
      <c r="J167" s="8">
        <v>0</v>
      </c>
      <c r="K167" s="8">
        <v>-66.599999999999994</v>
      </c>
      <c r="L167" s="8">
        <v>28.4</v>
      </c>
      <c r="M167" s="8">
        <v>1734.807</v>
      </c>
      <c r="N167" s="8">
        <v>92</v>
      </c>
      <c r="O167" s="8">
        <v>8</v>
      </c>
      <c r="P167" s="8">
        <v>10</v>
      </c>
      <c r="Q167" s="8">
        <v>2.78</v>
      </c>
      <c r="R167" s="8">
        <v>68</v>
      </c>
      <c r="S167" s="8">
        <v>110</v>
      </c>
      <c r="T167" s="3">
        <v>147</v>
      </c>
      <c r="U167" s="8">
        <v>1357.482</v>
      </c>
      <c r="V167" s="8">
        <v>458.54700000000003</v>
      </c>
      <c r="W167" s="8">
        <v>752.85199999999998</v>
      </c>
      <c r="X167" s="8">
        <v>132.18100000000001</v>
      </c>
      <c r="Y167" s="8">
        <v>4.9400000000000004</v>
      </c>
      <c r="Z167" s="8">
        <v>8.0150000000000006</v>
      </c>
      <c r="AA167" s="8">
        <v>21.7</v>
      </c>
      <c r="AB167" s="8">
        <v>290.5</v>
      </c>
      <c r="AC167" s="8">
        <v>12708</v>
      </c>
      <c r="AD167" s="8">
        <v>3384</v>
      </c>
      <c r="AE167" s="8">
        <v>268</v>
      </c>
      <c r="AF167" s="8" cm="1">
        <f t="array" aca="1" ref="AF167" ca="1">_xlfn.XLOOKUP($A167,    INDIRECT("'" &amp; AF$16 &amp; "'!$A$20:$A$219"),    _xlfn.XLOOKUP(AF$18,INDIRECT("'" &amp; AF$16 &amp; "'!$B$18:$BC$18"), INDIRECT("'" &amp; AF$16 &amp; "'!$B$20:$BC$219"),"XXXXX",0,1),    "XX",    0,    1)</f>
        <v>15</v>
      </c>
      <c r="AG167" s="8" cm="1">
        <f t="array" aca="1" ref="AG167" ca="1">_xlfn.XLOOKUP($A167,    INDIRECT("'" &amp; AG$16 &amp; "'!$A$20:$A$219"),    _xlfn.XLOOKUP(AG$18,INDIRECT("'" &amp; AG$16 &amp; "'!$B$18:$BC$18"), INDIRECT("'" &amp; AG$16 &amp; "'!$B$20:$BC$219"),"XXXXX",0,1),    "XX",    0,    1)</f>
        <v>15</v>
      </c>
      <c r="AH167" s="8" cm="1">
        <f t="array" aca="1" ref="AH167" ca="1">_xlfn.XLOOKUP($A167,    INDIRECT("'" &amp; AH$16 &amp; "'!$A$20:$A$219"),    _xlfn.XLOOKUP(AH$18,INDIRECT("'" &amp; AH$16 &amp; "'!$B$18:$BC$18"), INDIRECT("'" &amp; AH$16 &amp; "'!$B$20:$BC$219"),"XXXXX",0,1),    "XX",    0,    1)</f>
        <v>17</v>
      </c>
      <c r="AI167" s="8" cm="1">
        <f t="array" aca="1" ref="AI167" ca="1">_xlfn.XLOOKUP($A167,    INDIRECT("'" &amp; AI$16 &amp; "'!$A$20:$A$219"),    _xlfn.XLOOKUP(AI$18,INDIRECT("'" &amp; AI$16 &amp; "'!$B$18:$BC$18"), INDIRECT("'" &amp; AI$16 &amp; "'!$B$20:$BC$219"),"XXXXX",0,1),    "XX",    0,    1)</f>
        <v>17</v>
      </c>
      <c r="AJ167" s="8" cm="1">
        <f t="array" aca="1" ref="AJ167" ca="1">_xlfn.XLOOKUP($A167,    INDIRECT("'" &amp; AJ$16 &amp; "'!$A$20:$A$219"),    _xlfn.XLOOKUP(AJ$18,INDIRECT("'" &amp; AJ$16 &amp; "'!$B$18:$BC$18"), INDIRECT("'" &amp; AJ$16 &amp; "'!$B$20:$BC$219"),"XXXXX",0,1),    "XX",    0,    1)</f>
        <v>19</v>
      </c>
      <c r="AK167" s="8" cm="1">
        <f t="array" aca="1" ref="AK167" ca="1">_xlfn.XLOOKUP($A167,    INDIRECT("'" &amp; AK$16 &amp; "'!$A$20:$A$219"),    _xlfn.XLOOKUP(AK$18,INDIRECT("'" &amp; AK$16 &amp; "'!$B$18:$BC$18"), INDIRECT("'" &amp; AK$16 &amp; "'!$B$20:$BC$219"),"XXXXX",0,1),    "XX",    0,    1)</f>
        <v>19</v>
      </c>
      <c r="AM167" s="16"/>
      <c r="AW167" s="8">
        <v>1</v>
      </c>
      <c r="AX167" s="8">
        <f t="shared" ca="1" si="53"/>
        <v>1.5</v>
      </c>
      <c r="AY167" s="8">
        <f t="shared" ca="1" si="48"/>
        <v>1.5</v>
      </c>
      <c r="AZ167" s="8">
        <f t="shared" ca="1" si="49"/>
        <v>1.7</v>
      </c>
      <c r="BA167" s="8">
        <f t="shared" ca="1" si="50"/>
        <v>1.7</v>
      </c>
      <c r="BB167" s="8">
        <f t="shared" ca="1" si="51"/>
        <v>1.9</v>
      </c>
      <c r="BC167" s="8">
        <f t="shared" ca="1" si="52"/>
        <v>1.9</v>
      </c>
      <c r="BE167" s="8">
        <f t="shared" ca="1" si="54"/>
        <v>0</v>
      </c>
      <c r="BF167" s="8">
        <f t="shared" ca="1" si="55"/>
        <v>0</v>
      </c>
      <c r="BG167" s="8">
        <f t="shared" ca="1" si="56"/>
        <v>0</v>
      </c>
    </row>
    <row r="168" spans="1:59" x14ac:dyDescent="0.2">
      <c r="A168" s="8" t="s">
        <v>205</v>
      </c>
      <c r="B168" s="8" t="s">
        <v>265</v>
      </c>
      <c r="C168" s="8">
        <v>-42.4</v>
      </c>
      <c r="D168" s="8">
        <v>470250.7</v>
      </c>
      <c r="E168" s="8">
        <v>5969494.4000000004</v>
      </c>
      <c r="F168" s="8">
        <v>0</v>
      </c>
      <c r="G168" s="8">
        <v>-0.7</v>
      </c>
      <c r="H168" s="8">
        <v>0</v>
      </c>
      <c r="I168" s="8">
        <v>2</v>
      </c>
      <c r="J168" s="8">
        <v>0</v>
      </c>
      <c r="K168" s="8">
        <v>-74.7</v>
      </c>
      <c r="L168" s="8">
        <v>32.299999999999997</v>
      </c>
      <c r="M168" s="8">
        <v>1974.5409999999999</v>
      </c>
      <c r="N168" s="8">
        <v>100.1</v>
      </c>
      <c r="O168" s="8">
        <v>8</v>
      </c>
      <c r="P168" s="8">
        <v>11</v>
      </c>
      <c r="Q168" s="8">
        <v>2.8727</v>
      </c>
      <c r="R168" s="8">
        <v>70</v>
      </c>
      <c r="S168" s="8">
        <v>117</v>
      </c>
      <c r="T168" s="3">
        <v>149</v>
      </c>
      <c r="U168" s="8">
        <v>1575.5840000000001</v>
      </c>
      <c r="V168" s="8">
        <v>369.77800000000002</v>
      </c>
      <c r="W168" s="8">
        <v>752.85199999999998</v>
      </c>
      <c r="X168" s="8">
        <v>132.18100000000001</v>
      </c>
      <c r="Y168" s="8">
        <v>4.9400000000000004</v>
      </c>
      <c r="Z168" s="8">
        <v>8.0150000000000006</v>
      </c>
      <c r="AA168" s="8">
        <v>21.7</v>
      </c>
      <c r="AB168" s="8">
        <v>290.5</v>
      </c>
      <c r="AC168" s="8">
        <v>13554</v>
      </c>
      <c r="AD168" s="8">
        <v>3799</v>
      </c>
      <c r="AE168" s="8">
        <v>268</v>
      </c>
      <c r="AF168" s="8" cm="1">
        <f t="array" aca="1" ref="AF168" ca="1">_xlfn.XLOOKUP($A168,    INDIRECT("'" &amp; AF$16 &amp; "'!$A$20:$A$219"),    _xlfn.XLOOKUP(AF$18,INDIRECT("'" &amp; AF$16 &amp; "'!$B$18:$BC$18"), INDIRECT("'" &amp; AF$16 &amp; "'!$B$20:$BC$219"),"XXXXX",0,1),    "XX",    0,    1)</f>
        <v>17</v>
      </c>
      <c r="AG168" s="8" cm="1">
        <f t="array" aca="1" ref="AG168" ca="1">_xlfn.XLOOKUP($A168,    INDIRECT("'" &amp; AG$16 &amp; "'!$A$20:$A$219"),    _xlfn.XLOOKUP(AG$18,INDIRECT("'" &amp; AG$16 &amp; "'!$B$18:$BC$18"), INDIRECT("'" &amp; AG$16 &amp; "'!$B$20:$BC$219"),"XXXXX",0,1),    "XX",    0,    1)</f>
        <v>17</v>
      </c>
      <c r="AH168" s="8" cm="1">
        <f t="array" aca="1" ref="AH168" ca="1">_xlfn.XLOOKUP($A168,    INDIRECT("'" &amp; AH$16 &amp; "'!$A$20:$A$219"),    _xlfn.XLOOKUP(AH$18,INDIRECT("'" &amp; AH$16 &amp; "'!$B$18:$BC$18"), INDIRECT("'" &amp; AH$16 &amp; "'!$B$20:$BC$219"),"XXXXX",0,1),    "XX",    0,    1)</f>
        <v>21</v>
      </c>
      <c r="AI168" s="8" cm="1">
        <f t="array" aca="1" ref="AI168" ca="1">_xlfn.XLOOKUP($A168,    INDIRECT("'" &amp; AI$16 &amp; "'!$A$20:$A$219"),    _xlfn.XLOOKUP(AI$18,INDIRECT("'" &amp; AI$16 &amp; "'!$B$18:$BC$18"), INDIRECT("'" &amp; AI$16 &amp; "'!$B$20:$BC$219"),"XXXXX",0,1),    "XX",    0,    1)</f>
        <v>21</v>
      </c>
      <c r="AJ168" s="8" cm="1">
        <f t="array" aca="1" ref="AJ168" ca="1">_xlfn.XLOOKUP($A168,    INDIRECT("'" &amp; AJ$16 &amp; "'!$A$20:$A$219"),    _xlfn.XLOOKUP(AJ$18,INDIRECT("'" &amp; AJ$16 &amp; "'!$B$18:$BC$18"), INDIRECT("'" &amp; AJ$16 &amp; "'!$B$20:$BC$219"),"XXXXX",0,1),    "XX",    0,    1)</f>
        <v>23</v>
      </c>
      <c r="AK168" s="8" cm="1">
        <f t="array" aca="1" ref="AK168" ca="1">_xlfn.XLOOKUP($A168,    INDIRECT("'" &amp; AK$16 &amp; "'!$A$20:$A$219"),    _xlfn.XLOOKUP(AK$18,INDIRECT("'" &amp; AK$16 &amp; "'!$B$18:$BC$18"), INDIRECT("'" &amp; AK$16 &amp; "'!$B$20:$BC$219"),"XXXXX",0,1),    "XX",    0,    1)</f>
        <v>23</v>
      </c>
      <c r="AM168" s="16"/>
      <c r="AW168" s="8">
        <v>1</v>
      </c>
      <c r="AX168" s="8">
        <f t="shared" ca="1" si="53"/>
        <v>1.5454545454545454</v>
      </c>
      <c r="AY168" s="8">
        <f t="shared" ca="1" si="48"/>
        <v>1.5454545454545454</v>
      </c>
      <c r="AZ168" s="8">
        <f t="shared" ca="1" si="49"/>
        <v>1.9090909090909092</v>
      </c>
      <c r="BA168" s="8">
        <f t="shared" ca="1" si="50"/>
        <v>1.9090909090909092</v>
      </c>
      <c r="BB168" s="8">
        <f t="shared" ca="1" si="51"/>
        <v>2.0909090909090908</v>
      </c>
      <c r="BC168" s="8">
        <f t="shared" ca="1" si="52"/>
        <v>2.0909090909090908</v>
      </c>
      <c r="BE168" s="8">
        <f t="shared" ca="1" si="54"/>
        <v>0</v>
      </c>
      <c r="BF168" s="8">
        <f t="shared" ca="1" si="55"/>
        <v>0</v>
      </c>
      <c r="BG168" s="8">
        <f t="shared" ca="1" si="56"/>
        <v>0</v>
      </c>
    </row>
    <row r="169" spans="1:59" x14ac:dyDescent="0.2">
      <c r="A169" s="8" t="s">
        <v>187</v>
      </c>
      <c r="B169" s="8" t="s">
        <v>265</v>
      </c>
      <c r="C169" s="8">
        <v>-37.4</v>
      </c>
      <c r="D169" s="8">
        <v>470107.9</v>
      </c>
      <c r="E169" s="8">
        <v>5973050</v>
      </c>
      <c r="F169" s="8">
        <v>0</v>
      </c>
      <c r="G169" s="8">
        <v>-0.6</v>
      </c>
      <c r="H169" s="8">
        <v>0</v>
      </c>
      <c r="I169" s="8">
        <v>2</v>
      </c>
      <c r="J169" s="8">
        <v>0</v>
      </c>
      <c r="K169" s="8">
        <v>-65</v>
      </c>
      <c r="L169" s="8">
        <v>27.6</v>
      </c>
      <c r="M169" s="8">
        <v>1662.0830000000001</v>
      </c>
      <c r="N169" s="8">
        <v>90.4</v>
      </c>
      <c r="O169" s="8">
        <v>8</v>
      </c>
      <c r="P169" s="8">
        <v>10.5</v>
      </c>
      <c r="Q169" s="8">
        <v>2.5714000000000001</v>
      </c>
      <c r="R169" s="8">
        <v>70</v>
      </c>
      <c r="S169" s="8">
        <v>112</v>
      </c>
      <c r="T169" s="3">
        <v>146</v>
      </c>
      <c r="U169" s="8">
        <v>1406.422</v>
      </c>
      <c r="V169" s="8">
        <v>323.19400000000002</v>
      </c>
      <c r="W169" s="8">
        <v>752.85199999999998</v>
      </c>
      <c r="X169" s="8">
        <v>132.18100000000001</v>
      </c>
      <c r="Y169" s="8">
        <v>4.9400000000000004</v>
      </c>
      <c r="Z169" s="8">
        <v>8.0150000000000006</v>
      </c>
      <c r="AA169" s="8">
        <v>21.7</v>
      </c>
      <c r="AB169" s="8">
        <v>290.5</v>
      </c>
      <c r="AC169" s="8">
        <v>12755</v>
      </c>
      <c r="AD169" s="8">
        <v>3402</v>
      </c>
      <c r="AE169" s="8">
        <v>268</v>
      </c>
      <c r="AF169" s="8" cm="1">
        <f t="array" aca="1" ref="AF169" ca="1">_xlfn.XLOOKUP($A169,    INDIRECT("'" &amp; AF$16 &amp; "'!$A$20:$A$219"),    _xlfn.XLOOKUP(AF$18,INDIRECT("'" &amp; AF$16 &amp; "'!$B$18:$BC$18"), INDIRECT("'" &amp; AF$16 &amp; "'!$B$20:$BC$219"),"XXXXX",0,1),    "XX",    0,    1)</f>
        <v>15</v>
      </c>
      <c r="AG169" s="8" cm="1">
        <f t="array" aca="1" ref="AG169" ca="1">_xlfn.XLOOKUP($A169,    INDIRECT("'" &amp; AG$16 &amp; "'!$A$20:$A$219"),    _xlfn.XLOOKUP(AG$18,INDIRECT("'" &amp; AG$16 &amp; "'!$B$18:$BC$18"), INDIRECT("'" &amp; AG$16 &amp; "'!$B$20:$BC$219"),"XXXXX",0,1),    "XX",    0,    1)</f>
        <v>15</v>
      </c>
      <c r="AH169" s="8" cm="1">
        <f t="array" aca="1" ref="AH169" ca="1">_xlfn.XLOOKUP($A169,    INDIRECT("'" &amp; AH$16 &amp; "'!$A$20:$A$219"),    _xlfn.XLOOKUP(AH$18,INDIRECT("'" &amp; AH$16 &amp; "'!$B$18:$BC$18"), INDIRECT("'" &amp; AH$16 &amp; "'!$B$20:$BC$219"),"XXXXX",0,1),    "XX",    0,    1)</f>
        <v>17</v>
      </c>
      <c r="AI169" s="8" cm="1">
        <f t="array" aca="1" ref="AI169" ca="1">_xlfn.XLOOKUP($A169,    INDIRECT("'" &amp; AI$16 &amp; "'!$A$20:$A$219"),    _xlfn.XLOOKUP(AI$18,INDIRECT("'" &amp; AI$16 &amp; "'!$B$18:$BC$18"), INDIRECT("'" &amp; AI$16 &amp; "'!$B$20:$BC$219"),"XXXXX",0,1),    "XX",    0,    1)</f>
        <v>17</v>
      </c>
      <c r="AJ169" s="8" cm="1">
        <f t="array" aca="1" ref="AJ169" ca="1">_xlfn.XLOOKUP($A169,    INDIRECT("'" &amp; AJ$16 &amp; "'!$A$20:$A$219"),    _xlfn.XLOOKUP(AJ$18,INDIRECT("'" &amp; AJ$16 &amp; "'!$B$18:$BC$18"), INDIRECT("'" &amp; AJ$16 &amp; "'!$B$20:$BC$219"),"XXXXX",0,1),    "XX",    0,    1)</f>
        <v>19</v>
      </c>
      <c r="AK169" s="8" cm="1">
        <f t="array" aca="1" ref="AK169" ca="1">_xlfn.XLOOKUP($A169,    INDIRECT("'" &amp; AK$16 &amp; "'!$A$20:$A$219"),    _xlfn.XLOOKUP(AK$18,INDIRECT("'" &amp; AK$16 &amp; "'!$B$18:$BC$18"), INDIRECT("'" &amp; AK$16 &amp; "'!$B$20:$BC$219"),"XXXXX",0,1),    "XX",    0,    1)</f>
        <v>19</v>
      </c>
      <c r="AM169" s="16"/>
      <c r="AW169" s="8">
        <v>1</v>
      </c>
      <c r="AX169" s="8">
        <f t="shared" ca="1" si="53"/>
        <v>1.4285714285714286</v>
      </c>
      <c r="AY169" s="8">
        <f t="shared" ca="1" si="48"/>
        <v>1.4285714285714286</v>
      </c>
      <c r="AZ169" s="8">
        <f t="shared" ca="1" si="49"/>
        <v>1.6190476190476191</v>
      </c>
      <c r="BA169" s="8">
        <f t="shared" ca="1" si="50"/>
        <v>1.6190476190476191</v>
      </c>
      <c r="BB169" s="8">
        <f t="shared" ca="1" si="51"/>
        <v>1.8095238095238095</v>
      </c>
      <c r="BC169" s="8">
        <f t="shared" ca="1" si="52"/>
        <v>1.8095238095238095</v>
      </c>
      <c r="BE169" s="8">
        <f t="shared" ca="1" si="54"/>
        <v>0</v>
      </c>
      <c r="BF169" s="8">
        <f t="shared" ca="1" si="55"/>
        <v>0</v>
      </c>
      <c r="BG169" s="8">
        <f t="shared" ca="1" si="56"/>
        <v>0</v>
      </c>
    </row>
    <row r="170" spans="1:59" x14ac:dyDescent="0.2">
      <c r="A170" s="8" t="s">
        <v>85</v>
      </c>
      <c r="B170" s="8" t="s">
        <v>265</v>
      </c>
      <c r="C170" s="8">
        <v>-33.4</v>
      </c>
      <c r="D170" s="8">
        <v>472600</v>
      </c>
      <c r="E170" s="8">
        <v>5972320</v>
      </c>
      <c r="F170" s="8">
        <v>0</v>
      </c>
      <c r="G170" s="8">
        <v>-0.6</v>
      </c>
      <c r="H170" s="8">
        <v>0</v>
      </c>
      <c r="I170" s="8">
        <v>2</v>
      </c>
      <c r="J170" s="8">
        <v>0</v>
      </c>
      <c r="K170" s="8">
        <v>-63.6</v>
      </c>
      <c r="L170" s="8">
        <v>30.2</v>
      </c>
      <c r="M170" s="8">
        <v>1566.5540000000001</v>
      </c>
      <c r="N170" s="8">
        <v>89</v>
      </c>
      <c r="O170" s="8">
        <v>8</v>
      </c>
      <c r="P170" s="8">
        <v>10</v>
      </c>
      <c r="Q170" s="8">
        <v>2.96</v>
      </c>
      <c r="R170" s="8">
        <v>68</v>
      </c>
      <c r="S170" s="8">
        <v>110</v>
      </c>
      <c r="T170" s="3">
        <v>147</v>
      </c>
      <c r="U170" s="8">
        <v>1358.211</v>
      </c>
      <c r="V170" s="8">
        <v>574.18299999999999</v>
      </c>
      <c r="W170" s="8">
        <v>752.85199999999998</v>
      </c>
      <c r="X170" s="8">
        <v>132.18100000000001</v>
      </c>
      <c r="Y170" s="8">
        <v>4.9400000000000004</v>
      </c>
      <c r="Z170" s="8">
        <v>8.0150000000000006</v>
      </c>
      <c r="AA170" s="8">
        <v>21.7</v>
      </c>
      <c r="AB170" s="8">
        <v>290.5</v>
      </c>
      <c r="AC170" s="8">
        <v>12524</v>
      </c>
      <c r="AD170" s="8">
        <v>3087</v>
      </c>
      <c r="AE170" s="8">
        <v>268</v>
      </c>
      <c r="AF170" s="8" cm="1">
        <f t="array" aca="1" ref="AF170" ca="1">_xlfn.XLOOKUP($A170,    INDIRECT("'" &amp; AF$16 &amp; "'!$A$20:$A$219"),    _xlfn.XLOOKUP(AF$18,INDIRECT("'" &amp; AF$16 &amp; "'!$B$18:$BC$18"), INDIRECT("'" &amp; AF$16 &amp; "'!$B$20:$BC$219"),"XXXXX",0,1),    "XX",    0,    1)</f>
        <v>15</v>
      </c>
      <c r="AG170" s="8" cm="1">
        <f t="array" aca="1" ref="AG170" ca="1">_xlfn.XLOOKUP($A170,    INDIRECT("'" &amp; AG$16 &amp; "'!$A$20:$A$219"),    _xlfn.XLOOKUP(AG$18,INDIRECT("'" &amp; AG$16 &amp; "'!$B$18:$BC$18"), INDIRECT("'" &amp; AG$16 &amp; "'!$B$20:$BC$219"),"XXXXX",0,1),    "XX",    0,    1)</f>
        <v>15</v>
      </c>
      <c r="AH170" s="8" cm="1">
        <f t="array" aca="1" ref="AH170" ca="1">_xlfn.XLOOKUP($A170,    INDIRECT("'" &amp; AH$16 &amp; "'!$A$20:$A$219"),    _xlfn.XLOOKUP(AH$18,INDIRECT("'" &amp; AH$16 &amp; "'!$B$18:$BC$18"), INDIRECT("'" &amp; AH$16 &amp; "'!$B$20:$BC$219"),"XXXXX",0,1),    "XX",    0,    1)</f>
        <v>19</v>
      </c>
      <c r="AI170" s="8" cm="1">
        <f t="array" aca="1" ref="AI170" ca="1">_xlfn.XLOOKUP($A170,    INDIRECT("'" &amp; AI$16 &amp; "'!$A$20:$A$219"),    _xlfn.XLOOKUP(AI$18,INDIRECT("'" &amp; AI$16 &amp; "'!$B$18:$BC$18"), INDIRECT("'" &amp; AI$16 &amp; "'!$B$20:$BC$219"),"XXXXX",0,1),    "XX",    0,    1)</f>
        <v>19</v>
      </c>
      <c r="AJ170" s="8" cm="1">
        <f t="array" aca="1" ref="AJ170" ca="1">_xlfn.XLOOKUP($A170,    INDIRECT("'" &amp; AJ$16 &amp; "'!$A$20:$A$219"),    _xlfn.XLOOKUP(AJ$18,INDIRECT("'" &amp; AJ$16 &amp; "'!$B$18:$BC$18"), INDIRECT("'" &amp; AJ$16 &amp; "'!$B$20:$BC$219"),"XXXXX",0,1),    "XX",    0,    1)</f>
        <v>21</v>
      </c>
      <c r="AK170" s="8" cm="1">
        <f t="array" aca="1" ref="AK170" ca="1">_xlfn.XLOOKUP($A170,    INDIRECT("'" &amp; AK$16 &amp; "'!$A$20:$A$219"),    _xlfn.XLOOKUP(AK$18,INDIRECT("'" &amp; AK$16 &amp; "'!$B$18:$BC$18"), INDIRECT("'" &amp; AK$16 &amp; "'!$B$20:$BC$219"),"XXXXX",0,1),    "XX",    0,    1)</f>
        <v>21</v>
      </c>
      <c r="AM170" s="16"/>
      <c r="AW170" s="8">
        <v>1</v>
      </c>
      <c r="AX170" s="8">
        <f t="shared" ca="1" si="53"/>
        <v>1.5</v>
      </c>
      <c r="AY170" s="8">
        <f t="shared" ca="1" si="48"/>
        <v>1.5</v>
      </c>
      <c r="AZ170" s="8">
        <f t="shared" ca="1" si="49"/>
        <v>1.9</v>
      </c>
      <c r="BA170" s="8">
        <f t="shared" ca="1" si="50"/>
        <v>1.9</v>
      </c>
      <c r="BB170" s="8">
        <f t="shared" ca="1" si="51"/>
        <v>2.1</v>
      </c>
      <c r="BC170" s="8">
        <f t="shared" ca="1" si="52"/>
        <v>2.1</v>
      </c>
      <c r="BE170" s="8">
        <f t="shared" ca="1" si="54"/>
        <v>0</v>
      </c>
      <c r="BF170" s="8">
        <f t="shared" ca="1" si="55"/>
        <v>0</v>
      </c>
      <c r="BG170" s="8">
        <f t="shared" ca="1" si="56"/>
        <v>0</v>
      </c>
    </row>
    <row r="171" spans="1:59" x14ac:dyDescent="0.2">
      <c r="A171" s="8" t="s">
        <v>182</v>
      </c>
      <c r="B171" s="8" t="s">
        <v>265</v>
      </c>
      <c r="C171" s="8">
        <v>-36.700000000000003</v>
      </c>
      <c r="D171" s="8">
        <v>451026.5</v>
      </c>
      <c r="E171" s="8">
        <v>5977236.2000000002</v>
      </c>
      <c r="F171" s="8">
        <v>0</v>
      </c>
      <c r="G171" s="8">
        <v>-0.7</v>
      </c>
      <c r="H171" s="8">
        <v>0</v>
      </c>
      <c r="I171" s="8">
        <v>2</v>
      </c>
      <c r="J171" s="8">
        <v>0</v>
      </c>
      <c r="K171" s="8">
        <v>-67.599999999999994</v>
      </c>
      <c r="L171" s="8">
        <v>30.9</v>
      </c>
      <c r="M171" s="8">
        <v>1744.1469999999999</v>
      </c>
      <c r="N171" s="8">
        <v>93</v>
      </c>
      <c r="O171" s="8">
        <v>8</v>
      </c>
      <c r="P171" s="8">
        <v>10.5</v>
      </c>
      <c r="Q171" s="8">
        <v>2.8761999999999999</v>
      </c>
      <c r="R171" s="8">
        <v>72</v>
      </c>
      <c r="S171" s="8">
        <v>112</v>
      </c>
      <c r="T171" s="3">
        <v>146</v>
      </c>
      <c r="U171" s="8">
        <v>1406.145</v>
      </c>
      <c r="V171" s="8">
        <v>454.13600000000002</v>
      </c>
      <c r="W171" s="8">
        <v>752.85199999999998</v>
      </c>
      <c r="X171" s="8">
        <v>132.18100000000001</v>
      </c>
      <c r="Y171" s="8">
        <v>4.9400000000000004</v>
      </c>
      <c r="Z171" s="8">
        <v>8.0150000000000006</v>
      </c>
      <c r="AA171" s="8">
        <v>21.7</v>
      </c>
      <c r="AB171" s="8">
        <v>290.5</v>
      </c>
      <c r="AC171" s="8">
        <v>12924</v>
      </c>
      <c r="AD171" s="8">
        <v>3355</v>
      </c>
      <c r="AE171" s="8">
        <v>268</v>
      </c>
      <c r="AF171" s="8" cm="1">
        <f t="array" aca="1" ref="AF171" ca="1">_xlfn.XLOOKUP($A171,    INDIRECT("'" &amp; AF$16 &amp; "'!$A$20:$A$219"),    _xlfn.XLOOKUP(AF$18,INDIRECT("'" &amp; AF$16 &amp; "'!$B$18:$BC$18"), INDIRECT("'" &amp; AF$16 &amp; "'!$B$20:$BC$219"),"XXXXX",0,1),    "XX",    0,    1)</f>
        <v>17</v>
      </c>
      <c r="AG171" s="8" cm="1">
        <f t="array" aca="1" ref="AG171" ca="1">_xlfn.XLOOKUP($A171,    INDIRECT("'" &amp; AG$16 &amp; "'!$A$20:$A$219"),    _xlfn.XLOOKUP(AG$18,INDIRECT("'" &amp; AG$16 &amp; "'!$B$18:$BC$18"), INDIRECT("'" &amp; AG$16 &amp; "'!$B$20:$BC$219"),"XXXXX",0,1),    "XX",    0,    1)</f>
        <v>17</v>
      </c>
      <c r="AH171" s="8" cm="1">
        <f t="array" aca="1" ref="AH171" ca="1">_xlfn.XLOOKUP($A171,    INDIRECT("'" &amp; AH$16 &amp; "'!$A$20:$A$219"),    _xlfn.XLOOKUP(AH$18,INDIRECT("'" &amp; AH$16 &amp; "'!$B$18:$BC$18"), INDIRECT("'" &amp; AH$16 &amp; "'!$B$20:$BC$219"),"XXXXX",0,1),    "XX",    0,    1)</f>
        <v>21</v>
      </c>
      <c r="AI171" s="8" cm="1">
        <f t="array" aca="1" ref="AI171" ca="1">_xlfn.XLOOKUP($A171,    INDIRECT("'" &amp; AI$16 &amp; "'!$A$20:$A$219"),    _xlfn.XLOOKUP(AI$18,INDIRECT("'" &amp; AI$16 &amp; "'!$B$18:$BC$18"), INDIRECT("'" &amp; AI$16 &amp; "'!$B$20:$BC$219"),"XXXXX",0,1),    "XX",    0,    1)</f>
        <v>21</v>
      </c>
      <c r="AJ171" s="8" cm="1">
        <f t="array" aca="1" ref="AJ171" ca="1">_xlfn.XLOOKUP($A171,    INDIRECT("'" &amp; AJ$16 &amp; "'!$A$20:$A$219"),    _xlfn.XLOOKUP(AJ$18,INDIRECT("'" &amp; AJ$16 &amp; "'!$B$18:$BC$18"), INDIRECT("'" &amp; AJ$16 &amp; "'!$B$20:$BC$219"),"XXXXX",0,1),    "XX",    0,    1)</f>
        <v>21</v>
      </c>
      <c r="AK171" s="8" cm="1">
        <f t="array" aca="1" ref="AK171" ca="1">_xlfn.XLOOKUP($A171,    INDIRECT("'" &amp; AK$16 &amp; "'!$A$20:$A$219"),    _xlfn.XLOOKUP(AK$18,INDIRECT("'" &amp; AK$16 &amp; "'!$B$18:$BC$18"), INDIRECT("'" &amp; AK$16 &amp; "'!$B$20:$BC$219"),"XXXXX",0,1),    "XX",    0,    1)</f>
        <v>21</v>
      </c>
      <c r="AM171" s="16"/>
      <c r="AW171" s="8">
        <v>1</v>
      </c>
      <c r="AX171" s="8">
        <f t="shared" ca="1" si="53"/>
        <v>1.6190476190476191</v>
      </c>
      <c r="AY171" s="8">
        <f t="shared" ca="1" si="48"/>
        <v>1.6190476190476191</v>
      </c>
      <c r="AZ171" s="8">
        <f t="shared" ca="1" si="49"/>
        <v>2</v>
      </c>
      <c r="BA171" s="8">
        <f t="shared" ca="1" si="50"/>
        <v>2</v>
      </c>
      <c r="BB171" s="8">
        <f t="shared" ca="1" si="51"/>
        <v>2</v>
      </c>
      <c r="BC171" s="8">
        <f t="shared" ca="1" si="52"/>
        <v>2</v>
      </c>
      <c r="BE171" s="8">
        <f t="shared" ca="1" si="54"/>
        <v>0</v>
      </c>
      <c r="BF171" s="8">
        <f t="shared" ca="1" si="55"/>
        <v>0</v>
      </c>
      <c r="BG171" s="8">
        <f t="shared" ca="1" si="56"/>
        <v>0</v>
      </c>
    </row>
    <row r="172" spans="1:59" x14ac:dyDescent="0.2">
      <c r="A172" s="8" t="s">
        <v>188</v>
      </c>
      <c r="B172" s="8" t="s">
        <v>265</v>
      </c>
      <c r="C172" s="8">
        <v>-38.6</v>
      </c>
      <c r="D172" s="8">
        <v>452100.5</v>
      </c>
      <c r="E172" s="8">
        <v>5978746</v>
      </c>
      <c r="F172" s="8">
        <v>0</v>
      </c>
      <c r="G172" s="8">
        <v>-0.7</v>
      </c>
      <c r="H172" s="8">
        <v>0</v>
      </c>
      <c r="I172" s="8">
        <v>2</v>
      </c>
      <c r="J172" s="8">
        <v>0</v>
      </c>
      <c r="K172" s="8">
        <v>-64.7</v>
      </c>
      <c r="L172" s="8">
        <v>26.1</v>
      </c>
      <c r="M172" s="8">
        <v>1673.0119999999999</v>
      </c>
      <c r="N172" s="8">
        <v>90.1</v>
      </c>
      <c r="O172" s="8">
        <v>8</v>
      </c>
      <c r="P172" s="8">
        <v>10.5</v>
      </c>
      <c r="Q172" s="8">
        <v>2.419</v>
      </c>
      <c r="R172" s="8">
        <v>70</v>
      </c>
      <c r="S172" s="8">
        <v>112</v>
      </c>
      <c r="T172" s="3">
        <v>146</v>
      </c>
      <c r="U172" s="8">
        <v>1340.8</v>
      </c>
      <c r="V172" s="8">
        <v>421.21199999999999</v>
      </c>
      <c r="W172" s="8">
        <v>752.85199999999998</v>
      </c>
      <c r="X172" s="8">
        <v>132.18100000000001</v>
      </c>
      <c r="Y172" s="8">
        <v>4.9400000000000004</v>
      </c>
      <c r="Z172" s="8">
        <v>8.0150000000000006</v>
      </c>
      <c r="AA172" s="8">
        <v>21.7</v>
      </c>
      <c r="AB172" s="8">
        <v>290.5</v>
      </c>
      <c r="AC172" s="8">
        <v>12735</v>
      </c>
      <c r="AD172" s="8">
        <v>3480</v>
      </c>
      <c r="AE172" s="8">
        <v>268</v>
      </c>
      <c r="AF172" s="8" cm="1">
        <f t="array" aca="1" ref="AF172" ca="1">_xlfn.XLOOKUP($A172,    INDIRECT("'" &amp; AF$16 &amp; "'!$A$20:$A$219"),    _xlfn.XLOOKUP(AF$18,INDIRECT("'" &amp; AF$16 &amp; "'!$B$18:$BC$18"), INDIRECT("'" &amp; AF$16 &amp; "'!$B$20:$BC$219"),"XXXXX",0,1),    "XX",    0,    1)</f>
        <v>15</v>
      </c>
      <c r="AG172" s="8" cm="1">
        <f t="array" aca="1" ref="AG172" ca="1">_xlfn.XLOOKUP($A172,    INDIRECT("'" &amp; AG$16 &amp; "'!$A$20:$A$219"),    _xlfn.XLOOKUP(AG$18,INDIRECT("'" &amp; AG$16 &amp; "'!$B$18:$BC$18"), INDIRECT("'" &amp; AG$16 &amp; "'!$B$20:$BC$219"),"XXXXX",0,1),    "XX",    0,    1)</f>
        <v>15</v>
      </c>
      <c r="AH172" s="8" cm="1">
        <f t="array" aca="1" ref="AH172" ca="1">_xlfn.XLOOKUP($A172,    INDIRECT("'" &amp; AH$16 &amp; "'!$A$20:$A$219"),    _xlfn.XLOOKUP(AH$18,INDIRECT("'" &amp; AH$16 &amp; "'!$B$18:$BC$18"), INDIRECT("'" &amp; AH$16 &amp; "'!$B$20:$BC$219"),"XXXXX",0,1),    "XX",    0,    1)</f>
        <v>15</v>
      </c>
      <c r="AI172" s="8" cm="1">
        <f t="array" aca="1" ref="AI172" ca="1">_xlfn.XLOOKUP($A172,    INDIRECT("'" &amp; AI$16 &amp; "'!$A$20:$A$219"),    _xlfn.XLOOKUP(AI$18,INDIRECT("'" &amp; AI$16 &amp; "'!$B$18:$BC$18"), INDIRECT("'" &amp; AI$16 &amp; "'!$B$20:$BC$219"),"XXXXX",0,1),    "XX",    0,    1)</f>
        <v>15</v>
      </c>
      <c r="AJ172" s="8" cm="1">
        <f t="array" aca="1" ref="AJ172" ca="1">_xlfn.XLOOKUP($A172,    INDIRECT("'" &amp; AJ$16 &amp; "'!$A$20:$A$219"),    _xlfn.XLOOKUP(AJ$18,INDIRECT("'" &amp; AJ$16 &amp; "'!$B$18:$BC$18"), INDIRECT("'" &amp; AJ$16 &amp; "'!$B$20:$BC$219"),"XXXXX",0,1),    "XX",    0,    1)</f>
        <v>17</v>
      </c>
      <c r="AK172" s="8" cm="1">
        <f t="array" aca="1" ref="AK172" ca="1">_xlfn.XLOOKUP($A172,    INDIRECT("'" &amp; AK$16 &amp; "'!$A$20:$A$219"),    _xlfn.XLOOKUP(AK$18,INDIRECT("'" &amp; AK$16 &amp; "'!$B$18:$BC$18"), INDIRECT("'" &amp; AK$16 &amp; "'!$B$20:$BC$219"),"XXXXX",0,1),    "XX",    0,    1)</f>
        <v>17</v>
      </c>
      <c r="AM172" s="16"/>
      <c r="AW172" s="8">
        <v>1</v>
      </c>
      <c r="AX172" s="8">
        <f t="shared" ca="1" si="53"/>
        <v>1.4285714285714286</v>
      </c>
      <c r="AY172" s="8">
        <f t="shared" ca="1" si="48"/>
        <v>1.4285714285714286</v>
      </c>
      <c r="AZ172" s="8">
        <f t="shared" ca="1" si="49"/>
        <v>1.4285714285714286</v>
      </c>
      <c r="BA172" s="8">
        <f t="shared" ca="1" si="50"/>
        <v>1.4285714285714286</v>
      </c>
      <c r="BB172" s="8">
        <f t="shared" ca="1" si="51"/>
        <v>1.6190476190476191</v>
      </c>
      <c r="BC172" s="8">
        <f t="shared" ca="1" si="52"/>
        <v>1.6190476190476191</v>
      </c>
      <c r="BE172" s="8">
        <f t="shared" ca="1" si="54"/>
        <v>0</v>
      </c>
      <c r="BF172" s="8">
        <f t="shared" ca="1" si="55"/>
        <v>0</v>
      </c>
      <c r="BG172" s="8">
        <f t="shared" ca="1" si="56"/>
        <v>0</v>
      </c>
    </row>
    <row r="173" spans="1:59" x14ac:dyDescent="0.2">
      <c r="A173" s="8" t="s">
        <v>42</v>
      </c>
      <c r="B173" s="8" t="s">
        <v>265</v>
      </c>
      <c r="C173" s="8">
        <v>-37.299999999999997</v>
      </c>
      <c r="D173" s="8">
        <v>455186.2</v>
      </c>
      <c r="E173" s="8">
        <v>5976970</v>
      </c>
      <c r="F173" s="8">
        <v>0</v>
      </c>
      <c r="G173" s="8">
        <v>-0.7</v>
      </c>
      <c r="H173" s="8">
        <v>0</v>
      </c>
      <c r="I173" s="8">
        <v>2</v>
      </c>
      <c r="J173" s="8">
        <v>0</v>
      </c>
      <c r="K173" s="8">
        <v>-65.400000000000006</v>
      </c>
      <c r="L173" s="8">
        <v>28.1</v>
      </c>
      <c r="M173" s="8">
        <v>1679.402</v>
      </c>
      <c r="N173" s="8">
        <v>90.8</v>
      </c>
      <c r="O173" s="8">
        <v>8</v>
      </c>
      <c r="P173" s="8">
        <v>10</v>
      </c>
      <c r="Q173" s="8">
        <v>2.74</v>
      </c>
      <c r="R173" s="8">
        <v>68</v>
      </c>
      <c r="S173" s="8">
        <v>110</v>
      </c>
      <c r="T173" s="3">
        <v>147</v>
      </c>
      <c r="U173" s="8">
        <v>1357.683</v>
      </c>
      <c r="V173" s="8">
        <v>458.64699999999999</v>
      </c>
      <c r="W173" s="8">
        <v>752.85199999999998</v>
      </c>
      <c r="X173" s="8">
        <v>132.18100000000001</v>
      </c>
      <c r="Y173" s="8">
        <v>4.9400000000000004</v>
      </c>
      <c r="Z173" s="8">
        <v>8.0150000000000006</v>
      </c>
      <c r="AA173" s="8">
        <v>21.7</v>
      </c>
      <c r="AB173" s="8">
        <v>290.5</v>
      </c>
      <c r="AC173" s="8">
        <v>12634</v>
      </c>
      <c r="AD173" s="8">
        <v>3329</v>
      </c>
      <c r="AE173" s="8">
        <v>268</v>
      </c>
      <c r="AF173" s="8" cm="1">
        <f t="array" aca="1" ref="AF173" ca="1">_xlfn.XLOOKUP($A173,    INDIRECT("'" &amp; AF$16 &amp; "'!$A$20:$A$219"),    _xlfn.XLOOKUP(AF$18,INDIRECT("'" &amp; AF$16 &amp; "'!$B$18:$BC$18"), INDIRECT("'" &amp; AF$16 &amp; "'!$B$20:$BC$219"),"XXXXX",0,1),    "XX",    0,    1)</f>
        <v>15</v>
      </c>
      <c r="AG173" s="8" cm="1">
        <f t="array" aca="1" ref="AG173" ca="1">_xlfn.XLOOKUP($A173,    INDIRECT("'" &amp; AG$16 &amp; "'!$A$20:$A$219"),    _xlfn.XLOOKUP(AG$18,INDIRECT("'" &amp; AG$16 &amp; "'!$B$18:$BC$18"), INDIRECT("'" &amp; AG$16 &amp; "'!$B$20:$BC$219"),"XXXXX",0,1),    "XX",    0,    1)</f>
        <v>15</v>
      </c>
      <c r="AH173" s="8" cm="1">
        <f t="array" aca="1" ref="AH173" ca="1">_xlfn.XLOOKUP($A173,    INDIRECT("'" &amp; AH$16 &amp; "'!$A$20:$A$219"),    _xlfn.XLOOKUP(AH$18,INDIRECT("'" &amp; AH$16 &amp; "'!$B$18:$BC$18"), INDIRECT("'" &amp; AH$16 &amp; "'!$B$20:$BC$219"),"XXXXX",0,1),    "XX",    0,    1)</f>
        <v>17</v>
      </c>
      <c r="AI173" s="8" cm="1">
        <f t="array" aca="1" ref="AI173" ca="1">_xlfn.XLOOKUP($A173,    INDIRECT("'" &amp; AI$16 &amp; "'!$A$20:$A$219"),    _xlfn.XLOOKUP(AI$18,INDIRECT("'" &amp; AI$16 &amp; "'!$B$18:$BC$18"), INDIRECT("'" &amp; AI$16 &amp; "'!$B$20:$BC$219"),"XXXXX",0,1),    "XX",    0,    1)</f>
        <v>17</v>
      </c>
      <c r="AJ173" s="8" cm="1">
        <f t="array" aca="1" ref="AJ173" ca="1">_xlfn.XLOOKUP($A173,    INDIRECT("'" &amp; AJ$16 &amp; "'!$A$20:$A$219"),    _xlfn.XLOOKUP(AJ$18,INDIRECT("'" &amp; AJ$16 &amp; "'!$B$18:$BC$18"), INDIRECT("'" &amp; AJ$16 &amp; "'!$B$20:$BC$219"),"XXXXX",0,1),    "XX",    0,    1)</f>
        <v>19</v>
      </c>
      <c r="AK173" s="8" cm="1">
        <f t="array" aca="1" ref="AK173" ca="1">_xlfn.XLOOKUP($A173,    INDIRECT("'" &amp; AK$16 &amp; "'!$A$20:$A$219"),    _xlfn.XLOOKUP(AK$18,INDIRECT("'" &amp; AK$16 &amp; "'!$B$18:$BC$18"), INDIRECT("'" &amp; AK$16 &amp; "'!$B$20:$BC$219"),"XXXXX",0,1),    "XX",    0,    1)</f>
        <v>19</v>
      </c>
      <c r="AM173" s="16"/>
      <c r="AW173" s="8">
        <v>1</v>
      </c>
      <c r="AX173" s="8">
        <f t="shared" ca="1" si="53"/>
        <v>1.5</v>
      </c>
      <c r="AY173" s="8">
        <f t="shared" ca="1" si="48"/>
        <v>1.5</v>
      </c>
      <c r="AZ173" s="8">
        <f t="shared" ca="1" si="49"/>
        <v>1.7</v>
      </c>
      <c r="BA173" s="8">
        <f t="shared" ca="1" si="50"/>
        <v>1.7</v>
      </c>
      <c r="BB173" s="8">
        <f t="shared" ca="1" si="51"/>
        <v>1.9</v>
      </c>
      <c r="BC173" s="8">
        <f t="shared" ca="1" si="52"/>
        <v>1.9</v>
      </c>
      <c r="BE173" s="8">
        <f t="shared" ca="1" si="54"/>
        <v>0</v>
      </c>
      <c r="BF173" s="8">
        <f t="shared" ca="1" si="55"/>
        <v>0</v>
      </c>
      <c r="BG173" s="8">
        <f t="shared" ca="1" si="56"/>
        <v>0</v>
      </c>
    </row>
    <row r="174" spans="1:59" x14ac:dyDescent="0.2">
      <c r="A174" s="8" t="s">
        <v>95</v>
      </c>
      <c r="B174" s="8" t="s">
        <v>265</v>
      </c>
      <c r="C174" s="8">
        <v>-37.299999999999997</v>
      </c>
      <c r="D174" s="8">
        <v>457662</v>
      </c>
      <c r="E174" s="8">
        <v>5976270</v>
      </c>
      <c r="F174" s="8">
        <v>0</v>
      </c>
      <c r="G174" s="8">
        <v>-0.6</v>
      </c>
      <c r="H174" s="8">
        <v>0</v>
      </c>
      <c r="I174" s="8">
        <v>2</v>
      </c>
      <c r="J174" s="8">
        <v>0</v>
      </c>
      <c r="K174" s="8">
        <v>-62.1</v>
      </c>
      <c r="L174" s="8">
        <v>24.8</v>
      </c>
      <c r="M174" s="8">
        <v>1605.7739999999999</v>
      </c>
      <c r="N174" s="8">
        <v>87.5</v>
      </c>
      <c r="O174" s="8">
        <v>8</v>
      </c>
      <c r="P174" s="8">
        <v>10</v>
      </c>
      <c r="Q174" s="8">
        <v>2.42</v>
      </c>
      <c r="R174" s="8">
        <v>68</v>
      </c>
      <c r="S174" s="8">
        <v>110</v>
      </c>
      <c r="T174" s="3">
        <v>147</v>
      </c>
      <c r="U174" s="8">
        <v>1295.404</v>
      </c>
      <c r="V174" s="8">
        <v>452.86700000000002</v>
      </c>
      <c r="W174" s="8">
        <v>752.85199999999998</v>
      </c>
      <c r="X174" s="8">
        <v>132.18100000000001</v>
      </c>
      <c r="Y174" s="8">
        <v>4.9400000000000004</v>
      </c>
      <c r="Z174" s="8">
        <v>8.0150000000000006</v>
      </c>
      <c r="AA174" s="8">
        <v>21.7</v>
      </c>
      <c r="AB174" s="8">
        <v>290.5</v>
      </c>
      <c r="AC174" s="8">
        <v>12429</v>
      </c>
      <c r="AD174" s="8">
        <v>3329</v>
      </c>
      <c r="AE174" s="8">
        <v>268</v>
      </c>
      <c r="AF174" s="8" cm="1">
        <f t="array" aca="1" ref="AF174" ca="1">_xlfn.XLOOKUP($A174,    INDIRECT("'" &amp; AF$16 &amp; "'!$A$20:$A$219"),    _xlfn.XLOOKUP(AF$18,INDIRECT("'" &amp; AF$16 &amp; "'!$B$18:$BC$18"), INDIRECT("'" &amp; AF$16 &amp; "'!$B$20:$BC$219"),"XXXXX",0,1),    "XX",    0,    1)</f>
        <v>15</v>
      </c>
      <c r="AG174" s="8" cm="1">
        <f t="array" aca="1" ref="AG174" ca="1">_xlfn.XLOOKUP($A174,    INDIRECT("'" &amp; AG$16 &amp; "'!$A$20:$A$219"),    _xlfn.XLOOKUP(AG$18,INDIRECT("'" &amp; AG$16 &amp; "'!$B$18:$BC$18"), INDIRECT("'" &amp; AG$16 &amp; "'!$B$20:$BC$219"),"XXXXX",0,1),    "XX",    0,    1)</f>
        <v>15</v>
      </c>
      <c r="AH174" s="8" cm="1">
        <f t="array" aca="1" ref="AH174" ca="1">_xlfn.XLOOKUP($A174,    INDIRECT("'" &amp; AH$16 &amp; "'!$A$20:$A$219"),    _xlfn.XLOOKUP(AH$18,INDIRECT("'" &amp; AH$16 &amp; "'!$B$18:$BC$18"), INDIRECT("'" &amp; AH$16 &amp; "'!$B$20:$BC$219"),"XXXXX",0,1),    "XX",    0,    1)</f>
        <v>15</v>
      </c>
      <c r="AI174" s="8" cm="1">
        <f t="array" aca="1" ref="AI174" ca="1">_xlfn.XLOOKUP($A174,    INDIRECT("'" &amp; AI$16 &amp; "'!$A$20:$A$219"),    _xlfn.XLOOKUP(AI$18,INDIRECT("'" &amp; AI$16 &amp; "'!$B$18:$BC$18"), INDIRECT("'" &amp; AI$16 &amp; "'!$B$20:$BC$219"),"XXXXX",0,1),    "XX",    0,    1)</f>
        <v>15</v>
      </c>
      <c r="AJ174" s="8" cm="1">
        <f t="array" aca="1" ref="AJ174" ca="1">_xlfn.XLOOKUP($A174,    INDIRECT("'" &amp; AJ$16 &amp; "'!$A$20:$A$219"),    _xlfn.XLOOKUP(AJ$18,INDIRECT("'" &amp; AJ$16 &amp; "'!$B$18:$BC$18"), INDIRECT("'" &amp; AJ$16 &amp; "'!$B$20:$BC$219"),"XXXXX",0,1),    "XX",    0,    1)</f>
        <v>15</v>
      </c>
      <c r="AK174" s="8" cm="1">
        <f t="array" aca="1" ref="AK174" ca="1">_xlfn.XLOOKUP($A174,    INDIRECT("'" &amp; AK$16 &amp; "'!$A$20:$A$219"),    _xlfn.XLOOKUP(AK$18,INDIRECT("'" &amp; AK$16 &amp; "'!$B$18:$BC$18"), INDIRECT("'" &amp; AK$16 &amp; "'!$B$20:$BC$219"),"XXXXX",0,1),    "XX",    0,    1)</f>
        <v>15</v>
      </c>
      <c r="AM174" s="16"/>
      <c r="AW174" s="8">
        <v>1</v>
      </c>
      <c r="AX174" s="8">
        <f t="shared" ca="1" si="53"/>
        <v>1.5</v>
      </c>
      <c r="AY174" s="8">
        <f t="shared" ca="1" si="48"/>
        <v>1.5</v>
      </c>
      <c r="AZ174" s="8">
        <f t="shared" ca="1" si="49"/>
        <v>1.5</v>
      </c>
      <c r="BA174" s="8">
        <f t="shared" ca="1" si="50"/>
        <v>1.5</v>
      </c>
      <c r="BB174" s="8">
        <f t="shared" ca="1" si="51"/>
        <v>1.5</v>
      </c>
      <c r="BC174" s="8">
        <f t="shared" ca="1" si="52"/>
        <v>1.5</v>
      </c>
      <c r="BE174" s="8">
        <f t="shared" ca="1" si="54"/>
        <v>0</v>
      </c>
      <c r="BF174" s="8">
        <f t="shared" ca="1" si="55"/>
        <v>0</v>
      </c>
      <c r="BG174" s="8">
        <f t="shared" ca="1" si="56"/>
        <v>0</v>
      </c>
    </row>
    <row r="175" spans="1:59" x14ac:dyDescent="0.2">
      <c r="A175" s="8" t="s">
        <v>21</v>
      </c>
      <c r="B175" s="8" t="s">
        <v>265</v>
      </c>
      <c r="C175" s="8">
        <v>-37</v>
      </c>
      <c r="D175" s="8">
        <v>461431.8</v>
      </c>
      <c r="E175" s="8">
        <v>5973540</v>
      </c>
      <c r="F175" s="8">
        <v>0</v>
      </c>
      <c r="G175" s="8">
        <v>-0.6</v>
      </c>
      <c r="H175" s="8">
        <v>0</v>
      </c>
      <c r="I175" s="8">
        <v>2</v>
      </c>
      <c r="J175" s="8">
        <v>0</v>
      </c>
      <c r="K175" s="8">
        <v>-67.900000000000006</v>
      </c>
      <c r="L175" s="8">
        <v>30.9</v>
      </c>
      <c r="M175" s="8">
        <v>1732.886</v>
      </c>
      <c r="N175" s="8">
        <v>93.3</v>
      </c>
      <c r="O175" s="8">
        <v>8</v>
      </c>
      <c r="P175" s="8">
        <v>10</v>
      </c>
      <c r="Q175" s="8">
        <v>3.03</v>
      </c>
      <c r="R175" s="8">
        <v>68</v>
      </c>
      <c r="S175" s="8">
        <v>110</v>
      </c>
      <c r="T175" s="3">
        <v>147</v>
      </c>
      <c r="U175" s="8">
        <v>1420</v>
      </c>
      <c r="V175" s="8">
        <v>427.69600000000003</v>
      </c>
      <c r="W175" s="8">
        <v>752.85199999999998</v>
      </c>
      <c r="X175" s="8">
        <v>132.18100000000001</v>
      </c>
      <c r="Y175" s="8">
        <v>4.9400000000000004</v>
      </c>
      <c r="Z175" s="8">
        <v>8.0150000000000006</v>
      </c>
      <c r="AA175" s="8">
        <v>21.7</v>
      </c>
      <c r="AB175" s="8">
        <v>290.5</v>
      </c>
      <c r="AC175" s="8">
        <v>12790</v>
      </c>
      <c r="AD175" s="8">
        <v>3310</v>
      </c>
      <c r="AE175" s="8">
        <v>268</v>
      </c>
      <c r="AF175" s="8" cm="1">
        <f t="array" aca="1" ref="AF175" ca="1">_xlfn.XLOOKUP($A175,    INDIRECT("'" &amp; AF$16 &amp; "'!$A$20:$A$219"),    _xlfn.XLOOKUP(AF$18,INDIRECT("'" &amp; AF$16 &amp; "'!$B$18:$BC$18"), INDIRECT("'" &amp; AF$16 &amp; "'!$B$20:$BC$219"),"XXXXX",0,1),    "XX",    0,    1)</f>
        <v>17</v>
      </c>
      <c r="AG175" s="8" cm="1">
        <f t="array" aca="1" ref="AG175" ca="1">_xlfn.XLOOKUP($A175,    INDIRECT("'" &amp; AG$16 &amp; "'!$A$20:$A$219"),    _xlfn.XLOOKUP(AG$18,INDIRECT("'" &amp; AG$16 &amp; "'!$B$18:$BC$18"), INDIRECT("'" &amp; AG$16 &amp; "'!$B$20:$BC$219"),"XXXXX",0,1),    "XX",    0,    1)</f>
        <v>17</v>
      </c>
      <c r="AH175" s="8" cm="1">
        <f t="array" aca="1" ref="AH175" ca="1">_xlfn.XLOOKUP($A175,    INDIRECT("'" &amp; AH$16 &amp; "'!$A$20:$A$219"),    _xlfn.XLOOKUP(AH$18,INDIRECT("'" &amp; AH$16 &amp; "'!$B$18:$BC$18"), INDIRECT("'" &amp; AH$16 &amp; "'!$B$20:$BC$219"),"XXXXX",0,1),    "XX",    0,    1)</f>
        <v>21</v>
      </c>
      <c r="AI175" s="8" cm="1">
        <f t="array" aca="1" ref="AI175" ca="1">_xlfn.XLOOKUP($A175,    INDIRECT("'" &amp; AI$16 &amp; "'!$A$20:$A$219"),    _xlfn.XLOOKUP(AI$18,INDIRECT("'" &amp; AI$16 &amp; "'!$B$18:$BC$18"), INDIRECT("'" &amp; AI$16 &amp; "'!$B$20:$BC$219"),"XXXXX",0,1),    "XX",    0,    1)</f>
        <v>21</v>
      </c>
      <c r="AJ175" s="8" cm="1">
        <f t="array" aca="1" ref="AJ175" ca="1">_xlfn.XLOOKUP($A175,    INDIRECT("'" &amp; AJ$16 &amp; "'!$A$20:$A$219"),    _xlfn.XLOOKUP(AJ$18,INDIRECT("'" &amp; AJ$16 &amp; "'!$B$18:$BC$18"), INDIRECT("'" &amp; AJ$16 &amp; "'!$B$20:$BC$219"),"XXXXX",0,1),    "XX",    0,    1)</f>
        <v>21</v>
      </c>
      <c r="AK175" s="8" cm="1">
        <f t="array" aca="1" ref="AK175" ca="1">_xlfn.XLOOKUP($A175,    INDIRECT("'" &amp; AK$16 &amp; "'!$A$20:$A$219"),    _xlfn.XLOOKUP(AK$18,INDIRECT("'" &amp; AK$16 &amp; "'!$B$18:$BC$18"), INDIRECT("'" &amp; AK$16 &amp; "'!$B$20:$BC$219"),"XXXXX",0,1),    "XX",    0,    1)</f>
        <v>21</v>
      </c>
      <c r="AM175" s="16"/>
      <c r="AW175" s="8">
        <v>1</v>
      </c>
      <c r="AX175" s="8">
        <f t="shared" ca="1" si="53"/>
        <v>1.7</v>
      </c>
      <c r="AY175" s="8">
        <f t="shared" ca="1" si="48"/>
        <v>1.7</v>
      </c>
      <c r="AZ175" s="8">
        <f t="shared" ca="1" si="49"/>
        <v>2.1</v>
      </c>
      <c r="BA175" s="8">
        <f t="shared" ca="1" si="50"/>
        <v>2.1</v>
      </c>
      <c r="BB175" s="8">
        <f t="shared" ca="1" si="51"/>
        <v>2.1</v>
      </c>
      <c r="BC175" s="8">
        <f t="shared" ca="1" si="52"/>
        <v>2.1</v>
      </c>
      <c r="BE175" s="8">
        <f t="shared" ca="1" si="54"/>
        <v>0</v>
      </c>
      <c r="BF175" s="8">
        <f t="shared" ca="1" si="55"/>
        <v>0</v>
      </c>
      <c r="BG175" s="8">
        <f t="shared" ca="1" si="56"/>
        <v>0</v>
      </c>
    </row>
    <row r="176" spans="1:59" x14ac:dyDescent="0.2">
      <c r="A176" s="8" t="s">
        <v>108</v>
      </c>
      <c r="B176" s="8" t="s">
        <v>265</v>
      </c>
      <c r="C176" s="8">
        <v>-36.9</v>
      </c>
      <c r="D176" s="8">
        <v>464638.4</v>
      </c>
      <c r="E176" s="8">
        <v>5971730</v>
      </c>
      <c r="F176" s="8">
        <v>0</v>
      </c>
      <c r="G176" s="8">
        <v>-0.7</v>
      </c>
      <c r="H176" s="8">
        <v>0</v>
      </c>
      <c r="I176" s="8">
        <v>2</v>
      </c>
      <c r="J176" s="8">
        <v>0</v>
      </c>
      <c r="K176" s="8">
        <v>-61.7</v>
      </c>
      <c r="L176" s="8">
        <v>24.8</v>
      </c>
      <c r="M176" s="8">
        <v>1576.171</v>
      </c>
      <c r="N176" s="8">
        <v>87.1</v>
      </c>
      <c r="O176" s="8">
        <v>8</v>
      </c>
      <c r="P176" s="8">
        <v>10</v>
      </c>
      <c r="Q176" s="8">
        <v>2.41</v>
      </c>
      <c r="R176" s="8">
        <v>68</v>
      </c>
      <c r="S176" s="8">
        <v>110</v>
      </c>
      <c r="T176" s="3">
        <v>147</v>
      </c>
      <c r="U176" s="8">
        <v>1295.5429999999999</v>
      </c>
      <c r="V176" s="8">
        <v>546.17200000000003</v>
      </c>
      <c r="W176" s="8">
        <v>752.85199999999998</v>
      </c>
      <c r="X176" s="8">
        <v>132.18100000000001</v>
      </c>
      <c r="Y176" s="8">
        <v>4.9400000000000004</v>
      </c>
      <c r="Z176" s="8">
        <v>8.0150000000000006</v>
      </c>
      <c r="AA176" s="8">
        <v>21.7</v>
      </c>
      <c r="AB176" s="8">
        <v>290.5</v>
      </c>
      <c r="AC176" s="8">
        <v>12404</v>
      </c>
      <c r="AD176" s="8">
        <v>3304</v>
      </c>
      <c r="AE176" s="8">
        <v>268</v>
      </c>
      <c r="AF176" s="8" cm="1">
        <f t="array" aca="1" ref="AF176" ca="1">_xlfn.XLOOKUP($A176,    INDIRECT("'" &amp; AF$16 &amp; "'!$A$20:$A$219"),    _xlfn.XLOOKUP(AF$18,INDIRECT("'" &amp; AF$16 &amp; "'!$B$18:$BC$18"), INDIRECT("'" &amp; AF$16 &amp; "'!$B$20:$BC$219"),"XXXXX",0,1),    "XX",    0,    1)</f>
        <v>15</v>
      </c>
      <c r="AG176" s="8" cm="1">
        <f t="array" aca="1" ref="AG176" ca="1">_xlfn.XLOOKUP($A176,    INDIRECT("'" &amp; AG$16 &amp; "'!$A$20:$A$219"),    _xlfn.XLOOKUP(AG$18,INDIRECT("'" &amp; AG$16 &amp; "'!$B$18:$BC$18"), INDIRECT("'" &amp; AG$16 &amp; "'!$B$20:$BC$219"),"XXXXX",0,1),    "XX",    0,    1)</f>
        <v>15</v>
      </c>
      <c r="AH176" s="8" cm="1">
        <f t="array" aca="1" ref="AH176" ca="1">_xlfn.XLOOKUP($A176,    INDIRECT("'" &amp; AH$16 &amp; "'!$A$20:$A$219"),    _xlfn.XLOOKUP(AH$18,INDIRECT("'" &amp; AH$16 &amp; "'!$B$18:$BC$18"), INDIRECT("'" &amp; AH$16 &amp; "'!$B$20:$BC$219"),"XXXXX",0,1),    "XX",    0,    1)</f>
        <v>15</v>
      </c>
      <c r="AI176" s="8" cm="1">
        <f t="array" aca="1" ref="AI176" ca="1">_xlfn.XLOOKUP($A176,    INDIRECT("'" &amp; AI$16 &amp; "'!$A$20:$A$219"),    _xlfn.XLOOKUP(AI$18,INDIRECT("'" &amp; AI$16 &amp; "'!$B$18:$BC$18"), INDIRECT("'" &amp; AI$16 &amp; "'!$B$20:$BC$219"),"XXXXX",0,1),    "XX",    0,    1)</f>
        <v>15</v>
      </c>
      <c r="AJ176" s="8" cm="1">
        <f t="array" aca="1" ref="AJ176" ca="1">_xlfn.XLOOKUP($A176,    INDIRECT("'" &amp; AJ$16 &amp; "'!$A$20:$A$219"),    _xlfn.XLOOKUP(AJ$18,INDIRECT("'" &amp; AJ$16 &amp; "'!$B$18:$BC$18"), INDIRECT("'" &amp; AJ$16 &amp; "'!$B$20:$BC$219"),"XXXXX",0,1),    "XX",    0,    1)</f>
        <v>15</v>
      </c>
      <c r="AK176" s="8" cm="1">
        <f t="array" aca="1" ref="AK176" ca="1">_xlfn.XLOOKUP($A176,    INDIRECT("'" &amp; AK$16 &amp; "'!$A$20:$A$219"),    _xlfn.XLOOKUP(AK$18,INDIRECT("'" &amp; AK$16 &amp; "'!$B$18:$BC$18"), INDIRECT("'" &amp; AK$16 &amp; "'!$B$20:$BC$219"),"XXXXX",0,1),    "XX",    0,    1)</f>
        <v>15</v>
      </c>
      <c r="AM176" s="16"/>
      <c r="AW176" s="8">
        <v>1</v>
      </c>
      <c r="AX176" s="8">
        <f t="shared" ca="1" si="53"/>
        <v>1.5</v>
      </c>
      <c r="AY176" s="8">
        <f t="shared" ca="1" si="48"/>
        <v>1.5</v>
      </c>
      <c r="AZ176" s="8">
        <f t="shared" ca="1" si="49"/>
        <v>1.5</v>
      </c>
      <c r="BA176" s="8">
        <f t="shared" ca="1" si="50"/>
        <v>1.5</v>
      </c>
      <c r="BB176" s="8">
        <f t="shared" ca="1" si="51"/>
        <v>1.5</v>
      </c>
      <c r="BC176" s="8">
        <f t="shared" ca="1" si="52"/>
        <v>1.5</v>
      </c>
      <c r="BE176" s="8">
        <f t="shared" ca="1" si="54"/>
        <v>0</v>
      </c>
      <c r="BF176" s="8">
        <f t="shared" ca="1" si="55"/>
        <v>0</v>
      </c>
      <c r="BG176" s="8">
        <f t="shared" ca="1" si="56"/>
        <v>0</v>
      </c>
    </row>
    <row r="177" spans="1:59" x14ac:dyDescent="0.2">
      <c r="A177" s="8" t="s">
        <v>64</v>
      </c>
      <c r="B177" s="8" t="s">
        <v>265</v>
      </c>
      <c r="C177" s="8">
        <v>-37</v>
      </c>
      <c r="D177" s="8">
        <v>467158</v>
      </c>
      <c r="E177" s="8">
        <v>5971090</v>
      </c>
      <c r="F177" s="8">
        <v>0</v>
      </c>
      <c r="G177" s="8">
        <v>-0.7</v>
      </c>
      <c r="H177" s="8">
        <v>0</v>
      </c>
      <c r="I177" s="8">
        <v>2</v>
      </c>
      <c r="J177" s="8">
        <v>0</v>
      </c>
      <c r="K177" s="8">
        <v>-63.929000000000002</v>
      </c>
      <c r="L177" s="8">
        <v>26.928999999999998</v>
      </c>
      <c r="M177" s="8">
        <v>1663.443</v>
      </c>
      <c r="N177" s="8">
        <v>89.328999999999994</v>
      </c>
      <c r="O177" s="8">
        <v>8</v>
      </c>
      <c r="P177" s="8">
        <v>10</v>
      </c>
      <c r="Q177" s="8">
        <v>2.6229</v>
      </c>
      <c r="R177" s="8">
        <v>68</v>
      </c>
      <c r="S177" s="8">
        <v>110</v>
      </c>
      <c r="T177" s="3">
        <v>147</v>
      </c>
      <c r="U177" s="8">
        <v>1295.329</v>
      </c>
      <c r="V177" s="8">
        <v>427.77199999999999</v>
      </c>
      <c r="W177" s="8">
        <v>752.85199999999998</v>
      </c>
      <c r="X177" s="8">
        <v>132.18100000000001</v>
      </c>
      <c r="Y177" s="8">
        <v>4.9400000000000004</v>
      </c>
      <c r="Z177" s="8">
        <v>8.0150000000000006</v>
      </c>
      <c r="AA177" s="8">
        <v>21.7</v>
      </c>
      <c r="AB177" s="8">
        <v>290.5</v>
      </c>
      <c r="AC177" s="8">
        <v>12542</v>
      </c>
      <c r="AD177" s="8">
        <v>3310</v>
      </c>
      <c r="AE177" s="8">
        <v>268</v>
      </c>
      <c r="AF177" s="8" cm="1">
        <f t="array" aca="1" ref="AF177" ca="1">_xlfn.XLOOKUP($A177,    INDIRECT("'" &amp; AF$16 &amp; "'!$A$20:$A$219"),    _xlfn.XLOOKUP(AF$18,INDIRECT("'" &amp; AF$16 &amp; "'!$B$18:$BC$18"), INDIRECT("'" &amp; AF$16 &amp; "'!$B$20:$BC$219"),"XXXXX",0,1),    "XX",    0,    1)</f>
        <v>15</v>
      </c>
      <c r="AG177" s="8" cm="1">
        <f t="array" aca="1" ref="AG177" ca="1">_xlfn.XLOOKUP($A177,    INDIRECT("'" &amp; AG$16 &amp; "'!$A$20:$A$219"),    _xlfn.XLOOKUP(AG$18,INDIRECT("'" &amp; AG$16 &amp; "'!$B$18:$BC$18"), INDIRECT("'" &amp; AG$16 &amp; "'!$B$20:$BC$219"),"XXXXX",0,1),    "XX",    0,    1)</f>
        <v>15</v>
      </c>
      <c r="AH177" s="8" cm="1">
        <f t="array" aca="1" ref="AH177" ca="1">_xlfn.XLOOKUP($A177,    INDIRECT("'" &amp; AH$16 &amp; "'!$A$20:$A$219"),    _xlfn.XLOOKUP(AH$18,INDIRECT("'" &amp; AH$16 &amp; "'!$B$18:$BC$18"), INDIRECT("'" &amp; AH$16 &amp; "'!$B$20:$BC$219"),"XXXXX",0,1),    "XX",    0,    1)</f>
        <v>17</v>
      </c>
      <c r="AI177" s="8" cm="1">
        <f t="array" aca="1" ref="AI177" ca="1">_xlfn.XLOOKUP($A177,    INDIRECT("'" &amp; AI$16 &amp; "'!$A$20:$A$219"),    _xlfn.XLOOKUP(AI$18,INDIRECT("'" &amp; AI$16 &amp; "'!$B$18:$BC$18"), INDIRECT("'" &amp; AI$16 &amp; "'!$B$20:$BC$219"),"XXXXX",0,1),    "XX",    0,    1)</f>
        <v>17</v>
      </c>
      <c r="AJ177" s="8" cm="1">
        <f t="array" aca="1" ref="AJ177" ca="1">_xlfn.XLOOKUP($A177,    INDIRECT("'" &amp; AJ$16 &amp; "'!$A$20:$A$219"),    _xlfn.XLOOKUP(AJ$18,INDIRECT("'" &amp; AJ$16 &amp; "'!$B$18:$BC$18"), INDIRECT("'" &amp; AJ$16 &amp; "'!$B$20:$BC$219"),"XXXXX",0,1),    "XX",    0,    1)</f>
        <v>17</v>
      </c>
      <c r="AK177" s="8" cm="1">
        <f t="array" aca="1" ref="AK177" ca="1">_xlfn.XLOOKUP($A177,    INDIRECT("'" &amp; AK$16 &amp; "'!$A$20:$A$219"),    _xlfn.XLOOKUP(AK$18,INDIRECT("'" &amp; AK$16 &amp; "'!$B$18:$BC$18"), INDIRECT("'" &amp; AK$16 &amp; "'!$B$20:$BC$219"),"XXXXX",0,1),    "XX",    0,    1)</f>
        <v>17</v>
      </c>
      <c r="AM177" s="16"/>
      <c r="AW177" s="8">
        <v>1</v>
      </c>
      <c r="AX177" s="8">
        <f t="shared" ca="1" si="53"/>
        <v>1.5</v>
      </c>
      <c r="AY177" s="8">
        <f t="shared" ca="1" si="48"/>
        <v>1.5</v>
      </c>
      <c r="AZ177" s="8">
        <f t="shared" ca="1" si="49"/>
        <v>1.7</v>
      </c>
      <c r="BA177" s="8">
        <f t="shared" ca="1" si="50"/>
        <v>1.7</v>
      </c>
      <c r="BB177" s="8">
        <f t="shared" ca="1" si="51"/>
        <v>1.7</v>
      </c>
      <c r="BC177" s="8">
        <f t="shared" ca="1" si="52"/>
        <v>1.7</v>
      </c>
      <c r="BE177" s="8">
        <f t="shared" ca="1" si="54"/>
        <v>0</v>
      </c>
      <c r="BF177" s="8">
        <f t="shared" ca="1" si="55"/>
        <v>0</v>
      </c>
      <c r="BG177" s="8">
        <f t="shared" ca="1" si="56"/>
        <v>0</v>
      </c>
    </row>
    <row r="178" spans="1:59" x14ac:dyDescent="0.2">
      <c r="A178" s="8" t="s">
        <v>49</v>
      </c>
      <c r="B178" s="8" t="s">
        <v>269</v>
      </c>
      <c r="C178" s="8">
        <v>-38</v>
      </c>
      <c r="D178" s="8">
        <v>469643</v>
      </c>
      <c r="E178" s="8">
        <v>5970460</v>
      </c>
      <c r="F178" s="8">
        <v>0</v>
      </c>
      <c r="G178" s="8">
        <v>-0.7</v>
      </c>
      <c r="H178" s="8">
        <v>0</v>
      </c>
      <c r="I178" s="8">
        <v>2</v>
      </c>
      <c r="J178" s="8">
        <v>0</v>
      </c>
      <c r="K178" s="8">
        <v>-65.099999999999994</v>
      </c>
      <c r="L178" s="8">
        <v>27.1</v>
      </c>
      <c r="M178" s="8">
        <v>1688.4069999999999</v>
      </c>
      <c r="N178" s="8">
        <v>90.5</v>
      </c>
      <c r="O178" s="8">
        <v>8</v>
      </c>
      <c r="P178" s="8">
        <v>10</v>
      </c>
      <c r="Q178" s="8">
        <v>2.64</v>
      </c>
      <c r="R178" s="8">
        <v>68</v>
      </c>
      <c r="S178" s="8">
        <v>110</v>
      </c>
      <c r="T178" s="3">
        <v>147</v>
      </c>
      <c r="U178" s="8">
        <v>1357.595</v>
      </c>
      <c r="V178" s="8">
        <v>505.87200000000001</v>
      </c>
      <c r="W178" s="8">
        <v>752.85199999999998</v>
      </c>
      <c r="X178" s="8">
        <v>132.18100000000001</v>
      </c>
      <c r="Y178" s="8">
        <v>4.9400000000000004</v>
      </c>
      <c r="Z178" s="8">
        <v>8.0150000000000006</v>
      </c>
      <c r="AA178" s="8">
        <v>21.7</v>
      </c>
      <c r="AB178" s="8">
        <v>290.5</v>
      </c>
      <c r="AC178" s="8">
        <v>12615</v>
      </c>
      <c r="AD178" s="8">
        <v>3372</v>
      </c>
      <c r="AE178" s="8">
        <v>268</v>
      </c>
      <c r="AF178" s="8" cm="1">
        <f t="array" aca="1" ref="AF178" ca="1">_xlfn.XLOOKUP($A178,    INDIRECT("'" &amp; AF$16 &amp; "'!$A$20:$A$219"),    _xlfn.XLOOKUP(AF$18,INDIRECT("'" &amp; AF$16 &amp; "'!$B$18:$BC$18"), INDIRECT("'" &amp; AF$16 &amp; "'!$B$20:$BC$219"),"XXXXX",0,1),    "XX",    0,    1)</f>
        <v>15</v>
      </c>
      <c r="AG178" s="8" cm="1">
        <f t="array" aca="1" ref="AG178" ca="1">_xlfn.XLOOKUP($A178,    INDIRECT("'" &amp; AG$16 &amp; "'!$A$20:$A$219"),    _xlfn.XLOOKUP(AG$18,INDIRECT("'" &amp; AG$16 &amp; "'!$B$18:$BC$18"), INDIRECT("'" &amp; AG$16 &amp; "'!$B$20:$BC$219"),"XXXXX",0,1),    "XX",    0,    1)</f>
        <v>15</v>
      </c>
      <c r="AH178" s="8" cm="1">
        <f t="array" aca="1" ref="AH178" ca="1">_xlfn.XLOOKUP($A178,    INDIRECT("'" &amp; AH$16 &amp; "'!$A$20:$A$219"),    _xlfn.XLOOKUP(AH$18,INDIRECT("'" &amp; AH$16 &amp; "'!$B$18:$BC$18"), INDIRECT("'" &amp; AH$16 &amp; "'!$B$20:$BC$219"),"XXXXX",0,1),    "XX",    0,    1)</f>
        <v>17</v>
      </c>
      <c r="AI178" s="8" cm="1">
        <f t="array" aca="1" ref="AI178" ca="1">_xlfn.XLOOKUP($A178,    INDIRECT("'" &amp; AI$16 &amp; "'!$A$20:$A$219"),    _xlfn.XLOOKUP(AI$18,INDIRECT("'" &amp; AI$16 &amp; "'!$B$18:$BC$18"), INDIRECT("'" &amp; AI$16 &amp; "'!$B$20:$BC$219"),"XXXXX",0,1),    "XX",    0,    1)</f>
        <v>17</v>
      </c>
      <c r="AJ178" s="8" cm="1">
        <f t="array" aca="1" ref="AJ178" ca="1">_xlfn.XLOOKUP($A178,    INDIRECT("'" &amp; AJ$16 &amp; "'!$A$20:$A$219"),    _xlfn.XLOOKUP(AJ$18,INDIRECT("'" &amp; AJ$16 &amp; "'!$B$18:$BC$18"), INDIRECT("'" &amp; AJ$16 &amp; "'!$B$20:$BC$219"),"XXXXX",0,1),    "XX",    0,    1)</f>
        <v>17</v>
      </c>
      <c r="AK178" s="8" cm="1">
        <f t="array" aca="1" ref="AK178" ca="1">_xlfn.XLOOKUP($A178,    INDIRECT("'" &amp; AK$16 &amp; "'!$A$20:$A$219"),    _xlfn.XLOOKUP(AK$18,INDIRECT("'" &amp; AK$16 &amp; "'!$B$18:$BC$18"), INDIRECT("'" &amp; AK$16 &amp; "'!$B$20:$BC$219"),"XXXXX",0,1),    "XX",    0,    1)</f>
        <v>17</v>
      </c>
      <c r="AM178" s="16"/>
      <c r="AW178" s="8">
        <v>1</v>
      </c>
      <c r="AX178" s="8">
        <f t="shared" ca="1" si="53"/>
        <v>1.5</v>
      </c>
      <c r="AY178" s="8">
        <f t="shared" ca="1" si="48"/>
        <v>1.5</v>
      </c>
      <c r="AZ178" s="8">
        <f t="shared" ca="1" si="49"/>
        <v>1.7</v>
      </c>
      <c r="BA178" s="8">
        <f t="shared" ca="1" si="50"/>
        <v>1.7</v>
      </c>
      <c r="BB178" s="8">
        <f t="shared" ca="1" si="51"/>
        <v>1.7</v>
      </c>
      <c r="BC178" s="8">
        <f t="shared" ca="1" si="52"/>
        <v>1.7</v>
      </c>
      <c r="BE178" s="8">
        <f t="shared" ca="1" si="54"/>
        <v>0</v>
      </c>
      <c r="BF178" s="8">
        <f t="shared" ca="1" si="55"/>
        <v>0</v>
      </c>
      <c r="BG178" s="8">
        <f t="shared" ca="1" si="56"/>
        <v>0</v>
      </c>
    </row>
    <row r="179" spans="1:59" x14ac:dyDescent="0.2">
      <c r="A179" s="8" t="s">
        <v>97</v>
      </c>
      <c r="B179" s="8" t="s">
        <v>265</v>
      </c>
      <c r="C179" s="8">
        <v>-36.5</v>
      </c>
      <c r="D179" s="8">
        <v>469472.2</v>
      </c>
      <c r="E179" s="8">
        <v>5974062.7000000002</v>
      </c>
      <c r="F179" s="8">
        <v>0</v>
      </c>
      <c r="G179" s="8">
        <v>-0.6</v>
      </c>
      <c r="H179" s="8">
        <v>0</v>
      </c>
      <c r="I179" s="8">
        <v>2</v>
      </c>
      <c r="J179" s="8">
        <v>0</v>
      </c>
      <c r="K179" s="8">
        <v>-62.4</v>
      </c>
      <c r="L179" s="8">
        <v>25.9</v>
      </c>
      <c r="M179" s="8">
        <v>1616.7729999999999</v>
      </c>
      <c r="N179" s="8">
        <v>87.8</v>
      </c>
      <c r="O179" s="8">
        <v>8</v>
      </c>
      <c r="P179" s="8">
        <v>10</v>
      </c>
      <c r="Q179" s="8">
        <v>2.5299999999999998</v>
      </c>
      <c r="R179" s="8">
        <v>68</v>
      </c>
      <c r="S179" s="8">
        <v>110</v>
      </c>
      <c r="T179" s="3">
        <v>147</v>
      </c>
      <c r="U179" s="8">
        <v>1295.404</v>
      </c>
      <c r="V179" s="8">
        <v>452.96699999999998</v>
      </c>
      <c r="W179" s="8">
        <v>752.85199999999998</v>
      </c>
      <c r="X179" s="8">
        <v>132.18100000000001</v>
      </c>
      <c r="Y179" s="8">
        <v>4.9400000000000004</v>
      </c>
      <c r="Z179" s="8">
        <v>8.0150000000000006</v>
      </c>
      <c r="AA179" s="8">
        <v>21.7</v>
      </c>
      <c r="AB179" s="8">
        <v>290.5</v>
      </c>
      <c r="AC179" s="8">
        <v>12447</v>
      </c>
      <c r="AD179" s="8">
        <v>3279</v>
      </c>
      <c r="AE179" s="8">
        <v>268</v>
      </c>
      <c r="AF179" s="8" cm="1">
        <f t="array" aca="1" ref="AF179" ca="1">_xlfn.XLOOKUP($A179,    INDIRECT("'" &amp; AF$16 &amp; "'!$A$20:$A$219"),    _xlfn.XLOOKUP(AF$18,INDIRECT("'" &amp; AF$16 &amp; "'!$B$18:$BC$18"), INDIRECT("'" &amp; AF$16 &amp; "'!$B$20:$BC$219"),"XXXXX",0,1),    "XX",    0,    1)</f>
        <v>15</v>
      </c>
      <c r="AG179" s="8" cm="1">
        <f t="array" aca="1" ref="AG179" ca="1">_xlfn.XLOOKUP($A179,    INDIRECT("'" &amp; AG$16 &amp; "'!$A$20:$A$219"),    _xlfn.XLOOKUP(AG$18,INDIRECT("'" &amp; AG$16 &amp; "'!$B$18:$BC$18"), INDIRECT("'" &amp; AG$16 &amp; "'!$B$20:$BC$219"),"XXXXX",0,1),    "XX",    0,    1)</f>
        <v>15</v>
      </c>
      <c r="AH179" s="8" cm="1">
        <f t="array" aca="1" ref="AH179" ca="1">_xlfn.XLOOKUP($A179,    INDIRECT("'" &amp; AH$16 &amp; "'!$A$20:$A$219"),    _xlfn.XLOOKUP(AH$18,INDIRECT("'" &amp; AH$16 &amp; "'!$B$18:$BC$18"), INDIRECT("'" &amp; AH$16 &amp; "'!$B$20:$BC$219"),"XXXXX",0,1),    "XX",    0,    1)</f>
        <v>15</v>
      </c>
      <c r="AI179" s="8" cm="1">
        <f t="array" aca="1" ref="AI179" ca="1">_xlfn.XLOOKUP($A179,    INDIRECT("'" &amp; AI$16 &amp; "'!$A$20:$A$219"),    _xlfn.XLOOKUP(AI$18,INDIRECT("'" &amp; AI$16 &amp; "'!$B$18:$BC$18"), INDIRECT("'" &amp; AI$16 &amp; "'!$B$20:$BC$219"),"XXXXX",0,1),    "XX",    0,    1)</f>
        <v>15</v>
      </c>
      <c r="AJ179" s="8" cm="1">
        <f t="array" aca="1" ref="AJ179" ca="1">_xlfn.XLOOKUP($A179,    INDIRECT("'" &amp; AJ$16 &amp; "'!$A$20:$A$219"),    _xlfn.XLOOKUP(AJ$18,INDIRECT("'" &amp; AJ$16 &amp; "'!$B$18:$BC$18"), INDIRECT("'" &amp; AJ$16 &amp; "'!$B$20:$BC$219"),"XXXXX",0,1),    "XX",    0,    1)</f>
        <v>17</v>
      </c>
      <c r="AK179" s="8" cm="1">
        <f t="array" aca="1" ref="AK179" ca="1">_xlfn.XLOOKUP($A179,    INDIRECT("'" &amp; AK$16 &amp; "'!$A$20:$A$219"),    _xlfn.XLOOKUP(AK$18,INDIRECT("'" &amp; AK$16 &amp; "'!$B$18:$BC$18"), INDIRECT("'" &amp; AK$16 &amp; "'!$B$20:$BC$219"),"XXXXX",0,1),    "XX",    0,    1)</f>
        <v>17</v>
      </c>
      <c r="AM179" s="16"/>
      <c r="AW179" s="8">
        <v>1</v>
      </c>
      <c r="AX179" s="8">
        <f t="shared" ca="1" si="53"/>
        <v>1.5</v>
      </c>
      <c r="AY179" s="8">
        <f t="shared" ca="1" si="48"/>
        <v>1.5</v>
      </c>
      <c r="AZ179" s="8">
        <f t="shared" ca="1" si="49"/>
        <v>1.5</v>
      </c>
      <c r="BA179" s="8">
        <f t="shared" ca="1" si="50"/>
        <v>1.5</v>
      </c>
      <c r="BB179" s="8">
        <f t="shared" ca="1" si="51"/>
        <v>1.7</v>
      </c>
      <c r="BC179" s="8">
        <f t="shared" ca="1" si="52"/>
        <v>1.7</v>
      </c>
      <c r="BE179" s="8">
        <f t="shared" ca="1" si="54"/>
        <v>0</v>
      </c>
      <c r="BF179" s="8">
        <f t="shared" ca="1" si="55"/>
        <v>0</v>
      </c>
      <c r="BG179" s="8">
        <f t="shared" ca="1" si="56"/>
        <v>0</v>
      </c>
    </row>
    <row r="180" spans="1:59" x14ac:dyDescent="0.2">
      <c r="A180" s="8" t="s">
        <v>133</v>
      </c>
      <c r="B180" s="8" t="s">
        <v>265</v>
      </c>
      <c r="C180" s="8">
        <v>-31.9</v>
      </c>
      <c r="D180" s="8">
        <v>471621</v>
      </c>
      <c r="E180" s="8">
        <v>5973890</v>
      </c>
      <c r="F180" s="8">
        <v>0</v>
      </c>
      <c r="G180" s="8">
        <v>-0.6</v>
      </c>
      <c r="H180" s="8">
        <v>0</v>
      </c>
      <c r="I180" s="8">
        <v>2</v>
      </c>
      <c r="J180" s="8">
        <v>0</v>
      </c>
      <c r="K180" s="8">
        <v>-59.9</v>
      </c>
      <c r="L180" s="8">
        <v>28</v>
      </c>
      <c r="M180" s="8">
        <v>1473.646</v>
      </c>
      <c r="N180" s="8">
        <v>85.3</v>
      </c>
      <c r="O180" s="8">
        <v>8</v>
      </c>
      <c r="P180" s="8">
        <v>10</v>
      </c>
      <c r="Q180" s="8">
        <v>2.74</v>
      </c>
      <c r="R180" s="8">
        <v>68</v>
      </c>
      <c r="S180" s="8">
        <v>110</v>
      </c>
      <c r="T180" s="3">
        <v>147</v>
      </c>
      <c r="U180" s="8">
        <v>1296.02</v>
      </c>
      <c r="V180" s="8">
        <v>580.70500000000004</v>
      </c>
      <c r="W180" s="8">
        <v>752.85199999999998</v>
      </c>
      <c r="X180" s="8">
        <v>132.18100000000001</v>
      </c>
      <c r="Y180" s="8">
        <v>4.9400000000000004</v>
      </c>
      <c r="Z180" s="8">
        <v>8.0150000000000006</v>
      </c>
      <c r="AA180" s="8">
        <v>21.7</v>
      </c>
      <c r="AB180" s="8">
        <v>290.5</v>
      </c>
      <c r="AC180" s="8">
        <v>12294</v>
      </c>
      <c r="AD180" s="8">
        <v>2994</v>
      </c>
      <c r="AE180" s="8">
        <v>268</v>
      </c>
      <c r="AF180" s="8" cm="1">
        <f t="array" aca="1" ref="AF180" ca="1">_xlfn.XLOOKUP($A180,    INDIRECT("'" &amp; AF$16 &amp; "'!$A$20:$A$219"),    _xlfn.XLOOKUP(AF$18,INDIRECT("'" &amp; AF$16 &amp; "'!$B$18:$BC$18"), INDIRECT("'" &amp; AF$16 &amp; "'!$B$20:$BC$219"),"XXXXX",0,1),    "XX",    0,    1)</f>
        <v>15</v>
      </c>
      <c r="AG180" s="8" cm="1">
        <f t="array" aca="1" ref="AG180" ca="1">_xlfn.XLOOKUP($A180,    INDIRECT("'" &amp; AG$16 &amp; "'!$A$20:$A$219"),    _xlfn.XLOOKUP(AG$18,INDIRECT("'" &amp; AG$16 &amp; "'!$B$18:$BC$18"), INDIRECT("'" &amp; AG$16 &amp; "'!$B$20:$BC$219"),"XXXXX",0,1),    "XX",    0,    1)</f>
        <v>15</v>
      </c>
      <c r="AH180" s="8" cm="1">
        <f t="array" aca="1" ref="AH180" ca="1">_xlfn.XLOOKUP($A180,    INDIRECT("'" &amp; AH$16 &amp; "'!$A$20:$A$219"),    _xlfn.XLOOKUP(AH$18,INDIRECT("'" &amp; AH$16 &amp; "'!$B$18:$BC$18"), INDIRECT("'" &amp; AH$16 &amp; "'!$B$20:$BC$219"),"XXXXX",0,1),    "XX",    0,    1)</f>
        <v>17</v>
      </c>
      <c r="AI180" s="8" cm="1">
        <f t="array" aca="1" ref="AI180" ca="1">_xlfn.XLOOKUP($A180,    INDIRECT("'" &amp; AI$16 &amp; "'!$A$20:$A$219"),    _xlfn.XLOOKUP(AI$18,INDIRECT("'" &amp; AI$16 &amp; "'!$B$18:$BC$18"), INDIRECT("'" &amp; AI$16 &amp; "'!$B$20:$BC$219"),"XXXXX",0,1),    "XX",    0,    1)</f>
        <v>17</v>
      </c>
      <c r="AJ180" s="8" cm="1">
        <f t="array" aca="1" ref="AJ180" ca="1">_xlfn.XLOOKUP($A180,    INDIRECT("'" &amp; AJ$16 &amp; "'!$A$20:$A$219"),    _xlfn.XLOOKUP(AJ$18,INDIRECT("'" &amp; AJ$16 &amp; "'!$B$18:$BC$18"), INDIRECT("'" &amp; AJ$16 &amp; "'!$B$20:$BC$219"),"XXXXX",0,1),    "XX",    0,    1)</f>
        <v>19</v>
      </c>
      <c r="AK180" s="8" cm="1">
        <f t="array" aca="1" ref="AK180" ca="1">_xlfn.XLOOKUP($A180,    INDIRECT("'" &amp; AK$16 &amp; "'!$A$20:$A$219"),    _xlfn.XLOOKUP(AK$18,INDIRECT("'" &amp; AK$16 &amp; "'!$B$18:$BC$18"), INDIRECT("'" &amp; AK$16 &amp; "'!$B$20:$BC$219"),"XXXXX",0,1),    "XX",    0,    1)</f>
        <v>19</v>
      </c>
      <c r="AM180" s="16"/>
      <c r="AW180" s="8">
        <v>1</v>
      </c>
      <c r="AX180" s="8">
        <f t="shared" ca="1" si="53"/>
        <v>1.5</v>
      </c>
      <c r="AY180" s="8">
        <f t="shared" ref="AY180:AY211" ca="1" si="57">AG180/$P180</f>
        <v>1.5</v>
      </c>
      <c r="AZ180" s="8">
        <f t="shared" ref="AZ180:AZ211" ca="1" si="58">AH180/$P180</f>
        <v>1.7</v>
      </c>
      <c r="BA180" s="8">
        <f t="shared" ref="BA180:BA211" ca="1" si="59">AI180/$P180</f>
        <v>1.7</v>
      </c>
      <c r="BB180" s="8">
        <f t="shared" ref="BB180:BB211" ca="1" si="60">AJ180/$P180</f>
        <v>1.9</v>
      </c>
      <c r="BC180" s="8">
        <f t="shared" ref="BC180:BC211" ca="1" si="61">AK180/$P180</f>
        <v>1.9</v>
      </c>
      <c r="BE180" s="8">
        <f t="shared" ca="1" si="54"/>
        <v>0</v>
      </c>
      <c r="BF180" s="8">
        <f t="shared" ca="1" si="55"/>
        <v>0</v>
      </c>
      <c r="BG180" s="8">
        <f t="shared" ca="1" si="56"/>
        <v>0</v>
      </c>
    </row>
    <row r="181" spans="1:59" x14ac:dyDescent="0.2">
      <c r="A181" s="8" t="s">
        <v>51</v>
      </c>
      <c r="B181" s="8" t="s">
        <v>265</v>
      </c>
      <c r="C181" s="8">
        <v>-36.200000000000003</v>
      </c>
      <c r="D181" s="8">
        <v>450301</v>
      </c>
      <c r="E181" s="8">
        <v>5978390.7999999998</v>
      </c>
      <c r="F181" s="8">
        <v>0</v>
      </c>
      <c r="G181" s="8">
        <v>-0.8</v>
      </c>
      <c r="H181" s="8">
        <v>0</v>
      </c>
      <c r="I181" s="8">
        <v>2</v>
      </c>
      <c r="J181" s="8">
        <v>0</v>
      </c>
      <c r="K181" s="8">
        <v>-64.400000000000006</v>
      </c>
      <c r="L181" s="8">
        <v>28.2</v>
      </c>
      <c r="M181" s="8">
        <v>1678.133</v>
      </c>
      <c r="N181" s="8">
        <v>89.8</v>
      </c>
      <c r="O181" s="8">
        <v>8</v>
      </c>
      <c r="P181" s="8">
        <v>10</v>
      </c>
      <c r="Q181" s="8">
        <v>2.74</v>
      </c>
      <c r="R181" s="8">
        <v>68</v>
      </c>
      <c r="S181" s="8">
        <v>110</v>
      </c>
      <c r="T181" s="3">
        <v>147</v>
      </c>
      <c r="U181" s="8">
        <v>1357.57</v>
      </c>
      <c r="V181" s="8">
        <v>396.83300000000003</v>
      </c>
      <c r="W181" s="8">
        <v>752.85199999999998</v>
      </c>
      <c r="X181" s="8">
        <v>132.18100000000001</v>
      </c>
      <c r="Y181" s="8">
        <v>4.9400000000000004</v>
      </c>
      <c r="Z181" s="8">
        <v>8.0150000000000006</v>
      </c>
      <c r="AA181" s="8">
        <v>21.7</v>
      </c>
      <c r="AB181" s="8">
        <v>290.5</v>
      </c>
      <c r="AC181" s="8">
        <v>12571</v>
      </c>
      <c r="AD181" s="8">
        <v>3260</v>
      </c>
      <c r="AE181" s="8">
        <v>268</v>
      </c>
      <c r="AF181" s="8" cm="1">
        <f t="array" aca="1" ref="AF181" ca="1">_xlfn.XLOOKUP($A181,    INDIRECT("'" &amp; AF$16 &amp; "'!$A$20:$A$219"),    _xlfn.XLOOKUP(AF$18,INDIRECT("'" &amp; AF$16 &amp; "'!$B$18:$BC$18"), INDIRECT("'" &amp; AF$16 &amp; "'!$B$20:$BC$219"),"XXXXX",0,1),    "XX",    0,    1)</f>
        <v>15</v>
      </c>
      <c r="AG181" s="8" cm="1">
        <f t="array" aca="1" ref="AG181" ca="1">_xlfn.XLOOKUP($A181,    INDIRECT("'" &amp; AG$16 &amp; "'!$A$20:$A$219"),    _xlfn.XLOOKUP(AG$18,INDIRECT("'" &amp; AG$16 &amp; "'!$B$18:$BC$18"), INDIRECT("'" &amp; AG$16 &amp; "'!$B$20:$BC$219"),"XXXXX",0,1),    "XX",    0,    1)</f>
        <v>15</v>
      </c>
      <c r="AH181" s="8" cm="1">
        <f t="array" aca="1" ref="AH181" ca="1">_xlfn.XLOOKUP($A181,    INDIRECT("'" &amp; AH$16 &amp; "'!$A$20:$A$219"),    _xlfn.XLOOKUP(AH$18,INDIRECT("'" &amp; AH$16 &amp; "'!$B$18:$BC$18"), INDIRECT("'" &amp; AH$16 &amp; "'!$B$20:$BC$219"),"XXXXX",0,1),    "XX",    0,    1)</f>
        <v>17</v>
      </c>
      <c r="AI181" s="8" cm="1">
        <f t="array" aca="1" ref="AI181" ca="1">_xlfn.XLOOKUP($A181,    INDIRECT("'" &amp; AI$16 &amp; "'!$A$20:$A$219"),    _xlfn.XLOOKUP(AI$18,INDIRECT("'" &amp; AI$16 &amp; "'!$B$18:$BC$18"), INDIRECT("'" &amp; AI$16 &amp; "'!$B$20:$BC$219"),"XXXXX",0,1),    "XX",    0,    1)</f>
        <v>17</v>
      </c>
      <c r="AJ181" s="8" cm="1">
        <f t="array" aca="1" ref="AJ181" ca="1">_xlfn.XLOOKUP($A181,    INDIRECT("'" &amp; AJ$16 &amp; "'!$A$20:$A$219"),    _xlfn.XLOOKUP(AJ$18,INDIRECT("'" &amp; AJ$16 &amp; "'!$B$18:$BC$18"), INDIRECT("'" &amp; AJ$16 &amp; "'!$B$20:$BC$219"),"XXXXX",0,1),    "XX",    0,    1)</f>
        <v>19</v>
      </c>
      <c r="AK181" s="8" cm="1">
        <f t="array" aca="1" ref="AK181" ca="1">_xlfn.XLOOKUP($A181,    INDIRECT("'" &amp; AK$16 &amp; "'!$A$20:$A$219"),    _xlfn.XLOOKUP(AK$18,INDIRECT("'" &amp; AK$16 &amp; "'!$B$18:$BC$18"), INDIRECT("'" &amp; AK$16 &amp; "'!$B$20:$BC$219"),"XXXXX",0,1),    "XX",    0,    1)</f>
        <v>19</v>
      </c>
      <c r="AM181" s="16"/>
      <c r="AW181" s="8">
        <v>1</v>
      </c>
      <c r="AX181" s="8">
        <f t="shared" ca="1" si="53"/>
        <v>1.5</v>
      </c>
      <c r="AY181" s="8">
        <f t="shared" ca="1" si="57"/>
        <v>1.5</v>
      </c>
      <c r="AZ181" s="8">
        <f t="shared" ca="1" si="58"/>
        <v>1.7</v>
      </c>
      <c r="BA181" s="8">
        <f t="shared" ca="1" si="59"/>
        <v>1.7</v>
      </c>
      <c r="BB181" s="8">
        <f t="shared" ca="1" si="60"/>
        <v>1.9</v>
      </c>
      <c r="BC181" s="8">
        <f t="shared" ca="1" si="61"/>
        <v>1.9</v>
      </c>
      <c r="BE181" s="8">
        <f t="shared" ca="1" si="54"/>
        <v>0</v>
      </c>
      <c r="BF181" s="8">
        <f t="shared" ca="1" si="55"/>
        <v>0</v>
      </c>
      <c r="BG181" s="8">
        <f t="shared" ca="1" si="56"/>
        <v>0</v>
      </c>
    </row>
    <row r="182" spans="1:59" x14ac:dyDescent="0.2">
      <c r="A182" s="8" t="s">
        <v>196</v>
      </c>
      <c r="B182" s="8" t="s">
        <v>271</v>
      </c>
      <c r="C182" s="8">
        <v>-46.9</v>
      </c>
      <c r="D182" s="8">
        <v>450985.8</v>
      </c>
      <c r="E182" s="8">
        <v>5980535.7000000002</v>
      </c>
      <c r="F182" s="8">
        <v>0</v>
      </c>
      <c r="G182" s="8">
        <v>-0.6</v>
      </c>
      <c r="H182" s="8">
        <v>0</v>
      </c>
      <c r="I182" s="8">
        <v>2</v>
      </c>
      <c r="J182" s="8">
        <v>0</v>
      </c>
      <c r="K182" s="8">
        <v>-78.099999999999994</v>
      </c>
      <c r="L182" s="8">
        <v>31.2</v>
      </c>
      <c r="M182" s="8">
        <v>2199.31</v>
      </c>
      <c r="N182" s="8">
        <v>103.5</v>
      </c>
      <c r="O182" s="8">
        <v>8</v>
      </c>
      <c r="P182" s="8">
        <v>11</v>
      </c>
      <c r="Q182" s="8">
        <v>2.7818000000000001</v>
      </c>
      <c r="R182" s="8">
        <v>70</v>
      </c>
      <c r="S182" s="8">
        <v>117</v>
      </c>
      <c r="T182" s="3">
        <v>149</v>
      </c>
      <c r="U182" s="8">
        <v>1643.317</v>
      </c>
      <c r="V182" s="8">
        <v>403.10399999999998</v>
      </c>
      <c r="W182" s="8">
        <v>752.85199999999998</v>
      </c>
      <c r="X182" s="8">
        <v>132.18100000000001</v>
      </c>
      <c r="Y182" s="8">
        <v>4.9400000000000004</v>
      </c>
      <c r="Z182" s="8">
        <v>8.0150000000000006</v>
      </c>
      <c r="AA182" s="8">
        <v>21.7</v>
      </c>
      <c r="AB182" s="8">
        <v>290.5</v>
      </c>
      <c r="AC182" s="8">
        <v>13783</v>
      </c>
      <c r="AD182" s="8">
        <v>4106</v>
      </c>
      <c r="AE182" s="8">
        <v>268</v>
      </c>
      <c r="AF182" s="8" cm="1">
        <f t="array" aca="1" ref="AF182" ca="1">_xlfn.XLOOKUP($A182,    INDIRECT("'" &amp; AF$16 &amp; "'!$A$20:$A$219"),    _xlfn.XLOOKUP(AF$18,INDIRECT("'" &amp; AF$16 &amp; "'!$B$18:$BC$18"), INDIRECT("'" &amp; AF$16 &amp; "'!$B$20:$BC$219"),"XXXXX",0,1),    "XX",    0,    1)</f>
        <v>17</v>
      </c>
      <c r="AG182" s="8" cm="1">
        <f t="array" aca="1" ref="AG182" ca="1">_xlfn.XLOOKUP($A182,    INDIRECT("'" &amp; AG$16 &amp; "'!$A$20:$A$219"),    _xlfn.XLOOKUP(AG$18,INDIRECT("'" &amp; AG$16 &amp; "'!$B$18:$BC$18"), INDIRECT("'" &amp; AG$16 &amp; "'!$B$20:$BC$219"),"XXXXX",0,1),    "XX",    0,    1)</f>
        <v>17</v>
      </c>
      <c r="AH182" s="8" cm="1">
        <f t="array" aca="1" ref="AH182" ca="1">_xlfn.XLOOKUP($A182,    INDIRECT("'" &amp; AH$16 &amp; "'!$A$20:$A$219"),    _xlfn.XLOOKUP(AH$18,INDIRECT("'" &amp; AH$16 &amp; "'!$B$18:$BC$18"), INDIRECT("'" &amp; AH$16 &amp; "'!$B$20:$BC$219"),"XXXXX",0,1),    "XX",    0,    1)</f>
        <v>21</v>
      </c>
      <c r="AI182" s="8" cm="1">
        <f t="array" aca="1" ref="AI182" ca="1">_xlfn.XLOOKUP($A182,    INDIRECT("'" &amp; AI$16 &amp; "'!$A$20:$A$219"),    _xlfn.XLOOKUP(AI$18,INDIRECT("'" &amp; AI$16 &amp; "'!$B$18:$BC$18"), INDIRECT("'" &amp; AI$16 &amp; "'!$B$20:$BC$219"),"XXXXX",0,1),    "XX",    0,    1)</f>
        <v>21</v>
      </c>
      <c r="AJ182" s="8" cm="1">
        <f t="array" aca="1" ref="AJ182" ca="1">_xlfn.XLOOKUP($A182,    INDIRECT("'" &amp; AJ$16 &amp; "'!$A$20:$A$219"),    _xlfn.XLOOKUP(AJ$18,INDIRECT("'" &amp; AJ$16 &amp; "'!$B$18:$BC$18"), INDIRECT("'" &amp; AJ$16 &amp; "'!$B$20:$BC$219"),"XXXXX",0,1),    "XX",    0,    1)</f>
        <v>21</v>
      </c>
      <c r="AK182" s="8" cm="1">
        <f t="array" aca="1" ref="AK182" ca="1">_xlfn.XLOOKUP($A182,    INDIRECT("'" &amp; AK$16 &amp; "'!$A$20:$A$219"),    _xlfn.XLOOKUP(AK$18,INDIRECT("'" &amp; AK$16 &amp; "'!$B$18:$BC$18"), INDIRECT("'" &amp; AK$16 &amp; "'!$B$20:$BC$219"),"XXXXX",0,1),    "XX",    0,    1)</f>
        <v>21</v>
      </c>
      <c r="AM182" s="16"/>
      <c r="AW182" s="8">
        <v>1</v>
      </c>
      <c r="AX182" s="8">
        <f t="shared" ca="1" si="53"/>
        <v>1.5454545454545454</v>
      </c>
      <c r="AY182" s="8">
        <f t="shared" ca="1" si="57"/>
        <v>1.5454545454545454</v>
      </c>
      <c r="AZ182" s="8">
        <f t="shared" ca="1" si="58"/>
        <v>1.9090909090909092</v>
      </c>
      <c r="BA182" s="8">
        <f t="shared" ca="1" si="59"/>
        <v>1.9090909090909092</v>
      </c>
      <c r="BB182" s="8">
        <f t="shared" ca="1" si="60"/>
        <v>1.9090909090909092</v>
      </c>
      <c r="BC182" s="8">
        <f t="shared" ca="1" si="61"/>
        <v>1.9090909090909092</v>
      </c>
      <c r="BE182" s="8">
        <f t="shared" ca="1" si="54"/>
        <v>0</v>
      </c>
      <c r="BF182" s="8">
        <f t="shared" ca="1" si="55"/>
        <v>0</v>
      </c>
      <c r="BG182" s="8">
        <f t="shared" ca="1" si="56"/>
        <v>0</v>
      </c>
    </row>
    <row r="183" spans="1:59" x14ac:dyDescent="0.2">
      <c r="A183" s="8" t="s">
        <v>203</v>
      </c>
      <c r="B183" s="8" t="s">
        <v>265</v>
      </c>
      <c r="C183" s="8">
        <v>-44.1</v>
      </c>
      <c r="D183" s="8">
        <v>452333</v>
      </c>
      <c r="E183" s="8">
        <v>5979940</v>
      </c>
      <c r="F183" s="8">
        <v>0</v>
      </c>
      <c r="G183" s="8">
        <v>-0.7</v>
      </c>
      <c r="H183" s="8">
        <v>0</v>
      </c>
      <c r="I183" s="8">
        <v>2</v>
      </c>
      <c r="J183" s="8">
        <v>0</v>
      </c>
      <c r="K183" s="8">
        <v>-74.8</v>
      </c>
      <c r="L183" s="8">
        <v>30.7</v>
      </c>
      <c r="M183" s="8">
        <v>2033.2829999999999</v>
      </c>
      <c r="N183" s="8">
        <v>100.2</v>
      </c>
      <c r="O183" s="8">
        <v>8</v>
      </c>
      <c r="P183" s="8">
        <v>11</v>
      </c>
      <c r="Q183" s="8">
        <v>2.7273000000000001</v>
      </c>
      <c r="R183" s="8">
        <v>72</v>
      </c>
      <c r="S183" s="8">
        <v>117</v>
      </c>
      <c r="T183" s="3">
        <v>149</v>
      </c>
      <c r="U183" s="8">
        <v>1575.22</v>
      </c>
      <c r="V183" s="8">
        <v>369.25</v>
      </c>
      <c r="W183" s="8">
        <v>752.85199999999998</v>
      </c>
      <c r="X183" s="8">
        <v>132.18100000000001</v>
      </c>
      <c r="Y183" s="8">
        <v>4.9400000000000004</v>
      </c>
      <c r="Z183" s="8">
        <v>8.0150000000000006</v>
      </c>
      <c r="AA183" s="8">
        <v>21.7</v>
      </c>
      <c r="AB183" s="8">
        <v>290.5</v>
      </c>
      <c r="AC183" s="8">
        <v>13559</v>
      </c>
      <c r="AD183" s="8">
        <v>3915</v>
      </c>
      <c r="AE183" s="8">
        <v>268</v>
      </c>
      <c r="AF183" s="8" cm="1">
        <f t="array" aca="1" ref="AF183" ca="1">_xlfn.XLOOKUP($A183,    INDIRECT("'" &amp; AF$16 &amp; "'!$A$20:$A$219"),    _xlfn.XLOOKUP(AF$18,INDIRECT("'" &amp; AF$16 &amp; "'!$B$18:$BC$18"), INDIRECT("'" &amp; AF$16 &amp; "'!$B$20:$BC$219"),"XXXXX",0,1),    "XX",    0,    1)</f>
        <v>17</v>
      </c>
      <c r="AG183" s="8" cm="1">
        <f t="array" aca="1" ref="AG183" ca="1">_xlfn.XLOOKUP($A183,    INDIRECT("'" &amp; AG$16 &amp; "'!$A$20:$A$219"),    _xlfn.XLOOKUP(AG$18,INDIRECT("'" &amp; AG$16 &amp; "'!$B$18:$BC$18"), INDIRECT("'" &amp; AG$16 &amp; "'!$B$20:$BC$219"),"XXXXX",0,1),    "XX",    0,    1)</f>
        <v>17</v>
      </c>
      <c r="AH183" s="8" cm="1">
        <f t="array" aca="1" ref="AH183" ca="1">_xlfn.XLOOKUP($A183,    INDIRECT("'" &amp; AH$16 &amp; "'!$A$20:$A$219"),    _xlfn.XLOOKUP(AH$18,INDIRECT("'" &amp; AH$16 &amp; "'!$B$18:$BC$18"), INDIRECT("'" &amp; AH$16 &amp; "'!$B$20:$BC$219"),"XXXXX",0,1),    "XX",    0,    1)</f>
        <v>21</v>
      </c>
      <c r="AI183" s="8" cm="1">
        <f t="array" aca="1" ref="AI183" ca="1">_xlfn.XLOOKUP($A183,    INDIRECT("'" &amp; AI$16 &amp; "'!$A$20:$A$219"),    _xlfn.XLOOKUP(AI$18,INDIRECT("'" &amp; AI$16 &amp; "'!$B$18:$BC$18"), INDIRECT("'" &amp; AI$16 &amp; "'!$B$20:$BC$219"),"XXXXX",0,1),    "XX",    0,    1)</f>
        <v>21</v>
      </c>
      <c r="AJ183" s="8" cm="1">
        <f t="array" aca="1" ref="AJ183" ca="1">_xlfn.XLOOKUP($A183,    INDIRECT("'" &amp; AJ$16 &amp; "'!$A$20:$A$219"),    _xlfn.XLOOKUP(AJ$18,INDIRECT("'" &amp; AJ$16 &amp; "'!$B$18:$BC$18"), INDIRECT("'" &amp; AJ$16 &amp; "'!$B$20:$BC$219"),"XXXXX",0,1),    "XX",    0,    1)</f>
        <v>21</v>
      </c>
      <c r="AK183" s="8" cm="1">
        <f t="array" aca="1" ref="AK183" ca="1">_xlfn.XLOOKUP($A183,    INDIRECT("'" &amp; AK$16 &amp; "'!$A$20:$A$219"),    _xlfn.XLOOKUP(AK$18,INDIRECT("'" &amp; AK$16 &amp; "'!$B$18:$BC$18"), INDIRECT("'" &amp; AK$16 &amp; "'!$B$20:$BC$219"),"XXXXX",0,1),    "XX",    0,    1)</f>
        <v>21</v>
      </c>
      <c r="AM183" s="16"/>
      <c r="AW183" s="8">
        <v>1</v>
      </c>
      <c r="AX183" s="8">
        <f t="shared" ca="1" si="53"/>
        <v>1.5454545454545454</v>
      </c>
      <c r="AY183" s="8">
        <f t="shared" ca="1" si="57"/>
        <v>1.5454545454545454</v>
      </c>
      <c r="AZ183" s="8">
        <f t="shared" ca="1" si="58"/>
        <v>1.9090909090909092</v>
      </c>
      <c r="BA183" s="8">
        <f t="shared" ca="1" si="59"/>
        <v>1.9090909090909092</v>
      </c>
      <c r="BB183" s="8">
        <f t="shared" ca="1" si="60"/>
        <v>1.9090909090909092</v>
      </c>
      <c r="BC183" s="8">
        <f t="shared" ca="1" si="61"/>
        <v>1.9090909090909092</v>
      </c>
      <c r="BE183" s="8">
        <f t="shared" ca="1" si="54"/>
        <v>0</v>
      </c>
      <c r="BF183" s="8">
        <f t="shared" ca="1" si="55"/>
        <v>0</v>
      </c>
      <c r="BG183" s="8">
        <f t="shared" ca="1" si="56"/>
        <v>0</v>
      </c>
    </row>
    <row r="184" spans="1:59" x14ac:dyDescent="0.2">
      <c r="A184" s="8" t="s">
        <v>209</v>
      </c>
      <c r="B184" s="8" t="s">
        <v>265</v>
      </c>
      <c r="C184" s="8">
        <v>-40.799999999999997</v>
      </c>
      <c r="D184" s="8">
        <v>454288.6</v>
      </c>
      <c r="E184" s="8">
        <v>5978410</v>
      </c>
      <c r="F184" s="8">
        <v>0</v>
      </c>
      <c r="G184" s="8">
        <v>-0.7</v>
      </c>
      <c r="H184" s="8">
        <v>0</v>
      </c>
      <c r="I184" s="8">
        <v>2</v>
      </c>
      <c r="J184" s="8">
        <v>0</v>
      </c>
      <c r="K184" s="8">
        <v>-73.8</v>
      </c>
      <c r="L184" s="8">
        <v>33</v>
      </c>
      <c r="M184" s="8">
        <v>1931.7750000000001</v>
      </c>
      <c r="N184" s="8">
        <v>99.2</v>
      </c>
      <c r="O184" s="8">
        <v>8</v>
      </c>
      <c r="P184" s="8">
        <v>11</v>
      </c>
      <c r="Q184" s="8">
        <v>2.9363999999999999</v>
      </c>
      <c r="R184" s="8">
        <v>70</v>
      </c>
      <c r="S184" s="8">
        <v>117</v>
      </c>
      <c r="T184" s="3">
        <v>149</v>
      </c>
      <c r="U184" s="8">
        <v>1575.798</v>
      </c>
      <c r="V184" s="8">
        <v>301.178</v>
      </c>
      <c r="W184" s="8">
        <v>752.85199999999998</v>
      </c>
      <c r="X184" s="8">
        <v>132.18100000000001</v>
      </c>
      <c r="Y184" s="8">
        <v>4.9400000000000004</v>
      </c>
      <c r="Z184" s="8">
        <v>8.0150000000000006</v>
      </c>
      <c r="AA184" s="8">
        <v>21.7</v>
      </c>
      <c r="AB184" s="8">
        <v>290.5</v>
      </c>
      <c r="AC184" s="8">
        <v>13493</v>
      </c>
      <c r="AD184" s="8">
        <v>3690</v>
      </c>
      <c r="AE184" s="8">
        <v>268</v>
      </c>
      <c r="AF184" s="8" cm="1">
        <f t="array" aca="1" ref="AF184" ca="1">_xlfn.XLOOKUP($A184,    INDIRECT("'" &amp; AF$16 &amp; "'!$A$20:$A$219"),    _xlfn.XLOOKUP(AF$18,INDIRECT("'" &amp; AF$16 &amp; "'!$B$18:$BC$18"), INDIRECT("'" &amp; AF$16 &amp; "'!$B$20:$BC$219"),"XXXXX",0,1),    "XX",    0,    1)</f>
        <v>19</v>
      </c>
      <c r="AG184" s="8" cm="1">
        <f t="array" aca="1" ref="AG184" ca="1">_xlfn.XLOOKUP($A184,    INDIRECT("'" &amp; AG$16 &amp; "'!$A$20:$A$219"),    _xlfn.XLOOKUP(AG$18,INDIRECT("'" &amp; AG$16 &amp; "'!$B$18:$BC$18"), INDIRECT("'" &amp; AG$16 &amp; "'!$B$20:$BC$219"),"XXXXX",0,1),    "XX",    0,    1)</f>
        <v>19</v>
      </c>
      <c r="AH184" s="8" cm="1">
        <f t="array" aca="1" ref="AH184" ca="1">_xlfn.XLOOKUP($A184,    INDIRECT("'" &amp; AH$16 &amp; "'!$A$20:$A$219"),    _xlfn.XLOOKUP(AH$18,INDIRECT("'" &amp; AH$16 &amp; "'!$B$18:$BC$18"), INDIRECT("'" &amp; AH$16 &amp; "'!$B$20:$BC$219"),"XXXXX",0,1),    "XX",    0,    1)</f>
        <v>23</v>
      </c>
      <c r="AI184" s="8" cm="1">
        <f t="array" aca="1" ref="AI184" ca="1">_xlfn.XLOOKUP($A184,    INDIRECT("'" &amp; AI$16 &amp; "'!$A$20:$A$219"),    _xlfn.XLOOKUP(AI$18,INDIRECT("'" &amp; AI$16 &amp; "'!$B$18:$BC$18"), INDIRECT("'" &amp; AI$16 &amp; "'!$B$20:$BC$219"),"XXXXX",0,1),    "XX",    0,    1)</f>
        <v>23</v>
      </c>
      <c r="AJ184" s="8" cm="1">
        <f t="array" aca="1" ref="AJ184" ca="1">_xlfn.XLOOKUP($A184,    INDIRECT("'" &amp; AJ$16 &amp; "'!$A$20:$A$219"),    _xlfn.XLOOKUP(AJ$18,INDIRECT("'" &amp; AJ$16 &amp; "'!$B$18:$BC$18"), INDIRECT("'" &amp; AJ$16 &amp; "'!$B$20:$BC$219"),"XXXXX",0,1),    "XX",    0,    1)</f>
        <v>23</v>
      </c>
      <c r="AK184" s="8" cm="1">
        <f t="array" aca="1" ref="AK184" ca="1">_xlfn.XLOOKUP($A184,    INDIRECT("'" &amp; AK$16 &amp; "'!$A$20:$A$219"),    _xlfn.XLOOKUP(AK$18,INDIRECT("'" &amp; AK$16 &amp; "'!$B$18:$BC$18"), INDIRECT("'" &amp; AK$16 &amp; "'!$B$20:$BC$219"),"XXXXX",0,1),    "XX",    0,    1)</f>
        <v>23</v>
      </c>
      <c r="AM184" s="16"/>
      <c r="AW184" s="8">
        <v>1</v>
      </c>
      <c r="AX184" s="8">
        <f t="shared" ca="1" si="53"/>
        <v>1.7272727272727273</v>
      </c>
      <c r="AY184" s="8">
        <f t="shared" ca="1" si="57"/>
        <v>1.7272727272727273</v>
      </c>
      <c r="AZ184" s="8">
        <f t="shared" ca="1" si="58"/>
        <v>2.0909090909090908</v>
      </c>
      <c r="BA184" s="8">
        <f t="shared" ca="1" si="59"/>
        <v>2.0909090909090908</v>
      </c>
      <c r="BB184" s="8">
        <f t="shared" ca="1" si="60"/>
        <v>2.0909090909090908</v>
      </c>
      <c r="BC184" s="8">
        <f t="shared" ca="1" si="61"/>
        <v>2.0909090909090908</v>
      </c>
      <c r="BE184" s="8">
        <f t="shared" ca="1" si="54"/>
        <v>0</v>
      </c>
      <c r="BF184" s="8">
        <f t="shared" ca="1" si="55"/>
        <v>0</v>
      </c>
      <c r="BG184" s="8">
        <f t="shared" ca="1" si="56"/>
        <v>0</v>
      </c>
    </row>
    <row r="185" spans="1:59" x14ac:dyDescent="0.2">
      <c r="A185" s="8" t="s">
        <v>181</v>
      </c>
      <c r="B185" s="8" t="s">
        <v>265</v>
      </c>
      <c r="C185" s="8">
        <v>-39.799999999999997</v>
      </c>
      <c r="D185" s="8">
        <v>456701</v>
      </c>
      <c r="E185" s="8">
        <v>5977810</v>
      </c>
      <c r="F185" s="8">
        <v>0</v>
      </c>
      <c r="G185" s="8">
        <v>-0.7</v>
      </c>
      <c r="H185" s="8">
        <v>0</v>
      </c>
      <c r="I185" s="8">
        <v>2</v>
      </c>
      <c r="J185" s="8">
        <v>0</v>
      </c>
      <c r="K185" s="8">
        <v>-67.8</v>
      </c>
      <c r="L185" s="8">
        <v>28</v>
      </c>
      <c r="M185" s="8">
        <v>1741.1569999999999</v>
      </c>
      <c r="N185" s="8">
        <v>93.2</v>
      </c>
      <c r="O185" s="8">
        <v>8</v>
      </c>
      <c r="P185" s="8">
        <v>10.5</v>
      </c>
      <c r="Q185" s="8">
        <v>2.6</v>
      </c>
      <c r="R185" s="8">
        <v>72</v>
      </c>
      <c r="S185" s="8">
        <v>112</v>
      </c>
      <c r="T185" s="3">
        <v>146</v>
      </c>
      <c r="U185" s="8">
        <v>1406.2080000000001</v>
      </c>
      <c r="V185" s="8">
        <v>454.161</v>
      </c>
      <c r="W185" s="8">
        <v>752.85199999999998</v>
      </c>
      <c r="X185" s="8">
        <v>132.18100000000001</v>
      </c>
      <c r="Y185" s="8">
        <v>4.9400000000000004</v>
      </c>
      <c r="Z185" s="8">
        <v>8.0150000000000006</v>
      </c>
      <c r="AA185" s="8">
        <v>21.7</v>
      </c>
      <c r="AB185" s="8">
        <v>290.5</v>
      </c>
      <c r="AC185" s="8">
        <v>12937</v>
      </c>
      <c r="AD185" s="8">
        <v>3558</v>
      </c>
      <c r="AE185" s="8">
        <v>268</v>
      </c>
      <c r="AF185" s="8" cm="1">
        <f t="array" aca="1" ref="AF185" ca="1">_xlfn.XLOOKUP($A185,    INDIRECT("'" &amp; AF$16 &amp; "'!$A$20:$A$219"),    _xlfn.XLOOKUP(AF$18,INDIRECT("'" &amp; AF$16 &amp; "'!$B$18:$BC$18"), INDIRECT("'" &amp; AF$16 &amp; "'!$B$20:$BC$219"),"XXXXX",0,1),    "XX",    0,    1)</f>
        <v>15</v>
      </c>
      <c r="AG185" s="8" cm="1">
        <f t="array" aca="1" ref="AG185" ca="1">_xlfn.XLOOKUP($A185,    INDIRECT("'" &amp; AG$16 &amp; "'!$A$20:$A$219"),    _xlfn.XLOOKUP(AG$18,INDIRECT("'" &amp; AG$16 &amp; "'!$B$18:$BC$18"), INDIRECT("'" &amp; AG$16 &amp; "'!$B$20:$BC$219"),"XXXXX",0,1),    "XX",    0,    1)</f>
        <v>15</v>
      </c>
      <c r="AH185" s="8" cm="1">
        <f t="array" aca="1" ref="AH185" ca="1">_xlfn.XLOOKUP($A185,    INDIRECT("'" &amp; AH$16 &amp; "'!$A$20:$A$219"),    _xlfn.XLOOKUP(AH$18,INDIRECT("'" &amp; AH$16 &amp; "'!$B$18:$BC$18"), INDIRECT("'" &amp; AH$16 &amp; "'!$B$20:$BC$219"),"XXXXX",0,1),    "XX",    0,    1)</f>
        <v>17</v>
      </c>
      <c r="AI185" s="8" cm="1">
        <f t="array" aca="1" ref="AI185" ca="1">_xlfn.XLOOKUP($A185,    INDIRECT("'" &amp; AI$16 &amp; "'!$A$20:$A$219"),    _xlfn.XLOOKUP(AI$18,INDIRECT("'" &amp; AI$16 &amp; "'!$B$18:$BC$18"), INDIRECT("'" &amp; AI$16 &amp; "'!$B$20:$BC$219"),"XXXXX",0,1),    "XX",    0,    1)</f>
        <v>17</v>
      </c>
      <c r="AJ185" s="8" cm="1">
        <f t="array" aca="1" ref="AJ185" ca="1">_xlfn.XLOOKUP($A185,    INDIRECT("'" &amp; AJ$16 &amp; "'!$A$20:$A$219"),    _xlfn.XLOOKUP(AJ$18,INDIRECT("'" &amp; AJ$16 &amp; "'!$B$18:$BC$18"), INDIRECT("'" &amp; AJ$16 &amp; "'!$B$20:$BC$219"),"XXXXX",0,1),    "XX",    0,    1)</f>
        <v>19</v>
      </c>
      <c r="AK185" s="8" cm="1">
        <f t="array" aca="1" ref="AK185" ca="1">_xlfn.XLOOKUP($A185,    INDIRECT("'" &amp; AK$16 &amp; "'!$A$20:$A$219"),    _xlfn.XLOOKUP(AK$18,INDIRECT("'" &amp; AK$16 &amp; "'!$B$18:$BC$18"), INDIRECT("'" &amp; AK$16 &amp; "'!$B$20:$BC$219"),"XXXXX",0,1),    "XX",    0,    1)</f>
        <v>19</v>
      </c>
      <c r="AM185" s="16"/>
      <c r="AW185" s="8">
        <v>1</v>
      </c>
      <c r="AX185" s="8">
        <f t="shared" ca="1" si="53"/>
        <v>1.4285714285714286</v>
      </c>
      <c r="AY185" s="8">
        <f t="shared" ca="1" si="57"/>
        <v>1.4285714285714286</v>
      </c>
      <c r="AZ185" s="8">
        <f t="shared" ca="1" si="58"/>
        <v>1.6190476190476191</v>
      </c>
      <c r="BA185" s="8">
        <f t="shared" ca="1" si="59"/>
        <v>1.6190476190476191</v>
      </c>
      <c r="BB185" s="8">
        <f t="shared" ca="1" si="60"/>
        <v>1.8095238095238095</v>
      </c>
      <c r="BC185" s="8">
        <f t="shared" ca="1" si="61"/>
        <v>1.8095238095238095</v>
      </c>
      <c r="BE185" s="8">
        <f t="shared" ca="1" si="54"/>
        <v>0</v>
      </c>
      <c r="BF185" s="8">
        <f t="shared" ca="1" si="55"/>
        <v>0</v>
      </c>
      <c r="BG185" s="8">
        <f t="shared" ca="1" si="56"/>
        <v>0</v>
      </c>
    </row>
    <row r="186" spans="1:59" x14ac:dyDescent="0.2">
      <c r="A186" s="8" t="s">
        <v>104</v>
      </c>
      <c r="B186" s="8" t="s">
        <v>265</v>
      </c>
      <c r="C186" s="8">
        <v>-36.5</v>
      </c>
      <c r="D186" s="8">
        <v>460529</v>
      </c>
      <c r="E186" s="8">
        <v>5974990</v>
      </c>
      <c r="F186" s="8">
        <v>0</v>
      </c>
      <c r="G186" s="8">
        <v>-0.7</v>
      </c>
      <c r="H186" s="8">
        <v>0</v>
      </c>
      <c r="I186" s="8">
        <v>2</v>
      </c>
      <c r="J186" s="8">
        <v>0</v>
      </c>
      <c r="K186" s="8">
        <v>-62.1</v>
      </c>
      <c r="L186" s="8">
        <v>25.6</v>
      </c>
      <c r="M186" s="8">
        <v>1578.864</v>
      </c>
      <c r="N186" s="8">
        <v>87.5</v>
      </c>
      <c r="O186" s="8">
        <v>8</v>
      </c>
      <c r="P186" s="8">
        <v>10</v>
      </c>
      <c r="Q186" s="8">
        <v>2.4900000000000002</v>
      </c>
      <c r="R186" s="8">
        <v>68</v>
      </c>
      <c r="S186" s="8">
        <v>110</v>
      </c>
      <c r="T186" s="3">
        <v>147</v>
      </c>
      <c r="U186" s="8">
        <v>1295.58</v>
      </c>
      <c r="V186" s="8">
        <v>546.197</v>
      </c>
      <c r="W186" s="8">
        <v>752.85199999999998</v>
      </c>
      <c r="X186" s="8">
        <v>132.18100000000001</v>
      </c>
      <c r="Y186" s="8">
        <v>4.9400000000000004</v>
      </c>
      <c r="Z186" s="8">
        <v>8.0150000000000006</v>
      </c>
      <c r="AA186" s="8">
        <v>21.7</v>
      </c>
      <c r="AB186" s="8">
        <v>290.5</v>
      </c>
      <c r="AC186" s="8">
        <v>12430</v>
      </c>
      <c r="AD186" s="8">
        <v>3280</v>
      </c>
      <c r="AE186" s="8">
        <v>268</v>
      </c>
      <c r="AF186" s="8" cm="1">
        <f t="array" aca="1" ref="AF186" ca="1">_xlfn.XLOOKUP($A186,    INDIRECT("'" &amp; AF$16 &amp; "'!$A$20:$A$219"),    _xlfn.XLOOKUP(AF$18,INDIRECT("'" &amp; AF$16 &amp; "'!$B$18:$BC$18"), INDIRECT("'" &amp; AF$16 &amp; "'!$B$20:$BC$219"),"XXXXX",0,1),    "XX",    0,    1)</f>
        <v>15</v>
      </c>
      <c r="AG186" s="8" cm="1">
        <f t="array" aca="1" ref="AG186" ca="1">_xlfn.XLOOKUP($A186,    INDIRECT("'" &amp; AG$16 &amp; "'!$A$20:$A$219"),    _xlfn.XLOOKUP(AG$18,INDIRECT("'" &amp; AG$16 &amp; "'!$B$18:$BC$18"), INDIRECT("'" &amp; AG$16 &amp; "'!$B$20:$BC$219"),"XXXXX",0,1),    "XX",    0,    1)</f>
        <v>15</v>
      </c>
      <c r="AH186" s="8" cm="1">
        <f t="array" aca="1" ref="AH186" ca="1">_xlfn.XLOOKUP($A186,    INDIRECT("'" &amp; AH$16 &amp; "'!$A$20:$A$219"),    _xlfn.XLOOKUP(AH$18,INDIRECT("'" &amp; AH$16 &amp; "'!$B$18:$BC$18"), INDIRECT("'" &amp; AH$16 &amp; "'!$B$20:$BC$219"),"XXXXX",0,1),    "XX",    0,    1)</f>
        <v>15</v>
      </c>
      <c r="AI186" s="8" cm="1">
        <f t="array" aca="1" ref="AI186" ca="1">_xlfn.XLOOKUP($A186,    INDIRECT("'" &amp; AI$16 &amp; "'!$A$20:$A$219"),    _xlfn.XLOOKUP(AI$18,INDIRECT("'" &amp; AI$16 &amp; "'!$B$18:$BC$18"), INDIRECT("'" &amp; AI$16 &amp; "'!$B$20:$BC$219"),"XXXXX",0,1),    "XX",    0,    1)</f>
        <v>15</v>
      </c>
      <c r="AJ186" s="8" cm="1">
        <f t="array" aca="1" ref="AJ186" ca="1">_xlfn.XLOOKUP($A186,    INDIRECT("'" &amp; AJ$16 &amp; "'!$A$20:$A$219"),    _xlfn.XLOOKUP(AJ$18,INDIRECT("'" &amp; AJ$16 &amp; "'!$B$18:$BC$18"), INDIRECT("'" &amp; AJ$16 &amp; "'!$B$20:$BC$219"),"XXXXX",0,1),    "XX",    0,    1)</f>
        <v>17</v>
      </c>
      <c r="AK186" s="8" cm="1">
        <f t="array" aca="1" ref="AK186" ca="1">_xlfn.XLOOKUP($A186,    INDIRECT("'" &amp; AK$16 &amp; "'!$A$20:$A$219"),    _xlfn.XLOOKUP(AK$18,INDIRECT("'" &amp; AK$16 &amp; "'!$B$18:$BC$18"), INDIRECT("'" &amp; AK$16 &amp; "'!$B$20:$BC$219"),"XXXXX",0,1),    "XX",    0,    1)</f>
        <v>17</v>
      </c>
      <c r="AM186" s="16"/>
      <c r="AW186" s="8">
        <v>1</v>
      </c>
      <c r="AX186" s="8">
        <f t="shared" ca="1" si="53"/>
        <v>1.5</v>
      </c>
      <c r="AY186" s="8">
        <f t="shared" ca="1" si="57"/>
        <v>1.5</v>
      </c>
      <c r="AZ186" s="8">
        <f t="shared" ca="1" si="58"/>
        <v>1.5</v>
      </c>
      <c r="BA186" s="8">
        <f t="shared" ca="1" si="59"/>
        <v>1.5</v>
      </c>
      <c r="BB186" s="8">
        <f t="shared" ca="1" si="60"/>
        <v>1.7</v>
      </c>
      <c r="BC186" s="8">
        <f t="shared" ca="1" si="61"/>
        <v>1.7</v>
      </c>
      <c r="BE186" s="8">
        <f t="shared" ca="1" si="54"/>
        <v>0</v>
      </c>
      <c r="BF186" s="8">
        <f t="shared" ca="1" si="55"/>
        <v>0</v>
      </c>
      <c r="BG186" s="8">
        <f t="shared" ca="1" si="56"/>
        <v>0</v>
      </c>
    </row>
    <row r="187" spans="1:59" x14ac:dyDescent="0.2">
      <c r="A187" s="8" t="s">
        <v>80</v>
      </c>
      <c r="B187" s="8" t="s">
        <v>265</v>
      </c>
      <c r="C187" s="8">
        <v>-36.799999999999997</v>
      </c>
      <c r="D187" s="8">
        <v>463640.7</v>
      </c>
      <c r="E187" s="8">
        <v>5973330</v>
      </c>
      <c r="F187" s="8">
        <v>0</v>
      </c>
      <c r="G187" s="8">
        <v>-0.7</v>
      </c>
      <c r="H187" s="8">
        <v>0</v>
      </c>
      <c r="I187" s="8">
        <v>2</v>
      </c>
      <c r="J187" s="8">
        <v>0</v>
      </c>
      <c r="K187" s="8">
        <v>-63.7</v>
      </c>
      <c r="L187" s="8">
        <v>26.9</v>
      </c>
      <c r="M187" s="8">
        <v>1647.51</v>
      </c>
      <c r="N187" s="8">
        <v>89.1</v>
      </c>
      <c r="O187" s="8">
        <v>8</v>
      </c>
      <c r="P187" s="8">
        <v>10</v>
      </c>
      <c r="Q187" s="8">
        <v>2.62</v>
      </c>
      <c r="R187" s="8">
        <v>68</v>
      </c>
      <c r="S187" s="8">
        <v>110</v>
      </c>
      <c r="T187" s="3">
        <v>147</v>
      </c>
      <c r="U187" s="8">
        <v>1295.3920000000001</v>
      </c>
      <c r="V187" s="8">
        <v>458.69799999999998</v>
      </c>
      <c r="W187" s="8">
        <v>752.85199999999998</v>
      </c>
      <c r="X187" s="8">
        <v>132.18100000000001</v>
      </c>
      <c r="Y187" s="8">
        <v>4.9400000000000004</v>
      </c>
      <c r="Z187" s="8">
        <v>8.0150000000000006</v>
      </c>
      <c r="AA187" s="8">
        <v>21.7</v>
      </c>
      <c r="AB187" s="8">
        <v>290.5</v>
      </c>
      <c r="AC187" s="8">
        <v>12528</v>
      </c>
      <c r="AD187" s="8">
        <v>3298</v>
      </c>
      <c r="AE187" s="8">
        <v>268</v>
      </c>
      <c r="AF187" s="8" cm="1">
        <f t="array" aca="1" ref="AF187" ca="1">_xlfn.XLOOKUP($A187,    INDIRECT("'" &amp; AF$16 &amp; "'!$A$20:$A$219"),    _xlfn.XLOOKUP(AF$18,INDIRECT("'" &amp; AF$16 &amp; "'!$B$18:$BC$18"), INDIRECT("'" &amp; AF$16 &amp; "'!$B$20:$BC$219"),"XXXXX",0,1),    "XX",    0,    1)</f>
        <v>15</v>
      </c>
      <c r="AG187" s="8" cm="1">
        <f t="array" aca="1" ref="AG187" ca="1">_xlfn.XLOOKUP($A187,    INDIRECT("'" &amp; AG$16 &amp; "'!$A$20:$A$219"),    _xlfn.XLOOKUP(AG$18,INDIRECT("'" &amp; AG$16 &amp; "'!$B$18:$BC$18"), INDIRECT("'" &amp; AG$16 &amp; "'!$B$20:$BC$219"),"XXXXX",0,1),    "XX",    0,    1)</f>
        <v>15</v>
      </c>
      <c r="AH187" s="8" cm="1">
        <f t="array" aca="1" ref="AH187" ca="1">_xlfn.XLOOKUP($A187,    INDIRECT("'" &amp; AH$16 &amp; "'!$A$20:$A$219"),    _xlfn.XLOOKUP(AH$18,INDIRECT("'" &amp; AH$16 &amp; "'!$B$18:$BC$18"), INDIRECT("'" &amp; AH$16 &amp; "'!$B$20:$BC$219"),"XXXXX",0,1),    "XX",    0,    1)</f>
        <v>17</v>
      </c>
      <c r="AI187" s="8" cm="1">
        <f t="array" aca="1" ref="AI187" ca="1">_xlfn.XLOOKUP($A187,    INDIRECT("'" &amp; AI$16 &amp; "'!$A$20:$A$219"),    _xlfn.XLOOKUP(AI$18,INDIRECT("'" &amp; AI$16 &amp; "'!$B$18:$BC$18"), INDIRECT("'" &amp; AI$16 &amp; "'!$B$20:$BC$219"),"XXXXX",0,1),    "XX",    0,    1)</f>
        <v>17</v>
      </c>
      <c r="AJ187" s="8" cm="1">
        <f t="array" aca="1" ref="AJ187" ca="1">_xlfn.XLOOKUP($A187,    INDIRECT("'" &amp; AJ$16 &amp; "'!$A$20:$A$219"),    _xlfn.XLOOKUP(AJ$18,INDIRECT("'" &amp; AJ$16 &amp; "'!$B$18:$BC$18"), INDIRECT("'" &amp; AJ$16 &amp; "'!$B$20:$BC$219"),"XXXXX",0,1),    "XX",    0,    1)</f>
        <v>17</v>
      </c>
      <c r="AK187" s="8" cm="1">
        <f t="array" aca="1" ref="AK187" ca="1">_xlfn.XLOOKUP($A187,    INDIRECT("'" &amp; AK$16 &amp; "'!$A$20:$A$219"),    _xlfn.XLOOKUP(AK$18,INDIRECT("'" &amp; AK$16 &amp; "'!$B$18:$BC$18"), INDIRECT("'" &amp; AK$16 &amp; "'!$B$20:$BC$219"),"XXXXX",0,1),    "XX",    0,    1)</f>
        <v>17</v>
      </c>
      <c r="AM187" s="16"/>
      <c r="AW187" s="8">
        <v>1</v>
      </c>
      <c r="AX187" s="8">
        <f t="shared" ca="1" si="53"/>
        <v>1.5</v>
      </c>
      <c r="AY187" s="8">
        <f t="shared" ca="1" si="57"/>
        <v>1.5</v>
      </c>
      <c r="AZ187" s="8">
        <f t="shared" ca="1" si="58"/>
        <v>1.7</v>
      </c>
      <c r="BA187" s="8">
        <f t="shared" ca="1" si="59"/>
        <v>1.7</v>
      </c>
      <c r="BB187" s="8">
        <f t="shared" ca="1" si="60"/>
        <v>1.7</v>
      </c>
      <c r="BC187" s="8">
        <f t="shared" ca="1" si="61"/>
        <v>1.7</v>
      </c>
      <c r="BE187" s="8">
        <f t="shared" ca="1" si="54"/>
        <v>0</v>
      </c>
      <c r="BF187" s="8">
        <f t="shared" ca="1" si="55"/>
        <v>0</v>
      </c>
      <c r="BG187" s="8">
        <f t="shared" ca="1" si="56"/>
        <v>0</v>
      </c>
    </row>
    <row r="188" spans="1:59" x14ac:dyDescent="0.2">
      <c r="A188" s="8" t="s">
        <v>93</v>
      </c>
      <c r="B188" s="8" t="s">
        <v>265</v>
      </c>
      <c r="C188" s="8">
        <v>-36.700000000000003</v>
      </c>
      <c r="D188" s="8">
        <v>466239</v>
      </c>
      <c r="E188" s="8">
        <v>5972619</v>
      </c>
      <c r="F188" s="8">
        <v>0</v>
      </c>
      <c r="G188" s="8">
        <v>-0.7</v>
      </c>
      <c r="H188" s="8">
        <v>0</v>
      </c>
      <c r="I188" s="8">
        <v>2</v>
      </c>
      <c r="J188" s="8">
        <v>0</v>
      </c>
      <c r="K188" s="8">
        <v>-62.8</v>
      </c>
      <c r="L188" s="8">
        <v>26.1</v>
      </c>
      <c r="M188" s="8">
        <v>1610.481</v>
      </c>
      <c r="N188" s="8">
        <v>88.2</v>
      </c>
      <c r="O188" s="8">
        <v>8</v>
      </c>
      <c r="P188" s="8">
        <v>10</v>
      </c>
      <c r="Q188" s="8">
        <v>2.54</v>
      </c>
      <c r="R188" s="8">
        <v>68</v>
      </c>
      <c r="S188" s="8">
        <v>110</v>
      </c>
      <c r="T188" s="3">
        <v>147</v>
      </c>
      <c r="U188" s="8">
        <v>1295.48</v>
      </c>
      <c r="V188" s="8">
        <v>484.33300000000003</v>
      </c>
      <c r="W188" s="8">
        <v>752.85199999999998</v>
      </c>
      <c r="X188" s="8">
        <v>132.18100000000001</v>
      </c>
      <c r="Y188" s="8">
        <v>4.9400000000000004</v>
      </c>
      <c r="Z188" s="8">
        <v>8.0150000000000006</v>
      </c>
      <c r="AA188" s="8">
        <v>21.7</v>
      </c>
      <c r="AB188" s="8">
        <v>290.5</v>
      </c>
      <c r="AC188" s="8">
        <v>12473</v>
      </c>
      <c r="AD188" s="8">
        <v>3292</v>
      </c>
      <c r="AE188" s="8">
        <v>268</v>
      </c>
      <c r="AF188" s="8" cm="1">
        <f t="array" aca="1" ref="AF188" ca="1">_xlfn.XLOOKUP($A188,    INDIRECT("'" &amp; AF$16 &amp; "'!$A$20:$A$219"),    _xlfn.XLOOKUP(AF$18,INDIRECT("'" &amp; AF$16 &amp; "'!$B$18:$BC$18"), INDIRECT("'" &amp; AF$16 &amp; "'!$B$20:$BC$219"),"XXXXX",0,1),    "XX",    0,    1)</f>
        <v>15</v>
      </c>
      <c r="AG188" s="8" cm="1">
        <f t="array" aca="1" ref="AG188" ca="1">_xlfn.XLOOKUP($A188,    INDIRECT("'" &amp; AG$16 &amp; "'!$A$20:$A$219"),    _xlfn.XLOOKUP(AG$18,INDIRECT("'" &amp; AG$16 &amp; "'!$B$18:$BC$18"), INDIRECT("'" &amp; AG$16 &amp; "'!$B$20:$BC$219"),"XXXXX",0,1),    "XX",    0,    1)</f>
        <v>15</v>
      </c>
      <c r="AH188" s="8" cm="1">
        <f t="array" aca="1" ref="AH188" ca="1">_xlfn.XLOOKUP($A188,    INDIRECT("'" &amp; AH$16 &amp; "'!$A$20:$A$219"),    _xlfn.XLOOKUP(AH$18,INDIRECT("'" &amp; AH$16 &amp; "'!$B$18:$BC$18"), INDIRECT("'" &amp; AH$16 &amp; "'!$B$20:$BC$219"),"XXXXX",0,1),    "XX",    0,    1)</f>
        <v>15</v>
      </c>
      <c r="AI188" s="8" cm="1">
        <f t="array" aca="1" ref="AI188" ca="1">_xlfn.XLOOKUP($A188,    INDIRECT("'" &amp; AI$16 &amp; "'!$A$20:$A$219"),    _xlfn.XLOOKUP(AI$18,INDIRECT("'" &amp; AI$16 &amp; "'!$B$18:$BC$18"), INDIRECT("'" &amp; AI$16 &amp; "'!$B$20:$BC$219"),"XXXXX",0,1),    "XX",    0,    1)</f>
        <v>15</v>
      </c>
      <c r="AJ188" s="8" cm="1">
        <f t="array" aca="1" ref="AJ188" ca="1">_xlfn.XLOOKUP($A188,    INDIRECT("'" &amp; AJ$16 &amp; "'!$A$20:$A$219"),    _xlfn.XLOOKUP(AJ$18,INDIRECT("'" &amp; AJ$16 &amp; "'!$B$18:$BC$18"), INDIRECT("'" &amp; AJ$16 &amp; "'!$B$20:$BC$219"),"XXXXX",0,1),    "XX",    0,    1)</f>
        <v>17</v>
      </c>
      <c r="AK188" s="8" cm="1">
        <f t="array" aca="1" ref="AK188" ca="1">_xlfn.XLOOKUP($A188,    INDIRECT("'" &amp; AK$16 &amp; "'!$A$20:$A$219"),    _xlfn.XLOOKUP(AK$18,INDIRECT("'" &amp; AK$16 &amp; "'!$B$18:$BC$18"), INDIRECT("'" &amp; AK$16 &amp; "'!$B$20:$BC$219"),"XXXXX",0,1),    "XX",    0,    1)</f>
        <v>17</v>
      </c>
      <c r="AM188" s="16"/>
      <c r="AW188" s="8">
        <v>1</v>
      </c>
      <c r="AX188" s="8">
        <f t="shared" ca="1" si="53"/>
        <v>1.5</v>
      </c>
      <c r="AY188" s="8">
        <f t="shared" ca="1" si="57"/>
        <v>1.5</v>
      </c>
      <c r="AZ188" s="8">
        <f t="shared" ca="1" si="58"/>
        <v>1.5</v>
      </c>
      <c r="BA188" s="8">
        <f t="shared" ca="1" si="59"/>
        <v>1.5</v>
      </c>
      <c r="BB188" s="8">
        <f t="shared" ca="1" si="60"/>
        <v>1.7</v>
      </c>
      <c r="BC188" s="8">
        <f t="shared" ca="1" si="61"/>
        <v>1.7</v>
      </c>
      <c r="BE188" s="8">
        <f t="shared" ca="1" si="54"/>
        <v>0</v>
      </c>
      <c r="BF188" s="8">
        <f t="shared" ca="1" si="55"/>
        <v>0</v>
      </c>
      <c r="BG188" s="8">
        <f t="shared" ca="1" si="56"/>
        <v>0</v>
      </c>
    </row>
    <row r="189" spans="1:59" x14ac:dyDescent="0.2">
      <c r="A189" s="8" t="s">
        <v>78</v>
      </c>
      <c r="B189" s="8" t="s">
        <v>265</v>
      </c>
      <c r="C189" s="8">
        <v>-37.299999999999997</v>
      </c>
      <c r="D189" s="8">
        <v>468664.1</v>
      </c>
      <c r="E189" s="8">
        <v>5972040</v>
      </c>
      <c r="F189" s="8">
        <v>0</v>
      </c>
      <c r="G189" s="8">
        <v>-0.6</v>
      </c>
      <c r="H189" s="8">
        <v>0</v>
      </c>
      <c r="I189" s="8">
        <v>2</v>
      </c>
      <c r="J189" s="8">
        <v>0</v>
      </c>
      <c r="K189" s="8">
        <v>-63.3</v>
      </c>
      <c r="L189" s="8">
        <v>26</v>
      </c>
      <c r="M189" s="8">
        <v>1636.0039999999999</v>
      </c>
      <c r="N189" s="8">
        <v>88.7</v>
      </c>
      <c r="O189" s="8">
        <v>8</v>
      </c>
      <c r="P189" s="8">
        <v>10</v>
      </c>
      <c r="Q189" s="8">
        <v>2.54</v>
      </c>
      <c r="R189" s="8">
        <v>68</v>
      </c>
      <c r="S189" s="8">
        <v>110</v>
      </c>
      <c r="T189" s="3">
        <v>147</v>
      </c>
      <c r="U189" s="8">
        <v>1357.7339999999999</v>
      </c>
      <c r="V189" s="8">
        <v>452.90499999999997</v>
      </c>
      <c r="W189" s="8">
        <v>752.85199999999998</v>
      </c>
      <c r="X189" s="8">
        <v>132.18100000000001</v>
      </c>
      <c r="Y189" s="8">
        <v>4.9400000000000004</v>
      </c>
      <c r="Z189" s="8">
        <v>8.0150000000000006</v>
      </c>
      <c r="AA189" s="8">
        <v>21.7</v>
      </c>
      <c r="AB189" s="8">
        <v>290.5</v>
      </c>
      <c r="AC189" s="8">
        <v>12503</v>
      </c>
      <c r="AD189" s="8">
        <v>3329</v>
      </c>
      <c r="AE189" s="8">
        <v>268</v>
      </c>
      <c r="AF189" s="8" cm="1">
        <f t="array" aca="1" ref="AF189" ca="1">_xlfn.XLOOKUP($A189,    INDIRECT("'" &amp; AF$16 &amp; "'!$A$20:$A$219"),    _xlfn.XLOOKUP(AF$18,INDIRECT("'" &amp; AF$16 &amp; "'!$B$18:$BC$18"), INDIRECT("'" &amp; AF$16 &amp; "'!$B$20:$BC$219"),"XXXXX",0,1),    "XX",    0,    1)</f>
        <v>15</v>
      </c>
      <c r="AG189" s="8" cm="1">
        <f t="array" aca="1" ref="AG189" ca="1">_xlfn.XLOOKUP($A189,    INDIRECT("'" &amp; AG$16 &amp; "'!$A$20:$A$219"),    _xlfn.XLOOKUP(AG$18,INDIRECT("'" &amp; AG$16 &amp; "'!$B$18:$BC$18"), INDIRECT("'" &amp; AG$16 &amp; "'!$B$20:$BC$219"),"XXXXX",0,1),    "XX",    0,    1)</f>
        <v>15</v>
      </c>
      <c r="AH189" s="8" cm="1">
        <f t="array" aca="1" ref="AH189" ca="1">_xlfn.XLOOKUP($A189,    INDIRECT("'" &amp; AH$16 &amp; "'!$A$20:$A$219"),    _xlfn.XLOOKUP(AH$18,INDIRECT("'" &amp; AH$16 &amp; "'!$B$18:$BC$18"), INDIRECT("'" &amp; AH$16 &amp; "'!$B$20:$BC$219"),"XXXXX",0,1),    "XX",    0,    1)</f>
        <v>15</v>
      </c>
      <c r="AI189" s="8" cm="1">
        <f t="array" aca="1" ref="AI189" ca="1">_xlfn.XLOOKUP($A189,    INDIRECT("'" &amp; AI$16 &amp; "'!$A$20:$A$219"),    _xlfn.XLOOKUP(AI$18,INDIRECT("'" &amp; AI$16 &amp; "'!$B$18:$BC$18"), INDIRECT("'" &amp; AI$16 &amp; "'!$B$20:$BC$219"),"XXXXX",0,1),    "XX",    0,    1)</f>
        <v>15</v>
      </c>
      <c r="AJ189" s="8" cm="1">
        <f t="array" aca="1" ref="AJ189" ca="1">_xlfn.XLOOKUP($A189,    INDIRECT("'" &amp; AJ$16 &amp; "'!$A$20:$A$219"),    _xlfn.XLOOKUP(AJ$18,INDIRECT("'" &amp; AJ$16 &amp; "'!$B$18:$BC$18"), INDIRECT("'" &amp; AJ$16 &amp; "'!$B$20:$BC$219"),"XXXXX",0,1),    "XX",    0,    1)</f>
        <v>17</v>
      </c>
      <c r="AK189" s="8" cm="1">
        <f t="array" aca="1" ref="AK189" ca="1">_xlfn.XLOOKUP($A189,    INDIRECT("'" &amp; AK$16 &amp; "'!$A$20:$A$219"),    _xlfn.XLOOKUP(AK$18,INDIRECT("'" &amp; AK$16 &amp; "'!$B$18:$BC$18"), INDIRECT("'" &amp; AK$16 &amp; "'!$B$20:$BC$219"),"XXXXX",0,1),    "XX",    0,    1)</f>
        <v>17</v>
      </c>
      <c r="AM189" s="16"/>
      <c r="AW189" s="8">
        <v>1</v>
      </c>
      <c r="AX189" s="8">
        <f t="shared" ca="1" si="53"/>
        <v>1.5</v>
      </c>
      <c r="AY189" s="8">
        <f t="shared" ca="1" si="57"/>
        <v>1.5</v>
      </c>
      <c r="AZ189" s="8">
        <f t="shared" ca="1" si="58"/>
        <v>1.5</v>
      </c>
      <c r="BA189" s="8">
        <f t="shared" ca="1" si="59"/>
        <v>1.5</v>
      </c>
      <c r="BB189" s="8">
        <f t="shared" ca="1" si="60"/>
        <v>1.7</v>
      </c>
      <c r="BC189" s="8">
        <f t="shared" ca="1" si="61"/>
        <v>1.7</v>
      </c>
      <c r="BE189" s="8">
        <f t="shared" ca="1" si="54"/>
        <v>0</v>
      </c>
      <c r="BF189" s="8">
        <f t="shared" ca="1" si="55"/>
        <v>0</v>
      </c>
      <c r="BG189" s="8">
        <f t="shared" ca="1" si="56"/>
        <v>0</v>
      </c>
    </row>
    <row r="190" spans="1:59" x14ac:dyDescent="0.2">
      <c r="A190" s="8" t="s">
        <v>100</v>
      </c>
      <c r="B190" s="8" t="s">
        <v>265</v>
      </c>
      <c r="C190" s="8">
        <v>-34.5</v>
      </c>
      <c r="D190" s="8">
        <v>468816.3</v>
      </c>
      <c r="E190" s="8">
        <v>5975125.7999999998</v>
      </c>
      <c r="F190" s="8">
        <v>0</v>
      </c>
      <c r="G190" s="8">
        <v>-0.6</v>
      </c>
      <c r="H190" s="8">
        <v>0</v>
      </c>
      <c r="I190" s="8">
        <v>2</v>
      </c>
      <c r="J190" s="8">
        <v>0</v>
      </c>
      <c r="K190" s="8">
        <v>-62.9</v>
      </c>
      <c r="L190" s="8">
        <v>28.4</v>
      </c>
      <c r="M190" s="8">
        <v>1559.289</v>
      </c>
      <c r="N190" s="8">
        <v>88.3</v>
      </c>
      <c r="O190" s="8">
        <v>8</v>
      </c>
      <c r="P190" s="8">
        <v>10</v>
      </c>
      <c r="Q190" s="8">
        <v>2.78</v>
      </c>
      <c r="R190" s="8">
        <v>68</v>
      </c>
      <c r="S190" s="8">
        <v>110</v>
      </c>
      <c r="T190" s="3">
        <v>147</v>
      </c>
      <c r="U190" s="8">
        <v>1358.173</v>
      </c>
      <c r="V190" s="8">
        <v>553.30999999999995</v>
      </c>
      <c r="W190" s="8">
        <v>752.85199999999998</v>
      </c>
      <c r="X190" s="8">
        <v>132.18100000000001</v>
      </c>
      <c r="Y190" s="8">
        <v>4.9400000000000004</v>
      </c>
      <c r="Z190" s="8">
        <v>8.0150000000000006</v>
      </c>
      <c r="AA190" s="8">
        <v>21.7</v>
      </c>
      <c r="AB190" s="8">
        <v>290.5</v>
      </c>
      <c r="AC190" s="8">
        <v>12480</v>
      </c>
      <c r="AD190" s="8">
        <v>3156</v>
      </c>
      <c r="AE190" s="8">
        <v>268</v>
      </c>
      <c r="AF190" s="8" cm="1">
        <f t="array" aca="1" ref="AF190" ca="1">_xlfn.XLOOKUP($A190,    INDIRECT("'" &amp; AF$16 &amp; "'!$A$20:$A$219"),    _xlfn.XLOOKUP(AF$18,INDIRECT("'" &amp; AF$16 &amp; "'!$B$18:$BC$18"), INDIRECT("'" &amp; AF$16 &amp; "'!$B$20:$BC$219"),"XXXXX",0,1),    "XX",    0,    1)</f>
        <v>15</v>
      </c>
      <c r="AG190" s="8" cm="1">
        <f t="array" aca="1" ref="AG190" ca="1">_xlfn.XLOOKUP($A190,    INDIRECT("'" &amp; AG$16 &amp; "'!$A$20:$A$219"),    _xlfn.XLOOKUP(AG$18,INDIRECT("'" &amp; AG$16 &amp; "'!$B$18:$BC$18"), INDIRECT("'" &amp; AG$16 &amp; "'!$B$20:$BC$219"),"XXXXX",0,1),    "XX",    0,    1)</f>
        <v>15</v>
      </c>
      <c r="AH190" s="8" cm="1">
        <f t="array" aca="1" ref="AH190" ca="1">_xlfn.XLOOKUP($A190,    INDIRECT("'" &amp; AH$16 &amp; "'!$A$20:$A$219"),    _xlfn.XLOOKUP(AH$18,INDIRECT("'" &amp; AH$16 &amp; "'!$B$18:$BC$18"), INDIRECT("'" &amp; AH$16 &amp; "'!$B$20:$BC$219"),"XXXXX",0,1),    "XX",    0,    1)</f>
        <v>17</v>
      </c>
      <c r="AI190" s="8" cm="1">
        <f t="array" aca="1" ref="AI190" ca="1">_xlfn.XLOOKUP($A190,    INDIRECT("'" &amp; AI$16 &amp; "'!$A$20:$A$219"),    _xlfn.XLOOKUP(AI$18,INDIRECT("'" &amp; AI$16 &amp; "'!$B$18:$BC$18"), INDIRECT("'" &amp; AI$16 &amp; "'!$B$20:$BC$219"),"XXXXX",0,1),    "XX",    0,    1)</f>
        <v>17</v>
      </c>
      <c r="AJ190" s="8" cm="1">
        <f t="array" aca="1" ref="AJ190" ca="1">_xlfn.XLOOKUP($A190,    INDIRECT("'" &amp; AJ$16 &amp; "'!$A$20:$A$219"),    _xlfn.XLOOKUP(AJ$18,INDIRECT("'" &amp; AJ$16 &amp; "'!$B$18:$BC$18"), INDIRECT("'" &amp; AJ$16 &amp; "'!$B$20:$BC$219"),"XXXXX",0,1),    "XX",    0,    1)</f>
        <v>19</v>
      </c>
      <c r="AK190" s="8" cm="1">
        <f t="array" aca="1" ref="AK190" ca="1">_xlfn.XLOOKUP($A190,    INDIRECT("'" &amp; AK$16 &amp; "'!$A$20:$A$219"),    _xlfn.XLOOKUP(AK$18,INDIRECT("'" &amp; AK$16 &amp; "'!$B$18:$BC$18"), INDIRECT("'" &amp; AK$16 &amp; "'!$B$20:$BC$219"),"XXXXX",0,1),    "XX",    0,    1)</f>
        <v>19</v>
      </c>
      <c r="AM190" s="16"/>
      <c r="AW190" s="8">
        <v>1</v>
      </c>
      <c r="AX190" s="8">
        <f t="shared" ca="1" si="53"/>
        <v>1.5</v>
      </c>
      <c r="AY190" s="8">
        <f t="shared" ca="1" si="57"/>
        <v>1.5</v>
      </c>
      <c r="AZ190" s="8">
        <f t="shared" ca="1" si="58"/>
        <v>1.7</v>
      </c>
      <c r="BA190" s="8">
        <f t="shared" ca="1" si="59"/>
        <v>1.7</v>
      </c>
      <c r="BB190" s="8">
        <f t="shared" ca="1" si="60"/>
        <v>1.9</v>
      </c>
      <c r="BC190" s="8">
        <f t="shared" ca="1" si="61"/>
        <v>1.9</v>
      </c>
      <c r="BE190" s="8">
        <f t="shared" ca="1" si="54"/>
        <v>0</v>
      </c>
      <c r="BF190" s="8">
        <f t="shared" ca="1" si="55"/>
        <v>0</v>
      </c>
      <c r="BG190" s="8">
        <f t="shared" ca="1" si="56"/>
        <v>0</v>
      </c>
    </row>
    <row r="191" spans="1:59" x14ac:dyDescent="0.2">
      <c r="A191" s="8" t="s">
        <v>69</v>
      </c>
      <c r="B191" s="8" t="s">
        <v>265</v>
      </c>
      <c r="C191" s="8">
        <v>-38.4</v>
      </c>
      <c r="D191" s="8">
        <v>470347</v>
      </c>
      <c r="E191" s="8">
        <v>5975940</v>
      </c>
      <c r="F191" s="8">
        <v>0</v>
      </c>
      <c r="G191" s="8">
        <v>-0.6</v>
      </c>
      <c r="H191" s="8">
        <v>0</v>
      </c>
      <c r="I191" s="8">
        <v>2</v>
      </c>
      <c r="J191" s="8">
        <v>0</v>
      </c>
      <c r="K191" s="8">
        <v>-63.6</v>
      </c>
      <c r="L191" s="8">
        <v>25.2</v>
      </c>
      <c r="M191" s="8">
        <v>1662.922</v>
      </c>
      <c r="N191" s="8">
        <v>89</v>
      </c>
      <c r="O191" s="8">
        <v>8</v>
      </c>
      <c r="P191" s="8">
        <v>10</v>
      </c>
      <c r="Q191" s="8">
        <v>2.46</v>
      </c>
      <c r="R191" s="8">
        <v>68</v>
      </c>
      <c r="S191" s="8">
        <v>110</v>
      </c>
      <c r="T191" s="3">
        <v>147</v>
      </c>
      <c r="U191" s="8">
        <v>1295.279</v>
      </c>
      <c r="V191" s="8">
        <v>483.80500000000001</v>
      </c>
      <c r="W191" s="8">
        <v>752.85199999999998</v>
      </c>
      <c r="X191" s="8">
        <v>132.18100000000001</v>
      </c>
      <c r="Y191" s="8">
        <v>4.9400000000000004</v>
      </c>
      <c r="Z191" s="8">
        <v>8.0150000000000006</v>
      </c>
      <c r="AA191" s="8">
        <v>21.7</v>
      </c>
      <c r="AB191" s="8">
        <v>290.5</v>
      </c>
      <c r="AC191" s="8">
        <v>12522</v>
      </c>
      <c r="AD191" s="8">
        <v>3397</v>
      </c>
      <c r="AE191" s="8">
        <v>268</v>
      </c>
      <c r="AF191" s="8" cm="1">
        <f t="array" aca="1" ref="AF191" ca="1">_xlfn.XLOOKUP($A191,    INDIRECT("'" &amp; AF$16 &amp; "'!$A$20:$A$219"),    _xlfn.XLOOKUP(AF$18,INDIRECT("'" &amp; AF$16 &amp; "'!$B$18:$BC$18"), INDIRECT("'" &amp; AF$16 &amp; "'!$B$20:$BC$219"),"XXXXX",0,1),    "XX",    0,    1)</f>
        <v>15</v>
      </c>
      <c r="AG191" s="8" cm="1">
        <f t="array" aca="1" ref="AG191" ca="1">_xlfn.XLOOKUP($A191,    INDIRECT("'" &amp; AG$16 &amp; "'!$A$20:$A$219"),    _xlfn.XLOOKUP(AG$18,INDIRECT("'" &amp; AG$16 &amp; "'!$B$18:$BC$18"), INDIRECT("'" &amp; AG$16 &amp; "'!$B$20:$BC$219"),"XXXXX",0,1),    "XX",    0,    1)</f>
        <v>15</v>
      </c>
      <c r="AH191" s="8" cm="1">
        <f t="array" aca="1" ref="AH191" ca="1">_xlfn.XLOOKUP($A191,    INDIRECT("'" &amp; AH$16 &amp; "'!$A$20:$A$219"),    _xlfn.XLOOKUP(AH$18,INDIRECT("'" &amp; AH$16 &amp; "'!$B$18:$BC$18"), INDIRECT("'" &amp; AH$16 &amp; "'!$B$20:$BC$219"),"XXXXX",0,1),    "XX",    0,    1)</f>
        <v>15</v>
      </c>
      <c r="AI191" s="8" cm="1">
        <f t="array" aca="1" ref="AI191" ca="1">_xlfn.XLOOKUP($A191,    INDIRECT("'" &amp; AI$16 &amp; "'!$A$20:$A$219"),    _xlfn.XLOOKUP(AI$18,INDIRECT("'" &amp; AI$16 &amp; "'!$B$18:$BC$18"), INDIRECT("'" &amp; AI$16 &amp; "'!$B$20:$BC$219"),"XXXXX",0,1),    "XX",    0,    1)</f>
        <v>15</v>
      </c>
      <c r="AJ191" s="8" cm="1">
        <f t="array" aca="1" ref="AJ191" ca="1">_xlfn.XLOOKUP($A191,    INDIRECT("'" &amp; AJ$16 &amp; "'!$A$20:$A$219"),    _xlfn.XLOOKUP(AJ$18,INDIRECT("'" &amp; AJ$16 &amp; "'!$B$18:$BC$18"), INDIRECT("'" &amp; AJ$16 &amp; "'!$B$20:$BC$219"),"XXXXX",0,1),    "XX",    0,    1)</f>
        <v>15</v>
      </c>
      <c r="AK191" s="8" cm="1">
        <f t="array" aca="1" ref="AK191" ca="1">_xlfn.XLOOKUP($A191,    INDIRECT("'" &amp; AK$16 &amp; "'!$A$20:$A$219"),    _xlfn.XLOOKUP(AK$18,INDIRECT("'" &amp; AK$16 &amp; "'!$B$18:$BC$18"), INDIRECT("'" &amp; AK$16 &amp; "'!$B$20:$BC$219"),"XXXXX",0,1),    "XX",    0,    1)</f>
        <v>15</v>
      </c>
      <c r="AM191" s="16"/>
      <c r="AW191" s="8">
        <v>1</v>
      </c>
      <c r="AX191" s="8">
        <f t="shared" ca="1" si="53"/>
        <v>1.5</v>
      </c>
      <c r="AY191" s="8">
        <f t="shared" ca="1" si="57"/>
        <v>1.5</v>
      </c>
      <c r="AZ191" s="8">
        <f t="shared" ca="1" si="58"/>
        <v>1.5</v>
      </c>
      <c r="BA191" s="8">
        <f t="shared" ca="1" si="59"/>
        <v>1.5</v>
      </c>
      <c r="BB191" s="8">
        <f t="shared" ca="1" si="60"/>
        <v>1.5</v>
      </c>
      <c r="BC191" s="8">
        <f t="shared" ca="1" si="61"/>
        <v>1.5</v>
      </c>
      <c r="BE191" s="8">
        <f t="shared" ca="1" si="54"/>
        <v>0</v>
      </c>
      <c r="BF191" s="8">
        <f t="shared" ca="1" si="55"/>
        <v>0</v>
      </c>
      <c r="BG191" s="8">
        <f t="shared" ca="1" si="56"/>
        <v>0</v>
      </c>
    </row>
    <row r="192" spans="1:59" x14ac:dyDescent="0.2">
      <c r="A192" s="8" t="s">
        <v>16</v>
      </c>
      <c r="B192" s="8" t="s">
        <v>271</v>
      </c>
      <c r="C192" s="8">
        <v>-36.700000000000003</v>
      </c>
      <c r="D192" s="8">
        <v>471760</v>
      </c>
      <c r="E192" s="8">
        <v>5975245</v>
      </c>
      <c r="F192" s="8">
        <v>0</v>
      </c>
      <c r="G192" s="8">
        <v>-0.7</v>
      </c>
      <c r="H192" s="8">
        <v>0</v>
      </c>
      <c r="I192" s="8">
        <v>2</v>
      </c>
      <c r="J192" s="8">
        <v>0</v>
      </c>
      <c r="K192" s="8">
        <v>-71.099999999999994</v>
      </c>
      <c r="L192" s="8">
        <v>34.4</v>
      </c>
      <c r="M192" s="8">
        <v>1822.8019999999999</v>
      </c>
      <c r="N192" s="8">
        <v>96.5</v>
      </c>
      <c r="O192" s="8">
        <v>8</v>
      </c>
      <c r="P192" s="8">
        <v>10</v>
      </c>
      <c r="Q192" s="8">
        <v>3.37</v>
      </c>
      <c r="R192" s="8">
        <v>68</v>
      </c>
      <c r="S192" s="8">
        <v>110</v>
      </c>
      <c r="T192" s="3">
        <v>147</v>
      </c>
      <c r="U192" s="8">
        <v>1419.837</v>
      </c>
      <c r="V192" s="8">
        <v>489.51</v>
      </c>
      <c r="W192" s="8">
        <v>752.85199999999998</v>
      </c>
      <c r="X192" s="8">
        <v>132.18100000000001</v>
      </c>
      <c r="Y192" s="8">
        <v>4.9400000000000004</v>
      </c>
      <c r="Z192" s="8">
        <v>8.0150000000000006</v>
      </c>
      <c r="AA192" s="8">
        <v>21.7</v>
      </c>
      <c r="AB192" s="8">
        <v>290.5</v>
      </c>
      <c r="AC192" s="8">
        <v>12989</v>
      </c>
      <c r="AD192" s="8">
        <v>3291</v>
      </c>
      <c r="AE192" s="8">
        <v>268</v>
      </c>
      <c r="AF192" s="8" cm="1">
        <f t="array" aca="1" ref="AF192" ca="1">_xlfn.XLOOKUP($A192,    INDIRECT("'" &amp; AF$16 &amp; "'!$A$20:$A$219"),    _xlfn.XLOOKUP(AF$18,INDIRECT("'" &amp; AF$16 &amp; "'!$B$18:$BC$18"), INDIRECT("'" &amp; AF$16 &amp; "'!$B$20:$BC$219"),"XXXXX",0,1),    "XX",    0,    1)</f>
        <v>19</v>
      </c>
      <c r="AG192" s="8" cm="1">
        <f t="array" aca="1" ref="AG192" ca="1">_xlfn.XLOOKUP($A192,    INDIRECT("'" &amp; AG$16 &amp; "'!$A$20:$A$219"),    _xlfn.XLOOKUP(AG$18,INDIRECT("'" &amp; AG$16 &amp; "'!$B$18:$BC$18"), INDIRECT("'" &amp; AG$16 &amp; "'!$B$20:$BC$219"),"XXXXX",0,1),    "XX",    0,    1)</f>
        <v>19</v>
      </c>
      <c r="AH192" s="8" cm="1">
        <f t="array" aca="1" ref="AH192" ca="1">_xlfn.XLOOKUP($A192,    INDIRECT("'" &amp; AH$16 &amp; "'!$A$20:$A$219"),    _xlfn.XLOOKUP(AH$18,INDIRECT("'" &amp; AH$16 &amp; "'!$B$18:$BC$18"), INDIRECT("'" &amp; AH$16 &amp; "'!$B$20:$BC$219"),"XXXXX",0,1),    "XX",    0,    1)</f>
        <v>23</v>
      </c>
      <c r="AI192" s="8" cm="1">
        <f t="array" aca="1" ref="AI192" ca="1">_xlfn.XLOOKUP($A192,    INDIRECT("'" &amp; AI$16 &amp; "'!$A$20:$A$219"),    _xlfn.XLOOKUP(AI$18,INDIRECT("'" &amp; AI$16 &amp; "'!$B$18:$BC$18"), INDIRECT("'" &amp; AI$16 &amp; "'!$B$20:$BC$219"),"XXXXX",0,1),    "XX",    0,    1)</f>
        <v>23</v>
      </c>
      <c r="AJ192" s="8" cm="1">
        <f t="array" aca="1" ref="AJ192" ca="1">_xlfn.XLOOKUP($A192,    INDIRECT("'" &amp; AJ$16 &amp; "'!$A$20:$A$219"),    _xlfn.XLOOKUP(AJ$18,INDIRECT("'" &amp; AJ$16 &amp; "'!$B$18:$BC$18"), INDIRECT("'" &amp; AJ$16 &amp; "'!$B$20:$BC$219"),"XXXXX",0,1),    "XX",    0,    1)</f>
        <v>24.6</v>
      </c>
      <c r="AK192" s="8" cm="1">
        <f t="array" aca="1" ref="AK192" ca="1">_xlfn.XLOOKUP($A192,    INDIRECT("'" &amp; AK$16 &amp; "'!$A$20:$A$219"),    _xlfn.XLOOKUP(AK$18,INDIRECT("'" &amp; AK$16 &amp; "'!$B$18:$BC$18"), INDIRECT("'" &amp; AK$16 &amp; "'!$B$20:$BC$219"),"XXXXX",0,1),    "XX",    0,    1)</f>
        <v>24.6</v>
      </c>
      <c r="AM192" s="16"/>
      <c r="AW192" s="8">
        <v>1</v>
      </c>
      <c r="AX192" s="8">
        <f t="shared" ca="1" si="53"/>
        <v>1.9</v>
      </c>
      <c r="AY192" s="8">
        <f t="shared" ca="1" si="57"/>
        <v>1.9</v>
      </c>
      <c r="AZ192" s="8">
        <f t="shared" ca="1" si="58"/>
        <v>2.2999999999999998</v>
      </c>
      <c r="BA192" s="8">
        <f t="shared" ca="1" si="59"/>
        <v>2.2999999999999998</v>
      </c>
      <c r="BB192" s="8">
        <f t="shared" ca="1" si="60"/>
        <v>2.46</v>
      </c>
      <c r="BC192" s="8">
        <f t="shared" ca="1" si="61"/>
        <v>2.46</v>
      </c>
      <c r="BE192" s="8">
        <f t="shared" ca="1" si="54"/>
        <v>0</v>
      </c>
      <c r="BF192" s="8">
        <f t="shared" ca="1" si="55"/>
        <v>0</v>
      </c>
      <c r="BG192" s="8">
        <f t="shared" ca="1" si="56"/>
        <v>0</v>
      </c>
    </row>
    <row r="193" spans="1:59" x14ac:dyDescent="0.2">
      <c r="A193" s="8" t="s">
        <v>54</v>
      </c>
      <c r="B193" s="8" t="s">
        <v>265</v>
      </c>
      <c r="C193" s="8">
        <v>-37.4</v>
      </c>
      <c r="D193" s="8">
        <v>449575.5</v>
      </c>
      <c r="E193" s="8">
        <v>5979545.4000000004</v>
      </c>
      <c r="F193" s="8">
        <v>0</v>
      </c>
      <c r="G193" s="8">
        <v>-0.7</v>
      </c>
      <c r="H193" s="8">
        <v>0</v>
      </c>
      <c r="I193" s="8">
        <v>2</v>
      </c>
      <c r="J193" s="8">
        <v>0</v>
      </c>
      <c r="K193" s="8">
        <v>-64.5</v>
      </c>
      <c r="L193" s="8">
        <v>27.1</v>
      </c>
      <c r="M193" s="8">
        <v>1677.104</v>
      </c>
      <c r="N193" s="8">
        <v>89.9</v>
      </c>
      <c r="O193" s="8">
        <v>8</v>
      </c>
      <c r="P193" s="8">
        <v>10</v>
      </c>
      <c r="Q193" s="8">
        <v>2.64</v>
      </c>
      <c r="R193" s="8">
        <v>68</v>
      </c>
      <c r="S193" s="8">
        <v>110</v>
      </c>
      <c r="T193" s="3">
        <v>147</v>
      </c>
      <c r="U193" s="8">
        <v>1357.595</v>
      </c>
      <c r="V193" s="8">
        <v>427.709</v>
      </c>
      <c r="W193" s="8">
        <v>752.85199999999998</v>
      </c>
      <c r="X193" s="8">
        <v>132.18100000000001</v>
      </c>
      <c r="Y193" s="8">
        <v>4.9400000000000004</v>
      </c>
      <c r="Z193" s="8">
        <v>8.0150000000000006</v>
      </c>
      <c r="AA193" s="8">
        <v>21.7</v>
      </c>
      <c r="AB193" s="8">
        <v>290.5</v>
      </c>
      <c r="AC193" s="8">
        <v>12578</v>
      </c>
      <c r="AD193" s="8">
        <v>3335</v>
      </c>
      <c r="AE193" s="8">
        <v>268</v>
      </c>
      <c r="AF193" s="8" cm="1">
        <f t="array" aca="1" ref="AF193" ca="1">_xlfn.XLOOKUP($A193,    INDIRECT("'" &amp; AF$16 &amp; "'!$A$20:$A$219"),    _xlfn.XLOOKUP(AF$18,INDIRECT("'" &amp; AF$16 &amp; "'!$B$18:$BC$18"), INDIRECT("'" &amp; AF$16 &amp; "'!$B$20:$BC$219"),"XXXXX",0,1),    "XX",    0,    1)</f>
        <v>15</v>
      </c>
      <c r="AG193" s="8" cm="1">
        <f t="array" aca="1" ref="AG193" ca="1">_xlfn.XLOOKUP($A193,    INDIRECT("'" &amp; AG$16 &amp; "'!$A$20:$A$219"),    _xlfn.XLOOKUP(AG$18,INDIRECT("'" &amp; AG$16 &amp; "'!$B$18:$BC$18"), INDIRECT("'" &amp; AG$16 &amp; "'!$B$20:$BC$219"),"XXXXX",0,1),    "XX",    0,    1)</f>
        <v>15</v>
      </c>
      <c r="AH193" s="8" cm="1">
        <f t="array" aca="1" ref="AH193" ca="1">_xlfn.XLOOKUP($A193,    INDIRECT("'" &amp; AH$16 &amp; "'!$A$20:$A$219"),    _xlfn.XLOOKUP(AH$18,INDIRECT("'" &amp; AH$16 &amp; "'!$B$18:$BC$18"), INDIRECT("'" &amp; AH$16 &amp; "'!$B$20:$BC$219"),"XXXXX",0,1),    "XX",    0,    1)</f>
        <v>17</v>
      </c>
      <c r="AI193" s="8" cm="1">
        <f t="array" aca="1" ref="AI193" ca="1">_xlfn.XLOOKUP($A193,    INDIRECT("'" &amp; AI$16 &amp; "'!$A$20:$A$219"),    _xlfn.XLOOKUP(AI$18,INDIRECT("'" &amp; AI$16 &amp; "'!$B$18:$BC$18"), INDIRECT("'" &amp; AI$16 &amp; "'!$B$20:$BC$219"),"XXXXX",0,1),    "XX",    0,    1)</f>
        <v>17</v>
      </c>
      <c r="AJ193" s="8" cm="1">
        <f t="array" aca="1" ref="AJ193" ca="1">_xlfn.XLOOKUP($A193,    INDIRECT("'" &amp; AJ$16 &amp; "'!$A$20:$A$219"),    _xlfn.XLOOKUP(AJ$18,INDIRECT("'" &amp; AJ$16 &amp; "'!$B$18:$BC$18"), INDIRECT("'" &amp; AJ$16 &amp; "'!$B$20:$BC$219"),"XXXXX",0,1),    "XX",    0,    1)</f>
        <v>17</v>
      </c>
      <c r="AK193" s="8" cm="1">
        <f t="array" aca="1" ref="AK193" ca="1">_xlfn.XLOOKUP($A193,    INDIRECT("'" &amp; AK$16 &amp; "'!$A$20:$A$219"),    _xlfn.XLOOKUP(AK$18,INDIRECT("'" &amp; AK$16 &amp; "'!$B$18:$BC$18"), INDIRECT("'" &amp; AK$16 &amp; "'!$B$20:$BC$219"),"XXXXX",0,1),    "XX",    0,    1)</f>
        <v>17</v>
      </c>
      <c r="AM193" s="16"/>
      <c r="AW193" s="8">
        <v>1</v>
      </c>
      <c r="AX193" s="8">
        <f t="shared" ca="1" si="53"/>
        <v>1.5</v>
      </c>
      <c r="AY193" s="8">
        <f t="shared" ca="1" si="57"/>
        <v>1.5</v>
      </c>
      <c r="AZ193" s="8">
        <f t="shared" ca="1" si="58"/>
        <v>1.7</v>
      </c>
      <c r="BA193" s="8">
        <f t="shared" ca="1" si="59"/>
        <v>1.7</v>
      </c>
      <c r="BB193" s="8">
        <f t="shared" ca="1" si="60"/>
        <v>1.7</v>
      </c>
      <c r="BC193" s="8">
        <f t="shared" ca="1" si="61"/>
        <v>1.7</v>
      </c>
      <c r="BE193" s="8">
        <f t="shared" ca="1" si="54"/>
        <v>0</v>
      </c>
      <c r="BF193" s="8">
        <f t="shared" ca="1" si="55"/>
        <v>0</v>
      </c>
      <c r="BG193" s="8">
        <f t="shared" ca="1" si="56"/>
        <v>0</v>
      </c>
    </row>
    <row r="194" spans="1:59" x14ac:dyDescent="0.2">
      <c r="A194" s="8" t="s">
        <v>194</v>
      </c>
      <c r="B194" s="8" t="s">
        <v>265</v>
      </c>
      <c r="C194" s="8">
        <v>-46.6</v>
      </c>
      <c r="D194" s="8">
        <v>453391</v>
      </c>
      <c r="E194" s="8">
        <v>5979850</v>
      </c>
      <c r="F194" s="8">
        <v>0</v>
      </c>
      <c r="G194" s="8">
        <v>-0.7</v>
      </c>
      <c r="H194" s="8">
        <v>0</v>
      </c>
      <c r="I194" s="8">
        <v>2</v>
      </c>
      <c r="J194" s="8">
        <v>0</v>
      </c>
      <c r="K194" s="8">
        <v>-78.8</v>
      </c>
      <c r="L194" s="8">
        <v>32.200000000000003</v>
      </c>
      <c r="M194" s="8">
        <v>2224.1889999999999</v>
      </c>
      <c r="N194" s="8">
        <v>104.2</v>
      </c>
      <c r="O194" s="8">
        <v>8</v>
      </c>
      <c r="P194" s="8">
        <v>11</v>
      </c>
      <c r="Q194" s="8">
        <v>2.8635999999999999</v>
      </c>
      <c r="R194" s="8">
        <v>70</v>
      </c>
      <c r="S194" s="8">
        <v>117</v>
      </c>
      <c r="T194" s="3">
        <v>149</v>
      </c>
      <c r="U194" s="8">
        <v>1643.2670000000001</v>
      </c>
      <c r="V194" s="8">
        <v>403.10399999999998</v>
      </c>
      <c r="W194" s="8">
        <v>752.85199999999998</v>
      </c>
      <c r="X194" s="8">
        <v>132.18100000000001</v>
      </c>
      <c r="Y194" s="8">
        <v>4.9400000000000004</v>
      </c>
      <c r="Z194" s="8">
        <v>8.0150000000000006</v>
      </c>
      <c r="AA194" s="8">
        <v>21.7</v>
      </c>
      <c r="AB194" s="8">
        <v>290.5</v>
      </c>
      <c r="AC194" s="8">
        <v>13831</v>
      </c>
      <c r="AD194" s="8">
        <v>4086</v>
      </c>
      <c r="AE194" s="8">
        <v>268</v>
      </c>
      <c r="AF194" s="8" cm="1">
        <f t="array" aca="1" ref="AF194" ca="1">_xlfn.XLOOKUP($A194,    INDIRECT("'" &amp; AF$16 &amp; "'!$A$20:$A$219"),    _xlfn.XLOOKUP(AF$18,INDIRECT("'" &amp; AF$16 &amp; "'!$B$18:$BC$18"), INDIRECT("'" &amp; AF$16 &amp; "'!$B$20:$BC$219"),"XXXXX",0,1),    "XX",    0,    1)</f>
        <v>17</v>
      </c>
      <c r="AG194" s="8" cm="1">
        <f t="array" aca="1" ref="AG194" ca="1">_xlfn.XLOOKUP($A194,    INDIRECT("'" &amp; AG$16 &amp; "'!$A$20:$A$219"),    _xlfn.XLOOKUP(AG$18,INDIRECT("'" &amp; AG$16 &amp; "'!$B$18:$BC$18"), INDIRECT("'" &amp; AG$16 &amp; "'!$B$20:$BC$219"),"XXXXX",0,1),    "XX",    0,    1)</f>
        <v>17</v>
      </c>
      <c r="AH194" s="8" cm="1">
        <f t="array" aca="1" ref="AH194" ca="1">_xlfn.XLOOKUP($A194,    INDIRECT("'" &amp; AH$16 &amp; "'!$A$20:$A$219"),    _xlfn.XLOOKUP(AH$18,INDIRECT("'" &amp; AH$16 &amp; "'!$B$18:$BC$18"), INDIRECT("'" &amp; AH$16 &amp; "'!$B$20:$BC$219"),"XXXXX",0,1),    "XX",    0,    1)</f>
        <v>21</v>
      </c>
      <c r="AI194" s="8" cm="1">
        <f t="array" aca="1" ref="AI194" ca="1">_xlfn.XLOOKUP($A194,    INDIRECT("'" &amp; AI$16 &amp; "'!$A$20:$A$219"),    _xlfn.XLOOKUP(AI$18,INDIRECT("'" &amp; AI$16 &amp; "'!$B$18:$BC$18"), INDIRECT("'" &amp; AI$16 &amp; "'!$B$20:$BC$219"),"XXXXX",0,1),    "XX",    0,    1)</f>
        <v>21</v>
      </c>
      <c r="AJ194" s="8" cm="1">
        <f t="array" aca="1" ref="AJ194" ca="1">_xlfn.XLOOKUP($A194,    INDIRECT("'" &amp; AJ$16 &amp; "'!$A$20:$A$219"),    _xlfn.XLOOKUP(AJ$18,INDIRECT("'" &amp; AJ$16 &amp; "'!$B$18:$BC$18"), INDIRECT("'" &amp; AJ$16 &amp; "'!$B$20:$BC$219"),"XXXXX",0,1),    "XX",    0,    1)</f>
        <v>23</v>
      </c>
      <c r="AK194" s="8" cm="1">
        <f t="array" aca="1" ref="AK194" ca="1">_xlfn.XLOOKUP($A194,    INDIRECT("'" &amp; AK$16 &amp; "'!$A$20:$A$219"),    _xlfn.XLOOKUP(AK$18,INDIRECT("'" &amp; AK$16 &amp; "'!$B$18:$BC$18"), INDIRECT("'" &amp; AK$16 &amp; "'!$B$20:$BC$219"),"XXXXX",0,1),    "XX",    0,    1)</f>
        <v>23</v>
      </c>
      <c r="AM194" s="16"/>
      <c r="AW194" s="8">
        <v>1</v>
      </c>
      <c r="AX194" s="8">
        <f t="shared" ca="1" si="53"/>
        <v>1.5454545454545454</v>
      </c>
      <c r="AY194" s="8">
        <f t="shared" ca="1" si="57"/>
        <v>1.5454545454545454</v>
      </c>
      <c r="AZ194" s="8">
        <f t="shared" ca="1" si="58"/>
        <v>1.9090909090909092</v>
      </c>
      <c r="BA194" s="8">
        <f t="shared" ca="1" si="59"/>
        <v>1.9090909090909092</v>
      </c>
      <c r="BB194" s="8">
        <f t="shared" ca="1" si="60"/>
        <v>2.0909090909090908</v>
      </c>
      <c r="BC194" s="8">
        <f t="shared" ca="1" si="61"/>
        <v>2.0909090909090908</v>
      </c>
      <c r="BE194" s="8">
        <f t="shared" ca="1" si="54"/>
        <v>0</v>
      </c>
      <c r="BF194" s="8">
        <f t="shared" ca="1" si="55"/>
        <v>0</v>
      </c>
      <c r="BG194" s="8">
        <f t="shared" ca="1" si="56"/>
        <v>0</v>
      </c>
    </row>
    <row r="195" spans="1:59" x14ac:dyDescent="0.2">
      <c r="A195" s="8" t="s">
        <v>9</v>
      </c>
      <c r="B195" s="8" t="s">
        <v>265</v>
      </c>
      <c r="C195" s="8">
        <v>-47.9</v>
      </c>
      <c r="D195" s="8">
        <v>454519.4</v>
      </c>
      <c r="E195" s="8">
        <v>5979707.2999999998</v>
      </c>
      <c r="F195" s="8">
        <v>0</v>
      </c>
      <c r="G195" s="8">
        <v>-0.7</v>
      </c>
      <c r="H195" s="8">
        <v>0</v>
      </c>
      <c r="I195" s="8">
        <v>2</v>
      </c>
      <c r="J195" s="8">
        <v>0</v>
      </c>
      <c r="K195" s="8">
        <v>-79.599999999999994</v>
      </c>
      <c r="L195" s="8">
        <v>31.7</v>
      </c>
      <c r="M195" s="8">
        <v>2258.44</v>
      </c>
      <c r="N195" s="8">
        <v>105</v>
      </c>
      <c r="O195" s="8">
        <v>8</v>
      </c>
      <c r="P195" s="8">
        <v>11</v>
      </c>
      <c r="Q195" s="8">
        <v>2.8182</v>
      </c>
      <c r="R195" s="8">
        <v>72</v>
      </c>
      <c r="S195" s="8">
        <v>117</v>
      </c>
      <c r="T195" s="3">
        <v>149</v>
      </c>
      <c r="U195" s="8">
        <v>1643.153</v>
      </c>
      <c r="V195" s="8">
        <v>369.21300000000002</v>
      </c>
      <c r="W195" s="8">
        <v>752.85199999999998</v>
      </c>
      <c r="X195" s="8">
        <v>132.18100000000001</v>
      </c>
      <c r="Y195" s="8">
        <v>4.9400000000000004</v>
      </c>
      <c r="Z195" s="8">
        <v>8.0150000000000006</v>
      </c>
      <c r="AA195" s="8">
        <v>21.7</v>
      </c>
      <c r="AB195" s="8">
        <v>290.5</v>
      </c>
      <c r="AC195" s="8">
        <v>13885</v>
      </c>
      <c r="AD195" s="8">
        <v>4175</v>
      </c>
      <c r="AE195" s="8">
        <v>268</v>
      </c>
      <c r="AF195" s="8" cm="1">
        <f t="array" aca="1" ref="AF195" ca="1">_xlfn.XLOOKUP($A195,    INDIRECT("'" &amp; AF$16 &amp; "'!$A$20:$A$219"),    _xlfn.XLOOKUP(AF$18,INDIRECT("'" &amp; AF$16 &amp; "'!$B$18:$BC$18"), INDIRECT("'" &amp; AF$16 &amp; "'!$B$20:$BC$219"),"XXXXX",0,1),    "XX",    0,    1)</f>
        <v>17</v>
      </c>
      <c r="AG195" s="8" cm="1">
        <f t="array" aca="1" ref="AG195" ca="1">_xlfn.XLOOKUP($A195,    INDIRECT("'" &amp; AG$16 &amp; "'!$A$20:$A$219"),    _xlfn.XLOOKUP(AG$18,INDIRECT("'" &amp; AG$16 &amp; "'!$B$18:$BC$18"), INDIRECT("'" &amp; AG$16 &amp; "'!$B$20:$BC$219"),"XXXXX",0,1),    "XX",    0,    1)</f>
        <v>17</v>
      </c>
      <c r="AH195" s="8" cm="1">
        <f t="array" aca="1" ref="AH195" ca="1">_xlfn.XLOOKUP($A195,    INDIRECT("'" &amp; AH$16 &amp; "'!$A$20:$A$219"),    _xlfn.XLOOKUP(AH$18,INDIRECT("'" &amp; AH$16 &amp; "'!$B$18:$BC$18"), INDIRECT("'" &amp; AH$16 &amp; "'!$B$20:$BC$219"),"XXXXX",0,1),    "XX",    0,    1)</f>
        <v>21</v>
      </c>
      <c r="AI195" s="8" cm="1">
        <f t="array" aca="1" ref="AI195" ca="1">_xlfn.XLOOKUP($A195,    INDIRECT("'" &amp; AI$16 &amp; "'!$A$20:$A$219"),    _xlfn.XLOOKUP(AI$18,INDIRECT("'" &amp; AI$16 &amp; "'!$B$18:$BC$18"), INDIRECT("'" &amp; AI$16 &amp; "'!$B$20:$BC$219"),"XXXXX",0,1),    "XX",    0,    1)</f>
        <v>21</v>
      </c>
      <c r="AJ195" s="8" cm="1">
        <f t="array" aca="1" ref="AJ195" ca="1">_xlfn.XLOOKUP($A195,    INDIRECT("'" &amp; AJ$16 &amp; "'!$A$20:$A$219"),    _xlfn.XLOOKUP(AJ$18,INDIRECT("'" &amp; AJ$16 &amp; "'!$B$18:$BC$18"), INDIRECT("'" &amp; AJ$16 &amp; "'!$B$20:$BC$219"),"XXXXX",0,1),    "XX",    0,    1)</f>
        <v>23</v>
      </c>
      <c r="AK195" s="8" cm="1">
        <f t="array" aca="1" ref="AK195" ca="1">_xlfn.XLOOKUP($A195,    INDIRECT("'" &amp; AK$16 &amp; "'!$A$20:$A$219"),    _xlfn.XLOOKUP(AK$18,INDIRECT("'" &amp; AK$16 &amp; "'!$B$18:$BC$18"), INDIRECT("'" &amp; AK$16 &amp; "'!$B$20:$BC$219"),"XXXXX",0,1),    "XX",    0,    1)</f>
        <v>23</v>
      </c>
      <c r="AM195" s="16"/>
      <c r="AW195" s="8">
        <v>1</v>
      </c>
      <c r="AX195" s="8">
        <f t="shared" ca="1" si="53"/>
        <v>1.5454545454545454</v>
      </c>
      <c r="AY195" s="8">
        <f t="shared" ca="1" si="57"/>
        <v>1.5454545454545454</v>
      </c>
      <c r="AZ195" s="8">
        <f t="shared" ca="1" si="58"/>
        <v>1.9090909090909092</v>
      </c>
      <c r="BA195" s="8">
        <f t="shared" ca="1" si="59"/>
        <v>1.9090909090909092</v>
      </c>
      <c r="BB195" s="8">
        <f t="shared" ca="1" si="60"/>
        <v>2.0909090909090908</v>
      </c>
      <c r="BC195" s="8">
        <f t="shared" ca="1" si="61"/>
        <v>2.0909090909090908</v>
      </c>
      <c r="BE195" s="8">
        <f t="shared" ca="1" si="54"/>
        <v>0</v>
      </c>
      <c r="BF195" s="8">
        <f t="shared" ca="1" si="55"/>
        <v>0</v>
      </c>
      <c r="BG195" s="8">
        <f t="shared" ca="1" si="56"/>
        <v>0</v>
      </c>
    </row>
    <row r="196" spans="1:59" x14ac:dyDescent="0.2">
      <c r="A196" s="8" t="s">
        <v>195</v>
      </c>
      <c r="B196" s="8" t="s">
        <v>265</v>
      </c>
      <c r="C196" s="8">
        <v>-45.3</v>
      </c>
      <c r="D196" s="8">
        <v>455740</v>
      </c>
      <c r="E196" s="8">
        <v>5979350</v>
      </c>
      <c r="F196" s="8">
        <v>0</v>
      </c>
      <c r="G196" s="8">
        <v>-0.7</v>
      </c>
      <c r="H196" s="8">
        <v>0</v>
      </c>
      <c r="I196" s="8">
        <v>2</v>
      </c>
      <c r="J196" s="8">
        <v>0</v>
      </c>
      <c r="K196" s="8">
        <v>-79.099999999999994</v>
      </c>
      <c r="L196" s="8">
        <v>33.799999999999997</v>
      </c>
      <c r="M196" s="8">
        <v>2201.9459999999999</v>
      </c>
      <c r="N196" s="8">
        <v>104.5</v>
      </c>
      <c r="O196" s="8">
        <v>8</v>
      </c>
      <c r="P196" s="8">
        <v>11</v>
      </c>
      <c r="Q196" s="8">
        <v>3.0091000000000001</v>
      </c>
      <c r="R196" s="8">
        <v>70</v>
      </c>
      <c r="S196" s="8">
        <v>117</v>
      </c>
      <c r="T196" s="3">
        <v>149</v>
      </c>
      <c r="U196" s="8">
        <v>1643.4169999999999</v>
      </c>
      <c r="V196" s="8">
        <v>369.125</v>
      </c>
      <c r="W196" s="8">
        <v>752.85199999999998</v>
      </c>
      <c r="X196" s="8">
        <v>132.18100000000001</v>
      </c>
      <c r="Y196" s="8">
        <v>4.9400000000000004</v>
      </c>
      <c r="Z196" s="8">
        <v>8.0150000000000006</v>
      </c>
      <c r="AA196" s="8">
        <v>21.7</v>
      </c>
      <c r="AB196" s="8">
        <v>290.5</v>
      </c>
      <c r="AC196" s="8">
        <v>13852</v>
      </c>
      <c r="AD196" s="8">
        <v>3997</v>
      </c>
      <c r="AE196" s="8">
        <v>268</v>
      </c>
      <c r="AF196" s="8" cm="1">
        <f t="array" aca="1" ref="AF196" ca="1">_xlfn.XLOOKUP($A196,    INDIRECT("'" &amp; AF$16 &amp; "'!$A$20:$A$219"),    _xlfn.XLOOKUP(AF$18,INDIRECT("'" &amp; AF$16 &amp; "'!$B$18:$BC$18"), INDIRECT("'" &amp; AF$16 &amp; "'!$B$20:$BC$219"),"XXXXX",0,1),    "XX",    0,    1)</f>
        <v>19</v>
      </c>
      <c r="AG196" s="8" cm="1">
        <f t="array" aca="1" ref="AG196" ca="1">_xlfn.XLOOKUP($A196,    INDIRECT("'" &amp; AG$16 &amp; "'!$A$20:$A$219"),    _xlfn.XLOOKUP(AG$18,INDIRECT("'" &amp; AG$16 &amp; "'!$B$18:$BC$18"), INDIRECT("'" &amp; AG$16 &amp; "'!$B$20:$BC$219"),"XXXXX",0,1),    "XX",    0,    1)</f>
        <v>19</v>
      </c>
      <c r="AH196" s="8" cm="1">
        <f t="array" aca="1" ref="AH196" ca="1">_xlfn.XLOOKUP($A196,    INDIRECT("'" &amp; AH$16 &amp; "'!$A$20:$A$219"),    _xlfn.XLOOKUP(AH$18,INDIRECT("'" &amp; AH$16 &amp; "'!$B$18:$BC$18"), INDIRECT("'" &amp; AH$16 &amp; "'!$B$20:$BC$219"),"XXXXX",0,1),    "XX",    0,    1)</f>
        <v>23</v>
      </c>
      <c r="AI196" s="8" cm="1">
        <f t="array" aca="1" ref="AI196" ca="1">_xlfn.XLOOKUP($A196,    INDIRECT("'" &amp; AI$16 &amp; "'!$A$20:$A$219"),    _xlfn.XLOOKUP(AI$18,INDIRECT("'" &amp; AI$16 &amp; "'!$B$18:$BC$18"), INDIRECT("'" &amp; AI$16 &amp; "'!$B$20:$BC$219"),"XXXXX",0,1),    "XX",    0,    1)</f>
        <v>23</v>
      </c>
      <c r="AJ196" s="8" cm="1">
        <f t="array" aca="1" ref="AJ196" ca="1">_xlfn.XLOOKUP($A196,    INDIRECT("'" &amp; AJ$16 &amp; "'!$A$20:$A$219"),    _xlfn.XLOOKUP(AJ$18,INDIRECT("'" &amp; AJ$16 &amp; "'!$B$18:$BC$18"), INDIRECT("'" &amp; AJ$16 &amp; "'!$B$20:$BC$219"),"XXXXX",0,1),    "XX",    0,    1)</f>
        <v>24.6</v>
      </c>
      <c r="AK196" s="8" cm="1">
        <f t="array" aca="1" ref="AK196" ca="1">_xlfn.XLOOKUP($A196,    INDIRECT("'" &amp; AK$16 &amp; "'!$A$20:$A$219"),    _xlfn.XLOOKUP(AK$18,INDIRECT("'" &amp; AK$16 &amp; "'!$B$18:$BC$18"), INDIRECT("'" &amp; AK$16 &amp; "'!$B$20:$BC$219"),"XXXXX",0,1),    "XX",    0,    1)</f>
        <v>24.6</v>
      </c>
      <c r="AM196" s="16"/>
      <c r="AW196" s="8">
        <v>1</v>
      </c>
      <c r="AX196" s="8">
        <f t="shared" ca="1" si="53"/>
        <v>1.7272727272727273</v>
      </c>
      <c r="AY196" s="8">
        <f t="shared" ca="1" si="57"/>
        <v>1.7272727272727273</v>
      </c>
      <c r="AZ196" s="8">
        <f t="shared" ca="1" si="58"/>
        <v>2.0909090909090908</v>
      </c>
      <c r="BA196" s="8">
        <f t="shared" ca="1" si="59"/>
        <v>2.0909090909090908</v>
      </c>
      <c r="BB196" s="8">
        <f t="shared" ca="1" si="60"/>
        <v>2.2363636363636363</v>
      </c>
      <c r="BC196" s="8">
        <f t="shared" ca="1" si="61"/>
        <v>2.2363636363636363</v>
      </c>
      <c r="BE196" s="8">
        <f t="shared" ca="1" si="54"/>
        <v>0</v>
      </c>
      <c r="BF196" s="8">
        <f t="shared" ca="1" si="55"/>
        <v>0</v>
      </c>
      <c r="BG196" s="8">
        <f t="shared" ca="1" si="56"/>
        <v>0</v>
      </c>
    </row>
    <row r="197" spans="1:59" x14ac:dyDescent="0.2">
      <c r="A197" s="8" t="s">
        <v>191</v>
      </c>
      <c r="B197" s="8" t="s">
        <v>265</v>
      </c>
      <c r="C197" s="8">
        <v>-47.9</v>
      </c>
      <c r="D197" s="8">
        <v>456904.3</v>
      </c>
      <c r="E197" s="8">
        <v>5979110.2000000002</v>
      </c>
      <c r="F197" s="8">
        <v>0</v>
      </c>
      <c r="G197" s="8">
        <v>-0.6</v>
      </c>
      <c r="H197" s="8">
        <v>0</v>
      </c>
      <c r="I197" s="8">
        <v>2</v>
      </c>
      <c r="J197" s="8">
        <v>0</v>
      </c>
      <c r="K197" s="8">
        <v>-81.7</v>
      </c>
      <c r="L197" s="8">
        <v>33.799999999999997</v>
      </c>
      <c r="M197" s="8">
        <v>2346.0909999999999</v>
      </c>
      <c r="N197" s="8">
        <v>107.1</v>
      </c>
      <c r="O197" s="8">
        <v>8</v>
      </c>
      <c r="P197" s="8">
        <v>11</v>
      </c>
      <c r="Q197" s="8">
        <v>3.0182000000000002</v>
      </c>
      <c r="R197" s="8">
        <v>70</v>
      </c>
      <c r="S197" s="8">
        <v>117</v>
      </c>
      <c r="T197" s="3">
        <v>149</v>
      </c>
      <c r="U197" s="8">
        <v>1711.489</v>
      </c>
      <c r="V197" s="8">
        <v>403.06599999999997</v>
      </c>
      <c r="W197" s="8">
        <v>752.85199999999998</v>
      </c>
      <c r="X197" s="8">
        <v>132.18100000000001</v>
      </c>
      <c r="Y197" s="8">
        <v>4.9400000000000004</v>
      </c>
      <c r="Z197" s="8">
        <v>8.0150000000000006</v>
      </c>
      <c r="AA197" s="8">
        <v>21.7</v>
      </c>
      <c r="AB197" s="8">
        <v>290.5</v>
      </c>
      <c r="AC197" s="8">
        <v>14029</v>
      </c>
      <c r="AD197" s="8">
        <v>4174</v>
      </c>
      <c r="AE197" s="8">
        <v>268</v>
      </c>
      <c r="AF197" s="8" cm="1">
        <f t="array" aca="1" ref="AF197" ca="1">_xlfn.XLOOKUP($A197,    INDIRECT("'" &amp; AF$16 &amp; "'!$A$20:$A$219"),    _xlfn.XLOOKUP(AF$18,INDIRECT("'" &amp; AF$16 &amp; "'!$B$18:$BC$18"), INDIRECT("'" &amp; AF$16 &amp; "'!$B$20:$BC$219"),"XXXXX",0,1),    "XX",    0,    1)</f>
        <v>19</v>
      </c>
      <c r="AG197" s="8" cm="1">
        <f t="array" aca="1" ref="AG197" ca="1">_xlfn.XLOOKUP($A197,    INDIRECT("'" &amp; AG$16 &amp; "'!$A$20:$A$219"),    _xlfn.XLOOKUP(AG$18,INDIRECT("'" &amp; AG$16 &amp; "'!$B$18:$BC$18"), INDIRECT("'" &amp; AG$16 &amp; "'!$B$20:$BC$219"),"XXXXX",0,1),    "XX",    0,    1)</f>
        <v>19</v>
      </c>
      <c r="AH197" s="8" cm="1">
        <f t="array" aca="1" ref="AH197" ca="1">_xlfn.XLOOKUP($A197,    INDIRECT("'" &amp; AH$16 &amp; "'!$A$20:$A$219"),    _xlfn.XLOOKUP(AH$18,INDIRECT("'" &amp; AH$16 &amp; "'!$B$18:$BC$18"), INDIRECT("'" &amp; AH$16 &amp; "'!$B$20:$BC$219"),"XXXXX",0,1),    "XX",    0,    1)</f>
        <v>23</v>
      </c>
      <c r="AI197" s="8" cm="1">
        <f t="array" aca="1" ref="AI197" ca="1">_xlfn.XLOOKUP($A197,    INDIRECT("'" &amp; AI$16 &amp; "'!$A$20:$A$219"),    _xlfn.XLOOKUP(AI$18,INDIRECT("'" &amp; AI$16 &amp; "'!$B$18:$BC$18"), INDIRECT("'" &amp; AI$16 &amp; "'!$B$20:$BC$219"),"XXXXX",0,1),    "XX",    0,    1)</f>
        <v>23</v>
      </c>
      <c r="AJ197" s="8" cm="1">
        <f t="array" aca="1" ref="AJ197" ca="1">_xlfn.XLOOKUP($A197,    INDIRECT("'" &amp; AJ$16 &amp; "'!$A$20:$A$219"),    _xlfn.XLOOKUP(AJ$18,INDIRECT("'" &amp; AJ$16 &amp; "'!$B$18:$BC$18"), INDIRECT("'" &amp; AJ$16 &amp; "'!$B$20:$BC$219"),"XXXXX",0,1),    "XX",    0,    1)</f>
        <v>24.6</v>
      </c>
      <c r="AK197" s="8" cm="1">
        <f t="array" aca="1" ref="AK197" ca="1">_xlfn.XLOOKUP($A197,    INDIRECT("'" &amp; AK$16 &amp; "'!$A$20:$A$219"),    _xlfn.XLOOKUP(AK$18,INDIRECT("'" &amp; AK$16 &amp; "'!$B$18:$BC$18"), INDIRECT("'" &amp; AK$16 &amp; "'!$B$20:$BC$219"),"XXXXX",0,1),    "XX",    0,    1)</f>
        <v>24.6</v>
      </c>
      <c r="AM197" s="16"/>
      <c r="AW197" s="8">
        <v>1</v>
      </c>
      <c r="AX197" s="8">
        <f t="shared" ca="1" si="53"/>
        <v>1.7272727272727273</v>
      </c>
      <c r="AY197" s="8">
        <f t="shared" ca="1" si="57"/>
        <v>1.7272727272727273</v>
      </c>
      <c r="AZ197" s="8">
        <f t="shared" ca="1" si="58"/>
        <v>2.0909090909090908</v>
      </c>
      <c r="BA197" s="8">
        <f t="shared" ca="1" si="59"/>
        <v>2.0909090909090908</v>
      </c>
      <c r="BB197" s="8">
        <f t="shared" ca="1" si="60"/>
        <v>2.2363636363636363</v>
      </c>
      <c r="BC197" s="8">
        <f t="shared" ca="1" si="61"/>
        <v>2.2363636363636363</v>
      </c>
      <c r="BE197" s="8">
        <f t="shared" ca="1" si="54"/>
        <v>0</v>
      </c>
      <c r="BF197" s="8">
        <f t="shared" ca="1" si="55"/>
        <v>0</v>
      </c>
      <c r="BG197" s="8">
        <f t="shared" ca="1" si="56"/>
        <v>0</v>
      </c>
    </row>
    <row r="198" spans="1:59" x14ac:dyDescent="0.2">
      <c r="A198" s="8" t="s">
        <v>20</v>
      </c>
      <c r="B198" s="8" t="s">
        <v>265</v>
      </c>
      <c r="C198" s="8">
        <v>-37.200000000000003</v>
      </c>
      <c r="D198" s="8">
        <v>459587</v>
      </c>
      <c r="E198" s="8">
        <v>5976500</v>
      </c>
      <c r="F198" s="8">
        <v>0</v>
      </c>
      <c r="G198" s="8">
        <v>-0.6</v>
      </c>
      <c r="H198" s="8">
        <v>0</v>
      </c>
      <c r="I198" s="8">
        <v>2</v>
      </c>
      <c r="J198" s="8">
        <v>0</v>
      </c>
      <c r="K198" s="8">
        <v>-67.7</v>
      </c>
      <c r="L198" s="8">
        <v>30.5</v>
      </c>
      <c r="M198" s="8">
        <v>1732.3879999999999</v>
      </c>
      <c r="N198" s="8">
        <v>93.1</v>
      </c>
      <c r="O198" s="8">
        <v>8</v>
      </c>
      <c r="P198" s="8">
        <v>10</v>
      </c>
      <c r="Q198" s="8">
        <v>2.99</v>
      </c>
      <c r="R198" s="8">
        <v>68</v>
      </c>
      <c r="S198" s="8">
        <v>110</v>
      </c>
      <c r="T198" s="3">
        <v>147</v>
      </c>
      <c r="U198" s="8">
        <v>1419.9870000000001</v>
      </c>
      <c r="V198" s="8">
        <v>483.81799999999998</v>
      </c>
      <c r="W198" s="8">
        <v>752.85199999999998</v>
      </c>
      <c r="X198" s="8">
        <v>132.18100000000001</v>
      </c>
      <c r="Y198" s="8">
        <v>4.9400000000000004</v>
      </c>
      <c r="Z198" s="8">
        <v>8.0150000000000006</v>
      </c>
      <c r="AA198" s="8">
        <v>21.7</v>
      </c>
      <c r="AB198" s="8">
        <v>290.5</v>
      </c>
      <c r="AC198" s="8">
        <v>12777</v>
      </c>
      <c r="AD198" s="8">
        <v>3322</v>
      </c>
      <c r="AE198" s="8">
        <v>268</v>
      </c>
      <c r="AF198" s="8" cm="1">
        <f t="array" aca="1" ref="AF198" ca="1">_xlfn.XLOOKUP($A198,    INDIRECT("'" &amp; AF$16 &amp; "'!$A$20:$A$219"),    _xlfn.XLOOKUP(AF$18,INDIRECT("'" &amp; AF$16 &amp; "'!$B$18:$BC$18"), INDIRECT("'" &amp; AF$16 &amp; "'!$B$20:$BC$219"),"XXXXX",0,1),    "XX",    0,    1)</f>
        <v>15</v>
      </c>
      <c r="AG198" s="8" cm="1">
        <f t="array" aca="1" ref="AG198" ca="1">_xlfn.XLOOKUP($A198,    INDIRECT("'" &amp; AG$16 &amp; "'!$A$20:$A$219"),    _xlfn.XLOOKUP(AG$18,INDIRECT("'" &amp; AG$16 &amp; "'!$B$18:$BC$18"), INDIRECT("'" &amp; AG$16 &amp; "'!$B$20:$BC$219"),"XXXXX",0,1),    "XX",    0,    1)</f>
        <v>15</v>
      </c>
      <c r="AH198" s="8" cm="1">
        <f t="array" aca="1" ref="AH198" ca="1">_xlfn.XLOOKUP($A198,    INDIRECT("'" &amp; AH$16 &amp; "'!$A$20:$A$219"),    _xlfn.XLOOKUP(AH$18,INDIRECT("'" &amp; AH$16 &amp; "'!$B$18:$BC$18"), INDIRECT("'" &amp; AH$16 &amp; "'!$B$20:$BC$219"),"XXXXX",0,1),    "XX",    0,    1)</f>
        <v>19</v>
      </c>
      <c r="AI198" s="8" cm="1">
        <f t="array" aca="1" ref="AI198" ca="1">_xlfn.XLOOKUP($A198,    INDIRECT("'" &amp; AI$16 &amp; "'!$A$20:$A$219"),    _xlfn.XLOOKUP(AI$18,INDIRECT("'" &amp; AI$16 &amp; "'!$B$18:$BC$18"), INDIRECT("'" &amp; AI$16 &amp; "'!$B$20:$BC$219"),"XXXXX",0,1),    "XX",    0,    1)</f>
        <v>19</v>
      </c>
      <c r="AJ198" s="8" cm="1">
        <f t="array" aca="1" ref="AJ198" ca="1">_xlfn.XLOOKUP($A198,    INDIRECT("'" &amp; AJ$16 &amp; "'!$A$20:$A$219"),    _xlfn.XLOOKUP(AJ$18,INDIRECT("'" &amp; AJ$16 &amp; "'!$B$18:$BC$18"), INDIRECT("'" &amp; AJ$16 &amp; "'!$B$20:$BC$219"),"XXXXX",0,1),    "XX",    0,    1)</f>
        <v>21</v>
      </c>
      <c r="AK198" s="8" cm="1">
        <f t="array" aca="1" ref="AK198" ca="1">_xlfn.XLOOKUP($A198,    INDIRECT("'" &amp; AK$16 &amp; "'!$A$20:$A$219"),    _xlfn.XLOOKUP(AK$18,INDIRECT("'" &amp; AK$16 &amp; "'!$B$18:$BC$18"), INDIRECT("'" &amp; AK$16 &amp; "'!$B$20:$BC$219"),"XXXXX",0,1),    "XX",    0,    1)</f>
        <v>21</v>
      </c>
      <c r="AM198" s="16"/>
      <c r="AW198" s="8">
        <v>1</v>
      </c>
      <c r="AX198" s="8">
        <f t="shared" ca="1" si="53"/>
        <v>1.5</v>
      </c>
      <c r="AY198" s="8">
        <f t="shared" ca="1" si="57"/>
        <v>1.5</v>
      </c>
      <c r="AZ198" s="8">
        <f t="shared" ca="1" si="58"/>
        <v>1.9</v>
      </c>
      <c r="BA198" s="8">
        <f t="shared" ca="1" si="59"/>
        <v>1.9</v>
      </c>
      <c r="BB198" s="8">
        <f t="shared" ca="1" si="60"/>
        <v>2.1</v>
      </c>
      <c r="BC198" s="8">
        <f t="shared" ca="1" si="61"/>
        <v>2.1</v>
      </c>
      <c r="BE198" s="8">
        <f t="shared" ca="1" si="54"/>
        <v>0</v>
      </c>
      <c r="BF198" s="8">
        <f t="shared" ca="1" si="55"/>
        <v>0</v>
      </c>
      <c r="BG198" s="8">
        <f t="shared" ca="1" si="56"/>
        <v>0</v>
      </c>
    </row>
    <row r="199" spans="1:59" x14ac:dyDescent="0.2">
      <c r="A199" s="8" t="s">
        <v>113</v>
      </c>
      <c r="B199" s="8" t="s">
        <v>265</v>
      </c>
      <c r="C199" s="8">
        <v>-36.200000000000003</v>
      </c>
      <c r="D199" s="8">
        <v>462643</v>
      </c>
      <c r="E199" s="8">
        <v>5974930</v>
      </c>
      <c r="F199" s="8">
        <v>0</v>
      </c>
      <c r="G199" s="8">
        <v>-0.6</v>
      </c>
      <c r="H199" s="8">
        <v>0</v>
      </c>
      <c r="I199" s="8">
        <v>2</v>
      </c>
      <c r="J199" s="8">
        <v>0</v>
      </c>
      <c r="K199" s="8">
        <v>-62</v>
      </c>
      <c r="L199" s="8">
        <v>25.8</v>
      </c>
      <c r="M199" s="8">
        <v>1589.5329999999999</v>
      </c>
      <c r="N199" s="8">
        <v>87.4</v>
      </c>
      <c r="O199" s="8">
        <v>8</v>
      </c>
      <c r="P199" s="8">
        <v>10</v>
      </c>
      <c r="Q199" s="8">
        <v>2.52</v>
      </c>
      <c r="R199" s="8">
        <v>68</v>
      </c>
      <c r="S199" s="8">
        <v>110</v>
      </c>
      <c r="T199" s="3">
        <v>147</v>
      </c>
      <c r="U199" s="8">
        <v>1295.492</v>
      </c>
      <c r="V199" s="8">
        <v>484.33300000000003</v>
      </c>
      <c r="W199" s="8">
        <v>752.85199999999998</v>
      </c>
      <c r="X199" s="8">
        <v>132.18100000000001</v>
      </c>
      <c r="Y199" s="8">
        <v>4.9400000000000004</v>
      </c>
      <c r="Z199" s="8">
        <v>8.0150000000000006</v>
      </c>
      <c r="AA199" s="8">
        <v>21.7</v>
      </c>
      <c r="AB199" s="8">
        <v>290.5</v>
      </c>
      <c r="AC199" s="8">
        <v>12423</v>
      </c>
      <c r="AD199" s="8">
        <v>3261</v>
      </c>
      <c r="AE199" s="8">
        <v>268</v>
      </c>
      <c r="AF199" s="8" cm="1">
        <f t="array" aca="1" ref="AF199" ca="1">_xlfn.XLOOKUP($A199,    INDIRECT("'" &amp; AF$16 &amp; "'!$A$20:$A$219"),    _xlfn.XLOOKUP(AF$18,INDIRECT("'" &amp; AF$16 &amp; "'!$B$18:$BC$18"), INDIRECT("'" &amp; AF$16 &amp; "'!$B$20:$BC$219"),"XXXXX",0,1),    "XX",    0,    1)</f>
        <v>15</v>
      </c>
      <c r="AG199" s="8" cm="1">
        <f t="array" aca="1" ref="AG199" ca="1">_xlfn.XLOOKUP($A199,    INDIRECT("'" &amp; AG$16 &amp; "'!$A$20:$A$219"),    _xlfn.XLOOKUP(AG$18,INDIRECT("'" &amp; AG$16 &amp; "'!$B$18:$BC$18"), INDIRECT("'" &amp; AG$16 &amp; "'!$B$20:$BC$219"),"XXXXX",0,1),    "XX",    0,    1)</f>
        <v>15</v>
      </c>
      <c r="AH199" s="8" cm="1">
        <f t="array" aca="1" ref="AH199" ca="1">_xlfn.XLOOKUP($A199,    INDIRECT("'" &amp; AH$16 &amp; "'!$A$20:$A$219"),    _xlfn.XLOOKUP(AH$18,INDIRECT("'" &amp; AH$16 &amp; "'!$B$18:$BC$18"), INDIRECT("'" &amp; AH$16 &amp; "'!$B$20:$BC$219"),"XXXXX",0,1),    "XX",    0,    1)</f>
        <v>15</v>
      </c>
      <c r="AI199" s="8" cm="1">
        <f t="array" aca="1" ref="AI199" ca="1">_xlfn.XLOOKUP($A199,    INDIRECT("'" &amp; AI$16 &amp; "'!$A$20:$A$219"),    _xlfn.XLOOKUP(AI$18,INDIRECT("'" &amp; AI$16 &amp; "'!$B$18:$BC$18"), INDIRECT("'" &amp; AI$16 &amp; "'!$B$20:$BC$219"),"XXXXX",0,1),    "XX",    0,    1)</f>
        <v>15</v>
      </c>
      <c r="AJ199" s="8" cm="1">
        <f t="array" aca="1" ref="AJ199" ca="1">_xlfn.XLOOKUP($A199,    INDIRECT("'" &amp; AJ$16 &amp; "'!$A$20:$A$219"),    _xlfn.XLOOKUP(AJ$18,INDIRECT("'" &amp; AJ$16 &amp; "'!$B$18:$BC$18"), INDIRECT("'" &amp; AJ$16 &amp; "'!$B$20:$BC$219"),"XXXXX",0,1),    "XX",    0,    1)</f>
        <v>17</v>
      </c>
      <c r="AK199" s="8" cm="1">
        <f t="array" aca="1" ref="AK199" ca="1">_xlfn.XLOOKUP($A199,    INDIRECT("'" &amp; AK$16 &amp; "'!$A$20:$A$219"),    _xlfn.XLOOKUP(AK$18,INDIRECT("'" &amp; AK$16 &amp; "'!$B$18:$BC$18"), INDIRECT("'" &amp; AK$16 &amp; "'!$B$20:$BC$219"),"XXXXX",0,1),    "XX",    0,    1)</f>
        <v>17</v>
      </c>
      <c r="AM199" s="16"/>
      <c r="AW199" s="8">
        <v>1</v>
      </c>
      <c r="AX199" s="8">
        <f t="shared" ca="1" si="53"/>
        <v>1.5</v>
      </c>
      <c r="AY199" s="8">
        <f t="shared" ca="1" si="57"/>
        <v>1.5</v>
      </c>
      <c r="AZ199" s="8">
        <f t="shared" ca="1" si="58"/>
        <v>1.5</v>
      </c>
      <c r="BA199" s="8">
        <f t="shared" ca="1" si="59"/>
        <v>1.5</v>
      </c>
      <c r="BB199" s="8">
        <f t="shared" ca="1" si="60"/>
        <v>1.7</v>
      </c>
      <c r="BC199" s="8">
        <f t="shared" ca="1" si="61"/>
        <v>1.7</v>
      </c>
      <c r="BE199" s="8">
        <f t="shared" ca="1" si="54"/>
        <v>0</v>
      </c>
      <c r="BF199" s="8">
        <f t="shared" ca="1" si="55"/>
        <v>0</v>
      </c>
      <c r="BG199" s="8">
        <f t="shared" ca="1" si="56"/>
        <v>0</v>
      </c>
    </row>
    <row r="200" spans="1:59" x14ac:dyDescent="0.2">
      <c r="A200" s="8" t="s">
        <v>60</v>
      </c>
      <c r="B200" s="8" t="s">
        <v>265</v>
      </c>
      <c r="C200" s="8">
        <v>-37.200000000000003</v>
      </c>
      <c r="D200" s="8">
        <v>465366</v>
      </c>
      <c r="E200" s="8">
        <v>5973962</v>
      </c>
      <c r="F200" s="8">
        <v>0</v>
      </c>
      <c r="G200" s="8">
        <v>-0.7</v>
      </c>
      <c r="H200" s="8">
        <v>0</v>
      </c>
      <c r="I200" s="8">
        <v>2</v>
      </c>
      <c r="J200" s="8">
        <v>0</v>
      </c>
      <c r="K200" s="8">
        <v>-64.8</v>
      </c>
      <c r="L200" s="8">
        <v>27.6</v>
      </c>
      <c r="M200" s="8">
        <v>1643.0840000000001</v>
      </c>
      <c r="N200" s="8">
        <v>90.2</v>
      </c>
      <c r="O200" s="8">
        <v>8</v>
      </c>
      <c r="P200" s="8">
        <v>10</v>
      </c>
      <c r="Q200" s="8">
        <v>2.69</v>
      </c>
      <c r="R200" s="8">
        <v>68</v>
      </c>
      <c r="S200" s="8">
        <v>110</v>
      </c>
      <c r="T200" s="3">
        <v>147</v>
      </c>
      <c r="U200" s="8">
        <v>1357.8340000000001</v>
      </c>
      <c r="V200" s="8">
        <v>458.73500000000001</v>
      </c>
      <c r="W200" s="8">
        <v>752.85199999999998</v>
      </c>
      <c r="X200" s="8">
        <v>132.18100000000001</v>
      </c>
      <c r="Y200" s="8">
        <v>4.9400000000000004</v>
      </c>
      <c r="Z200" s="8">
        <v>8.0150000000000006</v>
      </c>
      <c r="AA200" s="8">
        <v>21.7</v>
      </c>
      <c r="AB200" s="8">
        <v>290.5</v>
      </c>
      <c r="AC200" s="8">
        <v>12598</v>
      </c>
      <c r="AD200" s="8">
        <v>3323</v>
      </c>
      <c r="AE200" s="8">
        <v>268</v>
      </c>
      <c r="AF200" s="8" cm="1">
        <f t="array" aca="1" ref="AF200" ca="1">_xlfn.XLOOKUP($A200,    INDIRECT("'" &amp; AF$16 &amp; "'!$A$20:$A$219"),    _xlfn.XLOOKUP(AF$18,INDIRECT("'" &amp; AF$16 &amp; "'!$B$18:$BC$18"), INDIRECT("'" &amp; AF$16 &amp; "'!$B$20:$BC$219"),"XXXXX",0,1),    "XX",    0,    1)</f>
        <v>15</v>
      </c>
      <c r="AG200" s="8" cm="1">
        <f t="array" aca="1" ref="AG200" ca="1">_xlfn.XLOOKUP($A200,    INDIRECT("'" &amp; AG$16 &amp; "'!$A$20:$A$219"),    _xlfn.XLOOKUP(AG$18,INDIRECT("'" &amp; AG$16 &amp; "'!$B$18:$BC$18"), INDIRECT("'" &amp; AG$16 &amp; "'!$B$20:$BC$219"),"XXXXX",0,1),    "XX",    0,    1)</f>
        <v>15</v>
      </c>
      <c r="AH200" s="8" cm="1">
        <f t="array" aca="1" ref="AH200" ca="1">_xlfn.XLOOKUP($A200,    INDIRECT("'" &amp; AH$16 &amp; "'!$A$20:$A$219"),    _xlfn.XLOOKUP(AH$18,INDIRECT("'" &amp; AH$16 &amp; "'!$B$18:$BC$18"), INDIRECT("'" &amp; AH$16 &amp; "'!$B$20:$BC$219"),"XXXXX",0,1),    "XX",    0,    1)</f>
        <v>17</v>
      </c>
      <c r="AI200" s="8" cm="1">
        <f t="array" aca="1" ref="AI200" ca="1">_xlfn.XLOOKUP($A200,    INDIRECT("'" &amp; AI$16 &amp; "'!$A$20:$A$219"),    _xlfn.XLOOKUP(AI$18,INDIRECT("'" &amp; AI$16 &amp; "'!$B$18:$BC$18"), INDIRECT("'" &amp; AI$16 &amp; "'!$B$20:$BC$219"),"XXXXX",0,1),    "XX",    0,    1)</f>
        <v>17</v>
      </c>
      <c r="AJ200" s="8" cm="1">
        <f t="array" aca="1" ref="AJ200" ca="1">_xlfn.XLOOKUP($A200,    INDIRECT("'" &amp; AJ$16 &amp; "'!$A$20:$A$219"),    _xlfn.XLOOKUP(AJ$18,INDIRECT("'" &amp; AJ$16 &amp; "'!$B$18:$BC$18"), INDIRECT("'" &amp; AJ$16 &amp; "'!$B$20:$BC$219"),"XXXXX",0,1),    "XX",    0,    1)</f>
        <v>19</v>
      </c>
      <c r="AK200" s="8" cm="1">
        <f t="array" aca="1" ref="AK200" ca="1">_xlfn.XLOOKUP($A200,    INDIRECT("'" &amp; AK$16 &amp; "'!$A$20:$A$219"),    _xlfn.XLOOKUP(AK$18,INDIRECT("'" &amp; AK$16 &amp; "'!$B$18:$BC$18"), INDIRECT("'" &amp; AK$16 &amp; "'!$B$20:$BC$219"),"XXXXX",0,1),    "XX",    0,    1)</f>
        <v>19</v>
      </c>
      <c r="AM200" s="16"/>
      <c r="AW200" s="8">
        <v>1</v>
      </c>
      <c r="AX200" s="8">
        <f t="shared" ca="1" si="53"/>
        <v>1.5</v>
      </c>
      <c r="AY200" s="8">
        <f t="shared" ca="1" si="57"/>
        <v>1.5</v>
      </c>
      <c r="AZ200" s="8">
        <f t="shared" ca="1" si="58"/>
        <v>1.7</v>
      </c>
      <c r="BA200" s="8">
        <f t="shared" ca="1" si="59"/>
        <v>1.7</v>
      </c>
      <c r="BB200" s="8">
        <f t="shared" ca="1" si="60"/>
        <v>1.9</v>
      </c>
      <c r="BC200" s="8">
        <f t="shared" ca="1" si="61"/>
        <v>1.9</v>
      </c>
      <c r="BE200" s="8">
        <f t="shared" ca="1" si="54"/>
        <v>0</v>
      </c>
      <c r="BF200" s="8">
        <f t="shared" ca="1" si="55"/>
        <v>0</v>
      </c>
      <c r="BG200" s="8">
        <f t="shared" ca="1" si="56"/>
        <v>0</v>
      </c>
    </row>
    <row r="201" spans="1:59" x14ac:dyDescent="0.2">
      <c r="A201" s="8" t="s">
        <v>122</v>
      </c>
      <c r="B201" s="8" t="s">
        <v>265</v>
      </c>
      <c r="C201" s="8">
        <v>-36.299999999999997</v>
      </c>
      <c r="D201" s="8">
        <v>467767.1</v>
      </c>
      <c r="E201" s="8">
        <v>5973480</v>
      </c>
      <c r="F201" s="8">
        <v>0</v>
      </c>
      <c r="G201" s="8">
        <v>-0.7</v>
      </c>
      <c r="H201" s="8">
        <v>0</v>
      </c>
      <c r="I201" s="8">
        <v>2</v>
      </c>
      <c r="J201" s="8">
        <v>0</v>
      </c>
      <c r="K201" s="8">
        <v>-60.9</v>
      </c>
      <c r="L201" s="8">
        <v>24.6</v>
      </c>
      <c r="M201" s="8">
        <v>1561.7639999999999</v>
      </c>
      <c r="N201" s="8">
        <v>86.3</v>
      </c>
      <c r="O201" s="8">
        <v>8</v>
      </c>
      <c r="P201" s="8">
        <v>10</v>
      </c>
      <c r="Q201" s="8">
        <v>2.39</v>
      </c>
      <c r="R201" s="8">
        <v>68</v>
      </c>
      <c r="S201" s="8">
        <v>110</v>
      </c>
      <c r="T201" s="3">
        <v>147</v>
      </c>
      <c r="U201" s="8">
        <v>1295.5429999999999</v>
      </c>
      <c r="V201" s="8">
        <v>546.16</v>
      </c>
      <c r="W201" s="8">
        <v>752.85199999999998</v>
      </c>
      <c r="X201" s="8">
        <v>132.18100000000001</v>
      </c>
      <c r="Y201" s="8">
        <v>4.9400000000000004</v>
      </c>
      <c r="Z201" s="8">
        <v>8.0150000000000006</v>
      </c>
      <c r="AA201" s="8">
        <v>21.7</v>
      </c>
      <c r="AB201" s="8">
        <v>290.5</v>
      </c>
      <c r="AC201" s="8">
        <v>12355</v>
      </c>
      <c r="AD201" s="8">
        <v>3267</v>
      </c>
      <c r="AE201" s="8">
        <v>268</v>
      </c>
      <c r="AF201" s="8" cm="1">
        <f t="array" aca="1" ref="AF201" ca="1">_xlfn.XLOOKUP($A201,    INDIRECT("'" &amp; AF$16 &amp; "'!$A$20:$A$219"),    _xlfn.XLOOKUP(AF$18,INDIRECT("'" &amp; AF$16 &amp; "'!$B$18:$BC$18"), INDIRECT("'" &amp; AF$16 &amp; "'!$B$20:$BC$219"),"XXXXX",0,1),    "XX",    0,    1)</f>
        <v>15</v>
      </c>
      <c r="AG201" s="8" cm="1">
        <f t="array" aca="1" ref="AG201" ca="1">_xlfn.XLOOKUP($A201,    INDIRECT("'" &amp; AG$16 &amp; "'!$A$20:$A$219"),    _xlfn.XLOOKUP(AG$18,INDIRECT("'" &amp; AG$16 &amp; "'!$B$18:$BC$18"), INDIRECT("'" &amp; AG$16 &amp; "'!$B$20:$BC$219"),"XXXXX",0,1),    "XX",    0,    1)</f>
        <v>15</v>
      </c>
      <c r="AH201" s="8" cm="1">
        <f t="array" aca="1" ref="AH201" ca="1">_xlfn.XLOOKUP($A201,    INDIRECT("'" &amp; AH$16 &amp; "'!$A$20:$A$219"),    _xlfn.XLOOKUP(AH$18,INDIRECT("'" &amp; AH$16 &amp; "'!$B$18:$BC$18"), INDIRECT("'" &amp; AH$16 &amp; "'!$B$20:$BC$219"),"XXXXX",0,1),    "XX",    0,    1)</f>
        <v>15</v>
      </c>
      <c r="AI201" s="8" cm="1">
        <f t="array" aca="1" ref="AI201" ca="1">_xlfn.XLOOKUP($A201,    INDIRECT("'" &amp; AI$16 &amp; "'!$A$20:$A$219"),    _xlfn.XLOOKUP(AI$18,INDIRECT("'" &amp; AI$16 &amp; "'!$B$18:$BC$18"), INDIRECT("'" &amp; AI$16 &amp; "'!$B$20:$BC$219"),"XXXXX",0,1),    "XX",    0,    1)</f>
        <v>15</v>
      </c>
      <c r="AJ201" s="8" cm="1">
        <f t="array" aca="1" ref="AJ201" ca="1">_xlfn.XLOOKUP($A201,    INDIRECT("'" &amp; AJ$16 &amp; "'!$A$20:$A$219"),    _xlfn.XLOOKUP(AJ$18,INDIRECT("'" &amp; AJ$16 &amp; "'!$B$18:$BC$18"), INDIRECT("'" &amp; AJ$16 &amp; "'!$B$20:$BC$219"),"XXXXX",0,1),    "XX",    0,    1)</f>
        <v>15</v>
      </c>
      <c r="AK201" s="8" cm="1">
        <f t="array" aca="1" ref="AK201" ca="1">_xlfn.XLOOKUP($A201,    INDIRECT("'" &amp; AK$16 &amp; "'!$A$20:$A$219"),    _xlfn.XLOOKUP(AK$18,INDIRECT("'" &amp; AK$16 &amp; "'!$B$18:$BC$18"), INDIRECT("'" &amp; AK$16 &amp; "'!$B$20:$BC$219"),"XXXXX",0,1),    "XX",    0,    1)</f>
        <v>15</v>
      </c>
      <c r="AM201" s="16"/>
      <c r="AW201" s="8">
        <v>1</v>
      </c>
      <c r="AX201" s="8">
        <f t="shared" ca="1" si="53"/>
        <v>1.5</v>
      </c>
      <c r="AY201" s="8">
        <f t="shared" ca="1" si="57"/>
        <v>1.5</v>
      </c>
      <c r="AZ201" s="8">
        <f t="shared" ca="1" si="58"/>
        <v>1.5</v>
      </c>
      <c r="BA201" s="8">
        <f t="shared" ca="1" si="59"/>
        <v>1.5</v>
      </c>
      <c r="BB201" s="8">
        <f t="shared" ca="1" si="60"/>
        <v>1.5</v>
      </c>
      <c r="BC201" s="8">
        <f t="shared" ca="1" si="61"/>
        <v>1.5</v>
      </c>
      <c r="BE201" s="8">
        <f t="shared" ca="1" si="54"/>
        <v>0</v>
      </c>
      <c r="BF201" s="8">
        <f t="shared" ca="1" si="55"/>
        <v>0</v>
      </c>
      <c r="BG201" s="8">
        <f t="shared" ca="1" si="56"/>
        <v>0</v>
      </c>
    </row>
    <row r="202" spans="1:59" x14ac:dyDescent="0.2">
      <c r="A202" s="8" t="s">
        <v>180</v>
      </c>
      <c r="B202" s="8" t="s">
        <v>265</v>
      </c>
      <c r="C202" s="8">
        <v>-39.6</v>
      </c>
      <c r="D202" s="8">
        <v>467708.3</v>
      </c>
      <c r="E202" s="8">
        <v>5976896.9000000004</v>
      </c>
      <c r="F202" s="8">
        <v>0</v>
      </c>
      <c r="G202" s="8">
        <v>-0.6</v>
      </c>
      <c r="H202" s="8">
        <v>0</v>
      </c>
      <c r="I202" s="8">
        <v>2</v>
      </c>
      <c r="J202" s="8">
        <v>0</v>
      </c>
      <c r="K202" s="8">
        <v>-68.099999999999994</v>
      </c>
      <c r="L202" s="8">
        <v>28.5</v>
      </c>
      <c r="M202" s="8">
        <v>1756.6869999999999</v>
      </c>
      <c r="N202" s="8">
        <v>93.5</v>
      </c>
      <c r="O202" s="8">
        <v>8</v>
      </c>
      <c r="P202" s="8">
        <v>10.5</v>
      </c>
      <c r="Q202" s="8">
        <v>2.6570999999999998</v>
      </c>
      <c r="R202" s="8">
        <v>72</v>
      </c>
      <c r="S202" s="8">
        <v>112</v>
      </c>
      <c r="T202" s="3">
        <v>146</v>
      </c>
      <c r="U202" s="8">
        <v>1406.133</v>
      </c>
      <c r="V202" s="8">
        <v>486.65800000000002</v>
      </c>
      <c r="W202" s="8">
        <v>752.85199999999998</v>
      </c>
      <c r="X202" s="8">
        <v>132.18100000000001</v>
      </c>
      <c r="Y202" s="8">
        <v>4.9400000000000004</v>
      </c>
      <c r="Z202" s="8">
        <v>8.0150000000000006</v>
      </c>
      <c r="AA202" s="8">
        <v>21.7</v>
      </c>
      <c r="AB202" s="8">
        <v>290.5</v>
      </c>
      <c r="AC202" s="8">
        <v>12957</v>
      </c>
      <c r="AD202" s="8">
        <v>3545</v>
      </c>
      <c r="AE202" s="8">
        <v>268</v>
      </c>
      <c r="AF202" s="8" cm="1">
        <f t="array" aca="1" ref="AF202" ca="1">_xlfn.XLOOKUP($A202,    INDIRECT("'" &amp; AF$16 &amp; "'!$A$20:$A$219"),    _xlfn.XLOOKUP(AF$18,INDIRECT("'" &amp; AF$16 &amp; "'!$B$18:$BC$18"), INDIRECT("'" &amp; AF$16 &amp; "'!$B$20:$BC$219"),"XXXXX",0,1),    "XX",    0,    1)</f>
        <v>15</v>
      </c>
      <c r="AG202" s="8" cm="1">
        <f t="array" aca="1" ref="AG202" ca="1">_xlfn.XLOOKUP($A202,    INDIRECT("'" &amp; AG$16 &amp; "'!$A$20:$A$219"),    _xlfn.XLOOKUP(AG$18,INDIRECT("'" &amp; AG$16 &amp; "'!$B$18:$BC$18"), INDIRECT("'" &amp; AG$16 &amp; "'!$B$20:$BC$219"),"XXXXX",0,1),    "XX",    0,    1)</f>
        <v>15</v>
      </c>
      <c r="AH202" s="8" cm="1">
        <f t="array" aca="1" ref="AH202" ca="1">_xlfn.XLOOKUP($A202,    INDIRECT("'" &amp; AH$16 &amp; "'!$A$20:$A$219"),    _xlfn.XLOOKUP(AH$18,INDIRECT("'" &amp; AH$16 &amp; "'!$B$18:$BC$18"), INDIRECT("'" &amp; AH$16 &amp; "'!$B$20:$BC$219"),"XXXXX",0,1),    "XX",    0,    1)</f>
        <v>17</v>
      </c>
      <c r="AI202" s="8" cm="1">
        <f t="array" aca="1" ref="AI202" ca="1">_xlfn.XLOOKUP($A202,    INDIRECT("'" &amp; AI$16 &amp; "'!$A$20:$A$219"),    _xlfn.XLOOKUP(AI$18,INDIRECT("'" &amp; AI$16 &amp; "'!$B$18:$BC$18"), INDIRECT("'" &amp; AI$16 &amp; "'!$B$20:$BC$219"),"XXXXX",0,1),    "XX",    0,    1)</f>
        <v>17</v>
      </c>
      <c r="AJ202" s="8" cm="1">
        <f t="array" aca="1" ref="AJ202" ca="1">_xlfn.XLOOKUP($A202,    INDIRECT("'" &amp; AJ$16 &amp; "'!$A$20:$A$219"),    _xlfn.XLOOKUP(AJ$18,INDIRECT("'" &amp; AJ$16 &amp; "'!$B$18:$BC$18"), INDIRECT("'" &amp; AJ$16 &amp; "'!$B$20:$BC$219"),"XXXXX",0,1),    "XX",    0,    1)</f>
        <v>19</v>
      </c>
      <c r="AK202" s="8" cm="1">
        <f t="array" aca="1" ref="AK202" ca="1">_xlfn.XLOOKUP($A202,    INDIRECT("'" &amp; AK$16 &amp; "'!$A$20:$A$219"),    _xlfn.XLOOKUP(AK$18,INDIRECT("'" &amp; AK$16 &amp; "'!$B$18:$BC$18"), INDIRECT("'" &amp; AK$16 &amp; "'!$B$20:$BC$219"),"XXXXX",0,1),    "XX",    0,    1)</f>
        <v>19</v>
      </c>
      <c r="AM202" s="16"/>
      <c r="AW202" s="8">
        <v>1</v>
      </c>
      <c r="AX202" s="8">
        <f t="shared" ca="1" si="53"/>
        <v>1.4285714285714286</v>
      </c>
      <c r="AY202" s="8">
        <f t="shared" ca="1" si="57"/>
        <v>1.4285714285714286</v>
      </c>
      <c r="AZ202" s="8">
        <f t="shared" ca="1" si="58"/>
        <v>1.6190476190476191</v>
      </c>
      <c r="BA202" s="8">
        <f t="shared" ca="1" si="59"/>
        <v>1.6190476190476191</v>
      </c>
      <c r="BB202" s="8">
        <f t="shared" ca="1" si="60"/>
        <v>1.8095238095238095</v>
      </c>
      <c r="BC202" s="8">
        <f t="shared" ca="1" si="61"/>
        <v>1.8095238095238095</v>
      </c>
      <c r="BE202" s="8">
        <f t="shared" ca="1" si="54"/>
        <v>0</v>
      </c>
      <c r="BF202" s="8">
        <f t="shared" ca="1" si="55"/>
        <v>0</v>
      </c>
      <c r="BG202" s="8">
        <f t="shared" ca="1" si="56"/>
        <v>0</v>
      </c>
    </row>
    <row r="203" spans="1:59" x14ac:dyDescent="0.2">
      <c r="A203" s="8" t="s">
        <v>35</v>
      </c>
      <c r="B203" s="8" t="s">
        <v>271</v>
      </c>
      <c r="C203" s="8">
        <v>-38.9</v>
      </c>
      <c r="D203" s="8">
        <v>469144</v>
      </c>
      <c r="E203" s="8">
        <v>5976260</v>
      </c>
      <c r="F203" s="8">
        <v>0</v>
      </c>
      <c r="G203" s="8">
        <v>-0.7</v>
      </c>
      <c r="H203" s="8">
        <v>0</v>
      </c>
      <c r="I203" s="8">
        <v>2</v>
      </c>
      <c r="J203" s="8">
        <v>0</v>
      </c>
      <c r="K203" s="8">
        <v>-65.8</v>
      </c>
      <c r="L203" s="8">
        <v>26.9</v>
      </c>
      <c r="M203" s="8">
        <v>1696.9</v>
      </c>
      <c r="N203" s="8">
        <v>91.2</v>
      </c>
      <c r="O203" s="8">
        <v>8</v>
      </c>
      <c r="P203" s="8">
        <v>10</v>
      </c>
      <c r="Q203" s="8">
        <v>2.62</v>
      </c>
      <c r="R203" s="8">
        <v>68</v>
      </c>
      <c r="S203" s="8">
        <v>110</v>
      </c>
      <c r="T203" s="3">
        <v>147</v>
      </c>
      <c r="U203" s="8">
        <v>1419.962</v>
      </c>
      <c r="V203" s="8">
        <v>490.07600000000002</v>
      </c>
      <c r="W203" s="8">
        <v>752.85199999999998</v>
      </c>
      <c r="X203" s="8">
        <v>132.18100000000001</v>
      </c>
      <c r="Y203" s="8">
        <v>4.9400000000000004</v>
      </c>
      <c r="Z203" s="8">
        <v>8.0150000000000006</v>
      </c>
      <c r="AA203" s="8">
        <v>21.7</v>
      </c>
      <c r="AB203" s="8">
        <v>290.5</v>
      </c>
      <c r="AC203" s="8">
        <v>12659</v>
      </c>
      <c r="AD203" s="8">
        <v>3428</v>
      </c>
      <c r="AE203" s="8">
        <v>268</v>
      </c>
      <c r="AF203" s="8" cm="1">
        <f t="array" aca="1" ref="AF203" ca="1">_xlfn.XLOOKUP($A203,    INDIRECT("'" &amp; AF$16 &amp; "'!$A$20:$A$219"),    _xlfn.XLOOKUP(AF$18,INDIRECT("'" &amp; AF$16 &amp; "'!$B$18:$BC$18"), INDIRECT("'" &amp; AF$16 &amp; "'!$B$20:$BC$219"),"XXXXX",0,1),    "XX",    0,    1)</f>
        <v>15</v>
      </c>
      <c r="AG203" s="8" cm="1">
        <f t="array" aca="1" ref="AG203" ca="1">_xlfn.XLOOKUP($A203,    INDIRECT("'" &amp; AG$16 &amp; "'!$A$20:$A$219"),    _xlfn.XLOOKUP(AG$18,INDIRECT("'" &amp; AG$16 &amp; "'!$B$18:$BC$18"), INDIRECT("'" &amp; AG$16 &amp; "'!$B$20:$BC$219"),"XXXXX",0,1),    "XX",    0,    1)</f>
        <v>15</v>
      </c>
      <c r="AH203" s="8" cm="1">
        <f t="array" aca="1" ref="AH203" ca="1">_xlfn.XLOOKUP($A203,    INDIRECT("'" &amp; AH$16 &amp; "'!$A$20:$A$219"),    _xlfn.XLOOKUP(AH$18,INDIRECT("'" &amp; AH$16 &amp; "'!$B$18:$BC$18"), INDIRECT("'" &amp; AH$16 &amp; "'!$B$20:$BC$219"),"XXXXX",0,1),    "XX",    0,    1)</f>
        <v>17</v>
      </c>
      <c r="AI203" s="8" cm="1">
        <f t="array" aca="1" ref="AI203" ca="1">_xlfn.XLOOKUP($A203,    INDIRECT("'" &amp; AI$16 &amp; "'!$A$20:$A$219"),    _xlfn.XLOOKUP(AI$18,INDIRECT("'" &amp; AI$16 &amp; "'!$B$18:$BC$18"), INDIRECT("'" &amp; AI$16 &amp; "'!$B$20:$BC$219"),"XXXXX",0,1),    "XX",    0,    1)</f>
        <v>17</v>
      </c>
      <c r="AJ203" s="8" cm="1">
        <f t="array" aca="1" ref="AJ203" ca="1">_xlfn.XLOOKUP($A203,    INDIRECT("'" &amp; AJ$16 &amp; "'!$A$20:$A$219"),    _xlfn.XLOOKUP(AJ$18,INDIRECT("'" &amp; AJ$16 &amp; "'!$B$18:$BC$18"), INDIRECT("'" &amp; AJ$16 &amp; "'!$B$20:$BC$219"),"XXXXX",0,1),    "XX",    0,    1)</f>
        <v>17</v>
      </c>
      <c r="AK203" s="8" cm="1">
        <f t="array" aca="1" ref="AK203" ca="1">_xlfn.XLOOKUP($A203,    INDIRECT("'" &amp; AK$16 &amp; "'!$A$20:$A$219"),    _xlfn.XLOOKUP(AK$18,INDIRECT("'" &amp; AK$16 &amp; "'!$B$18:$BC$18"), INDIRECT("'" &amp; AK$16 &amp; "'!$B$20:$BC$219"),"XXXXX",0,1),    "XX",    0,    1)</f>
        <v>17</v>
      </c>
      <c r="AM203" s="16"/>
      <c r="AW203" s="8">
        <v>1</v>
      </c>
      <c r="AX203" s="8">
        <f t="shared" ca="1" si="53"/>
        <v>1.5</v>
      </c>
      <c r="AY203" s="8">
        <f t="shared" ca="1" si="57"/>
        <v>1.5</v>
      </c>
      <c r="AZ203" s="8">
        <f t="shared" ca="1" si="58"/>
        <v>1.7</v>
      </c>
      <c r="BA203" s="8">
        <f t="shared" ca="1" si="59"/>
        <v>1.7</v>
      </c>
      <c r="BB203" s="8">
        <f t="shared" ca="1" si="60"/>
        <v>1.7</v>
      </c>
      <c r="BC203" s="8">
        <f t="shared" ca="1" si="61"/>
        <v>1.7</v>
      </c>
      <c r="BE203" s="8">
        <f t="shared" ca="1" si="54"/>
        <v>0</v>
      </c>
      <c r="BF203" s="8">
        <f t="shared" ca="1" si="55"/>
        <v>0</v>
      </c>
      <c r="BG203" s="8">
        <f t="shared" ca="1" si="56"/>
        <v>0</v>
      </c>
    </row>
    <row r="204" spans="1:59" x14ac:dyDescent="0.2">
      <c r="A204" s="8" t="s">
        <v>169</v>
      </c>
      <c r="B204" s="8" t="s">
        <v>265</v>
      </c>
      <c r="C204" s="8">
        <v>-43</v>
      </c>
      <c r="D204" s="8">
        <v>448850</v>
      </c>
      <c r="E204" s="8">
        <v>5980700</v>
      </c>
      <c r="F204" s="8">
        <v>0</v>
      </c>
      <c r="G204" s="8">
        <v>-0.6</v>
      </c>
      <c r="H204" s="8">
        <v>0</v>
      </c>
      <c r="I204" s="8">
        <v>2</v>
      </c>
      <c r="J204" s="8">
        <v>0</v>
      </c>
      <c r="K204" s="8">
        <v>-71.7</v>
      </c>
      <c r="L204" s="8">
        <v>28.7</v>
      </c>
      <c r="M204" s="8">
        <v>1869.6769999999999</v>
      </c>
      <c r="N204" s="8">
        <v>97.1</v>
      </c>
      <c r="O204" s="8">
        <v>8</v>
      </c>
      <c r="P204" s="8">
        <v>10.5</v>
      </c>
      <c r="Q204" s="8">
        <v>2.6762000000000001</v>
      </c>
      <c r="R204" s="8">
        <v>72</v>
      </c>
      <c r="S204" s="8">
        <v>112</v>
      </c>
      <c r="T204" s="3">
        <v>146</v>
      </c>
      <c r="U204" s="8">
        <v>1471.3150000000001</v>
      </c>
      <c r="V204" s="8">
        <v>492.42</v>
      </c>
      <c r="W204" s="8">
        <v>752.85199999999998</v>
      </c>
      <c r="X204" s="8">
        <v>132.18100000000001</v>
      </c>
      <c r="Y204" s="8">
        <v>4.9400000000000004</v>
      </c>
      <c r="Z204" s="8">
        <v>8.0150000000000006</v>
      </c>
      <c r="AA204" s="8">
        <v>21.7</v>
      </c>
      <c r="AB204" s="8">
        <v>290.5</v>
      </c>
      <c r="AC204" s="8">
        <v>13191</v>
      </c>
      <c r="AD204" s="8">
        <v>3766</v>
      </c>
      <c r="AE204" s="8">
        <v>268</v>
      </c>
      <c r="AF204" s="8" cm="1">
        <f t="array" aca="1" ref="AF204" ca="1">_xlfn.XLOOKUP($A204,    INDIRECT("'" &amp; AF$16 &amp; "'!$A$20:$A$219"),    _xlfn.XLOOKUP(AF$18,INDIRECT("'" &amp; AF$16 &amp; "'!$B$18:$BC$18"), INDIRECT("'" &amp; AF$16 &amp; "'!$B$20:$BC$219"),"XXXXX",0,1),    "XX",    0,    1)</f>
        <v>15</v>
      </c>
      <c r="AG204" s="8" cm="1">
        <f t="array" aca="1" ref="AG204" ca="1">_xlfn.XLOOKUP($A204,    INDIRECT("'" &amp; AG$16 &amp; "'!$A$20:$A$219"),    _xlfn.XLOOKUP(AG$18,INDIRECT("'" &amp; AG$16 &amp; "'!$B$18:$BC$18"), INDIRECT("'" &amp; AG$16 &amp; "'!$B$20:$BC$219"),"XXXXX",0,1),    "XX",    0,    1)</f>
        <v>15</v>
      </c>
      <c r="AH204" s="8" cm="1">
        <f t="array" aca="1" ref="AH204" ca="1">_xlfn.XLOOKUP($A204,    INDIRECT("'" &amp; AH$16 &amp; "'!$A$20:$A$219"),    _xlfn.XLOOKUP(AH$18,INDIRECT("'" &amp; AH$16 &amp; "'!$B$18:$BC$18"), INDIRECT("'" &amp; AH$16 &amp; "'!$B$20:$BC$219"),"XXXXX",0,1),    "XX",    0,    1)</f>
        <v>19</v>
      </c>
      <c r="AI204" s="8" cm="1">
        <f t="array" aca="1" ref="AI204" ca="1">_xlfn.XLOOKUP($A204,    INDIRECT("'" &amp; AI$16 &amp; "'!$A$20:$A$219"),    _xlfn.XLOOKUP(AI$18,INDIRECT("'" &amp; AI$16 &amp; "'!$B$18:$BC$18"), INDIRECT("'" &amp; AI$16 &amp; "'!$B$20:$BC$219"),"XXXXX",0,1),    "XX",    0,    1)</f>
        <v>19</v>
      </c>
      <c r="AJ204" s="8" cm="1">
        <f t="array" aca="1" ref="AJ204" ca="1">_xlfn.XLOOKUP($A204,    INDIRECT("'" &amp; AJ$16 &amp; "'!$A$20:$A$219"),    _xlfn.XLOOKUP(AJ$18,INDIRECT("'" &amp; AJ$16 &amp; "'!$B$18:$BC$18"), INDIRECT("'" &amp; AJ$16 &amp; "'!$B$20:$BC$219"),"XXXXX",0,1),    "XX",    0,    1)</f>
        <v>19</v>
      </c>
      <c r="AK204" s="8" cm="1">
        <f t="array" aca="1" ref="AK204" ca="1">_xlfn.XLOOKUP($A204,    INDIRECT("'" &amp; AK$16 &amp; "'!$A$20:$A$219"),    _xlfn.XLOOKUP(AK$18,INDIRECT("'" &amp; AK$16 &amp; "'!$B$18:$BC$18"), INDIRECT("'" &amp; AK$16 &amp; "'!$B$20:$BC$219"),"XXXXX",0,1),    "XX",    0,    1)</f>
        <v>19</v>
      </c>
      <c r="AM204" s="16"/>
      <c r="AW204" s="8">
        <v>1</v>
      </c>
      <c r="AX204" s="8">
        <f t="shared" ca="1" si="53"/>
        <v>1.4285714285714286</v>
      </c>
      <c r="AY204" s="8">
        <f t="shared" ca="1" si="57"/>
        <v>1.4285714285714286</v>
      </c>
      <c r="AZ204" s="8">
        <f t="shared" ca="1" si="58"/>
        <v>1.8095238095238095</v>
      </c>
      <c r="BA204" s="8">
        <f t="shared" ca="1" si="59"/>
        <v>1.8095238095238095</v>
      </c>
      <c r="BB204" s="8">
        <f t="shared" ca="1" si="60"/>
        <v>1.8095238095238095</v>
      </c>
      <c r="BC204" s="8">
        <f t="shared" ca="1" si="61"/>
        <v>1.8095238095238095</v>
      </c>
      <c r="BE204" s="8">
        <f t="shared" ca="1" si="54"/>
        <v>0</v>
      </c>
      <c r="BF204" s="8">
        <f t="shared" ca="1" si="55"/>
        <v>0</v>
      </c>
      <c r="BG204" s="8">
        <f t="shared" ca="1" si="56"/>
        <v>0</v>
      </c>
    </row>
    <row r="205" spans="1:59" x14ac:dyDescent="0.2">
      <c r="A205" s="8" t="s">
        <v>206</v>
      </c>
      <c r="B205" s="8" t="s">
        <v>271</v>
      </c>
      <c r="C205" s="8">
        <v>-44.6</v>
      </c>
      <c r="D205" s="8">
        <v>449855</v>
      </c>
      <c r="E205" s="8">
        <v>5980770</v>
      </c>
      <c r="F205" s="8">
        <v>0</v>
      </c>
      <c r="G205" s="8">
        <v>-0.6</v>
      </c>
      <c r="H205" s="8">
        <v>0</v>
      </c>
      <c r="I205" s="8">
        <v>2</v>
      </c>
      <c r="J205" s="8">
        <v>0</v>
      </c>
      <c r="K205" s="8">
        <v>-74.099999999999994</v>
      </c>
      <c r="L205" s="8">
        <v>29.5</v>
      </c>
      <c r="M205" s="8">
        <v>1977.1980000000001</v>
      </c>
      <c r="N205" s="8">
        <v>99.5</v>
      </c>
      <c r="O205" s="8">
        <v>8</v>
      </c>
      <c r="P205" s="8">
        <v>11</v>
      </c>
      <c r="Q205" s="8">
        <v>2.6273</v>
      </c>
      <c r="R205" s="8">
        <v>70</v>
      </c>
      <c r="S205" s="8">
        <v>117</v>
      </c>
      <c r="T205" s="3">
        <v>149</v>
      </c>
      <c r="U205" s="8">
        <v>1575.509</v>
      </c>
      <c r="V205" s="8">
        <v>507.06599999999997</v>
      </c>
      <c r="W205" s="8">
        <v>752.85199999999998</v>
      </c>
      <c r="X205" s="8">
        <v>132.18100000000001</v>
      </c>
      <c r="Y205" s="8">
        <v>4.9400000000000004</v>
      </c>
      <c r="Z205" s="8">
        <v>8.0150000000000006</v>
      </c>
      <c r="AA205" s="8">
        <v>21.7</v>
      </c>
      <c r="AB205" s="8">
        <v>290.5</v>
      </c>
      <c r="AC205" s="8">
        <v>13512</v>
      </c>
      <c r="AD205" s="8">
        <v>3950</v>
      </c>
      <c r="AE205" s="8">
        <v>268</v>
      </c>
      <c r="AF205" s="8" cm="1">
        <f t="array" aca="1" ref="AF205" ca="1">_xlfn.XLOOKUP($A205,    INDIRECT("'" &amp; AF$16 &amp; "'!$A$20:$A$219"),    _xlfn.XLOOKUP(AF$18,INDIRECT("'" &amp; AF$16 &amp; "'!$B$18:$BC$18"), INDIRECT("'" &amp; AF$16 &amp; "'!$B$20:$BC$219"),"XXXXX",0,1),    "XX",    0,    1)</f>
        <v>15</v>
      </c>
      <c r="AG205" s="8" cm="1">
        <f t="array" aca="1" ref="AG205" ca="1">_xlfn.XLOOKUP($A205,    INDIRECT("'" &amp; AG$16 &amp; "'!$A$20:$A$219"),    _xlfn.XLOOKUP(AG$18,INDIRECT("'" &amp; AG$16 &amp; "'!$B$18:$BC$18"), INDIRECT("'" &amp; AG$16 &amp; "'!$B$20:$BC$219"),"XXXXX",0,1),    "XX",    0,    1)</f>
        <v>15</v>
      </c>
      <c r="AH205" s="8" cm="1">
        <f t="array" aca="1" ref="AH205" ca="1">_xlfn.XLOOKUP($A205,    INDIRECT("'" &amp; AH$16 &amp; "'!$A$20:$A$219"),    _xlfn.XLOOKUP(AH$18,INDIRECT("'" &amp; AH$16 &amp; "'!$B$18:$BC$18"), INDIRECT("'" &amp; AH$16 &amp; "'!$B$20:$BC$219"),"XXXXX",0,1),    "XX",    0,    1)</f>
        <v>19</v>
      </c>
      <c r="AI205" s="8" cm="1">
        <f t="array" aca="1" ref="AI205" ca="1">_xlfn.XLOOKUP($A205,    INDIRECT("'" &amp; AI$16 &amp; "'!$A$20:$A$219"),    _xlfn.XLOOKUP(AI$18,INDIRECT("'" &amp; AI$16 &amp; "'!$B$18:$BC$18"), INDIRECT("'" &amp; AI$16 &amp; "'!$B$20:$BC$219"),"XXXXX",0,1),    "XX",    0,    1)</f>
        <v>19</v>
      </c>
      <c r="AJ205" s="8" cm="1">
        <f t="array" aca="1" ref="AJ205" ca="1">_xlfn.XLOOKUP($A205,    INDIRECT("'" &amp; AJ$16 &amp; "'!$A$20:$A$219"),    _xlfn.XLOOKUP(AJ$18,INDIRECT("'" &amp; AJ$16 &amp; "'!$B$18:$BC$18"), INDIRECT("'" &amp; AJ$16 &amp; "'!$B$20:$BC$219"),"XXXXX",0,1),    "XX",    0,    1)</f>
        <v>21</v>
      </c>
      <c r="AK205" s="8" cm="1">
        <f t="array" aca="1" ref="AK205" ca="1">_xlfn.XLOOKUP($A205,    INDIRECT("'" &amp; AK$16 &amp; "'!$A$20:$A$219"),    _xlfn.XLOOKUP(AK$18,INDIRECT("'" &amp; AK$16 &amp; "'!$B$18:$BC$18"), INDIRECT("'" &amp; AK$16 &amp; "'!$B$20:$BC$219"),"XXXXX",0,1),    "XX",    0,    1)</f>
        <v>21</v>
      </c>
      <c r="AM205" s="16"/>
      <c r="AW205" s="8">
        <v>1</v>
      </c>
      <c r="AX205" s="8">
        <f t="shared" ca="1" si="53"/>
        <v>1.3636363636363635</v>
      </c>
      <c r="AY205" s="8">
        <f t="shared" ca="1" si="57"/>
        <v>1.3636363636363635</v>
      </c>
      <c r="AZ205" s="8">
        <f t="shared" ca="1" si="58"/>
        <v>1.7272727272727273</v>
      </c>
      <c r="BA205" s="8">
        <f t="shared" ca="1" si="59"/>
        <v>1.7272727272727273</v>
      </c>
      <c r="BB205" s="8">
        <f t="shared" ca="1" si="60"/>
        <v>1.9090909090909092</v>
      </c>
      <c r="BC205" s="8">
        <f t="shared" ca="1" si="61"/>
        <v>1.9090909090909092</v>
      </c>
      <c r="BE205" s="8">
        <f t="shared" ca="1" si="54"/>
        <v>0</v>
      </c>
      <c r="BF205" s="8">
        <f t="shared" ca="1" si="55"/>
        <v>0</v>
      </c>
      <c r="BG205" s="8">
        <f t="shared" ca="1" si="56"/>
        <v>0</v>
      </c>
    </row>
    <row r="206" spans="1:59" x14ac:dyDescent="0.2">
      <c r="A206" s="8" t="s">
        <v>36</v>
      </c>
      <c r="B206" s="8" t="s">
        <v>271</v>
      </c>
      <c r="C206" s="8">
        <v>-37.9</v>
      </c>
      <c r="D206" s="8">
        <v>458833</v>
      </c>
      <c r="E206" s="8">
        <v>5977710</v>
      </c>
      <c r="F206" s="8">
        <v>0</v>
      </c>
      <c r="G206" s="8">
        <v>-0.6</v>
      </c>
      <c r="H206" s="8">
        <v>0</v>
      </c>
      <c r="I206" s="8">
        <v>2</v>
      </c>
      <c r="J206" s="8">
        <v>0</v>
      </c>
      <c r="K206" s="8">
        <v>-65.2</v>
      </c>
      <c r="L206" s="8">
        <v>27.3</v>
      </c>
      <c r="M206" s="8">
        <v>1707.502</v>
      </c>
      <c r="N206" s="8">
        <v>90.6</v>
      </c>
      <c r="O206" s="8">
        <v>8</v>
      </c>
      <c r="P206" s="8">
        <v>10</v>
      </c>
      <c r="Q206" s="8">
        <v>2.67</v>
      </c>
      <c r="R206" s="8">
        <v>68</v>
      </c>
      <c r="S206" s="8">
        <v>110</v>
      </c>
      <c r="T206" s="3">
        <v>147</v>
      </c>
      <c r="U206" s="8">
        <v>1357.4949999999999</v>
      </c>
      <c r="V206" s="8">
        <v>514.65599999999995</v>
      </c>
      <c r="W206" s="8">
        <v>752.85199999999998</v>
      </c>
      <c r="X206" s="8">
        <v>132.18100000000001</v>
      </c>
      <c r="Y206" s="8">
        <v>4.9400000000000004</v>
      </c>
      <c r="Z206" s="8">
        <v>8.0150000000000006</v>
      </c>
      <c r="AA206" s="8">
        <v>21.7</v>
      </c>
      <c r="AB206" s="8">
        <v>290.5</v>
      </c>
      <c r="AC206" s="8">
        <v>12621</v>
      </c>
      <c r="AD206" s="8">
        <v>3366</v>
      </c>
      <c r="AE206" s="8">
        <v>268</v>
      </c>
      <c r="AF206" s="8" cm="1">
        <f t="array" aca="1" ref="AF206" ca="1">_xlfn.XLOOKUP($A206,    INDIRECT("'" &amp; AF$16 &amp; "'!$A$20:$A$219"),    _xlfn.XLOOKUP(AF$18,INDIRECT("'" &amp; AF$16 &amp; "'!$B$18:$BC$18"), INDIRECT("'" &amp; AF$16 &amp; "'!$B$20:$BC$219"),"XXXXX",0,1),    "XX",    0,    1)</f>
        <v>15</v>
      </c>
      <c r="AG206" s="8" cm="1">
        <f t="array" aca="1" ref="AG206" ca="1">_xlfn.XLOOKUP($A206,    INDIRECT("'" &amp; AG$16 &amp; "'!$A$20:$A$219"),    _xlfn.XLOOKUP(AG$18,INDIRECT("'" &amp; AG$16 &amp; "'!$B$18:$BC$18"), INDIRECT("'" &amp; AG$16 &amp; "'!$B$20:$BC$219"),"XXXXX",0,1),    "XX",    0,    1)</f>
        <v>15</v>
      </c>
      <c r="AH206" s="8" cm="1">
        <f t="array" aca="1" ref="AH206" ca="1">_xlfn.XLOOKUP($A206,    INDIRECT("'" &amp; AH$16 &amp; "'!$A$20:$A$219"),    _xlfn.XLOOKUP(AH$18,INDIRECT("'" &amp; AH$16 &amp; "'!$B$18:$BC$18"), INDIRECT("'" &amp; AH$16 &amp; "'!$B$20:$BC$219"),"XXXXX",0,1),    "XX",    0,    1)</f>
        <v>17</v>
      </c>
      <c r="AI206" s="8" cm="1">
        <f t="array" aca="1" ref="AI206" ca="1">_xlfn.XLOOKUP($A206,    INDIRECT("'" &amp; AI$16 &amp; "'!$A$20:$A$219"),    _xlfn.XLOOKUP(AI$18,INDIRECT("'" &amp; AI$16 &amp; "'!$B$18:$BC$18"), INDIRECT("'" &amp; AI$16 &amp; "'!$B$20:$BC$219"),"XXXXX",0,1),    "XX",    0,    1)</f>
        <v>17</v>
      </c>
      <c r="AJ206" s="8" cm="1">
        <f t="array" aca="1" ref="AJ206" ca="1">_xlfn.XLOOKUP($A206,    INDIRECT("'" &amp; AJ$16 &amp; "'!$A$20:$A$219"),    _xlfn.XLOOKUP(AJ$18,INDIRECT("'" &amp; AJ$16 &amp; "'!$B$18:$BC$18"), INDIRECT("'" &amp; AJ$16 &amp; "'!$B$20:$BC$219"),"XXXXX",0,1),    "XX",    0,    1)</f>
        <v>17</v>
      </c>
      <c r="AK206" s="8" cm="1">
        <f t="array" aca="1" ref="AK206" ca="1">_xlfn.XLOOKUP($A206,    INDIRECT("'" &amp; AK$16 &amp; "'!$A$20:$A$219"),    _xlfn.XLOOKUP(AK$18,INDIRECT("'" &amp; AK$16 &amp; "'!$B$18:$BC$18"), INDIRECT("'" &amp; AK$16 &amp; "'!$B$20:$BC$219"),"XXXXX",0,1),    "XX",    0,    1)</f>
        <v>17</v>
      </c>
      <c r="AM206" s="16"/>
      <c r="AW206" s="8">
        <v>1</v>
      </c>
      <c r="AX206" s="8">
        <f t="shared" ca="1" si="53"/>
        <v>1.5</v>
      </c>
      <c r="AY206" s="8">
        <f t="shared" ca="1" si="57"/>
        <v>1.5</v>
      </c>
      <c r="AZ206" s="8">
        <f t="shared" ca="1" si="58"/>
        <v>1.7</v>
      </c>
      <c r="BA206" s="8">
        <f t="shared" ca="1" si="59"/>
        <v>1.7</v>
      </c>
      <c r="BB206" s="8">
        <f t="shared" ca="1" si="60"/>
        <v>1.7</v>
      </c>
      <c r="BC206" s="8">
        <f t="shared" ca="1" si="61"/>
        <v>1.7</v>
      </c>
      <c r="BE206" s="8">
        <f t="shared" ca="1" si="54"/>
        <v>0</v>
      </c>
      <c r="BF206" s="8">
        <f t="shared" ca="1" si="55"/>
        <v>0</v>
      </c>
      <c r="BG206" s="8">
        <f t="shared" ca="1" si="56"/>
        <v>0</v>
      </c>
    </row>
    <row r="207" spans="1:59" x14ac:dyDescent="0.2">
      <c r="A207" s="8" t="s">
        <v>65</v>
      </c>
      <c r="B207" s="8" t="s">
        <v>265</v>
      </c>
      <c r="C207" s="8">
        <v>-35.6</v>
      </c>
      <c r="D207" s="8">
        <v>461834.6</v>
      </c>
      <c r="E207" s="8">
        <v>5976226.5999999996</v>
      </c>
      <c r="F207" s="8">
        <v>0</v>
      </c>
      <c r="G207" s="8">
        <v>-0.6</v>
      </c>
      <c r="H207" s="8">
        <v>0</v>
      </c>
      <c r="I207" s="8">
        <v>2</v>
      </c>
      <c r="J207" s="8">
        <v>0</v>
      </c>
      <c r="K207" s="8">
        <v>-64.599999999999994</v>
      </c>
      <c r="L207" s="8">
        <v>29</v>
      </c>
      <c r="M207" s="8">
        <v>1634.9469999999999</v>
      </c>
      <c r="N207" s="8">
        <v>90</v>
      </c>
      <c r="O207" s="8">
        <v>8</v>
      </c>
      <c r="P207" s="8">
        <v>10</v>
      </c>
      <c r="Q207" s="8">
        <v>2.84</v>
      </c>
      <c r="R207" s="8">
        <v>68</v>
      </c>
      <c r="S207" s="8">
        <v>110</v>
      </c>
      <c r="T207" s="3">
        <v>147</v>
      </c>
      <c r="U207" s="8">
        <v>1357.8589999999999</v>
      </c>
      <c r="V207" s="8">
        <v>546.70000000000005</v>
      </c>
      <c r="W207" s="8">
        <v>752.85199999999998</v>
      </c>
      <c r="X207" s="8">
        <v>132.18100000000001</v>
      </c>
      <c r="Y207" s="8">
        <v>4.9400000000000004</v>
      </c>
      <c r="Z207" s="8">
        <v>8.0150000000000006</v>
      </c>
      <c r="AA207" s="8">
        <v>21.7</v>
      </c>
      <c r="AB207" s="8">
        <v>290.5</v>
      </c>
      <c r="AC207" s="8">
        <v>12585</v>
      </c>
      <c r="AD207" s="8">
        <v>3223</v>
      </c>
      <c r="AE207" s="8">
        <v>268</v>
      </c>
      <c r="AF207" s="8" cm="1">
        <f t="array" aca="1" ref="AF207" ca="1">_xlfn.XLOOKUP($A207,    INDIRECT("'" &amp; AF$16 &amp; "'!$A$20:$A$219"),    _xlfn.XLOOKUP(AF$18,INDIRECT("'" &amp; AF$16 &amp; "'!$B$18:$BC$18"), INDIRECT("'" &amp; AF$16 &amp; "'!$B$20:$BC$219"),"XXXXX",0,1),    "XX",    0,    1)</f>
        <v>15</v>
      </c>
      <c r="AG207" s="8" cm="1">
        <f t="array" aca="1" ref="AG207" ca="1">_xlfn.XLOOKUP($A207,    INDIRECT("'" &amp; AG$16 &amp; "'!$A$20:$A$219"),    _xlfn.XLOOKUP(AG$18,INDIRECT("'" &amp; AG$16 &amp; "'!$B$18:$BC$18"), INDIRECT("'" &amp; AG$16 &amp; "'!$B$20:$BC$219"),"XXXXX",0,1),    "XX",    0,    1)</f>
        <v>15</v>
      </c>
      <c r="AH207" s="8" cm="1">
        <f t="array" aca="1" ref="AH207" ca="1">_xlfn.XLOOKUP($A207,    INDIRECT("'" &amp; AH$16 &amp; "'!$A$20:$A$219"),    _xlfn.XLOOKUP(AH$18,INDIRECT("'" &amp; AH$16 &amp; "'!$B$18:$BC$18"), INDIRECT("'" &amp; AH$16 &amp; "'!$B$20:$BC$219"),"XXXXX",0,1),    "XX",    0,    1)</f>
        <v>19</v>
      </c>
      <c r="AI207" s="8" cm="1">
        <f t="array" aca="1" ref="AI207" ca="1">_xlfn.XLOOKUP($A207,    INDIRECT("'" &amp; AI$16 &amp; "'!$A$20:$A$219"),    _xlfn.XLOOKUP(AI$18,INDIRECT("'" &amp; AI$16 &amp; "'!$B$18:$BC$18"), INDIRECT("'" &amp; AI$16 &amp; "'!$B$20:$BC$219"),"XXXXX",0,1),    "XX",    0,    1)</f>
        <v>19</v>
      </c>
      <c r="AJ207" s="8" cm="1">
        <f t="array" aca="1" ref="AJ207" ca="1">_xlfn.XLOOKUP($A207,    INDIRECT("'" &amp; AJ$16 &amp; "'!$A$20:$A$219"),    _xlfn.XLOOKUP(AJ$18,INDIRECT("'" &amp; AJ$16 &amp; "'!$B$18:$BC$18"), INDIRECT("'" &amp; AJ$16 &amp; "'!$B$20:$BC$219"),"XXXXX",0,1),    "XX",    0,    1)</f>
        <v>19</v>
      </c>
      <c r="AK207" s="8" cm="1">
        <f t="array" aca="1" ref="AK207" ca="1">_xlfn.XLOOKUP($A207,    INDIRECT("'" &amp; AK$16 &amp; "'!$A$20:$A$219"),    _xlfn.XLOOKUP(AK$18,INDIRECT("'" &amp; AK$16 &amp; "'!$B$18:$BC$18"), INDIRECT("'" &amp; AK$16 &amp; "'!$B$20:$BC$219"),"XXXXX",0,1),    "XX",    0,    1)</f>
        <v>19</v>
      </c>
      <c r="AM207" s="16"/>
      <c r="AW207" s="8">
        <v>1</v>
      </c>
      <c r="AX207" s="8">
        <f t="shared" ca="1" si="53"/>
        <v>1.5</v>
      </c>
      <c r="AY207" s="8">
        <f t="shared" ca="1" si="57"/>
        <v>1.5</v>
      </c>
      <c r="AZ207" s="8">
        <f t="shared" ca="1" si="58"/>
        <v>1.9</v>
      </c>
      <c r="BA207" s="8">
        <f t="shared" ca="1" si="59"/>
        <v>1.9</v>
      </c>
      <c r="BB207" s="8">
        <f t="shared" ca="1" si="60"/>
        <v>1.9</v>
      </c>
      <c r="BC207" s="8">
        <f t="shared" ca="1" si="61"/>
        <v>1.9</v>
      </c>
      <c r="BE207" s="8">
        <f t="shared" ca="1" si="54"/>
        <v>0</v>
      </c>
      <c r="BF207" s="8">
        <f t="shared" ca="1" si="55"/>
        <v>0</v>
      </c>
      <c r="BG207" s="8">
        <f t="shared" ca="1" si="56"/>
        <v>0</v>
      </c>
    </row>
    <row r="208" spans="1:59" x14ac:dyDescent="0.2">
      <c r="A208" s="8" t="s">
        <v>56</v>
      </c>
      <c r="B208" s="8" t="s">
        <v>265</v>
      </c>
      <c r="C208" s="8">
        <v>-37.299999999999997</v>
      </c>
      <c r="D208" s="8">
        <v>464330.2</v>
      </c>
      <c r="E208" s="8">
        <v>5975626</v>
      </c>
      <c r="F208" s="8">
        <v>0</v>
      </c>
      <c r="G208" s="8">
        <v>-0.6</v>
      </c>
      <c r="H208" s="8">
        <v>0</v>
      </c>
      <c r="I208" s="8">
        <v>2</v>
      </c>
      <c r="J208" s="8">
        <v>0</v>
      </c>
      <c r="K208" s="8">
        <v>-64.400000000000006</v>
      </c>
      <c r="L208" s="8">
        <v>27.1</v>
      </c>
      <c r="M208" s="8">
        <v>1662.0709999999999</v>
      </c>
      <c r="N208" s="8">
        <v>89.8</v>
      </c>
      <c r="O208" s="8">
        <v>8</v>
      </c>
      <c r="P208" s="8">
        <v>10</v>
      </c>
      <c r="Q208" s="8">
        <v>2.65</v>
      </c>
      <c r="R208" s="8">
        <v>68</v>
      </c>
      <c r="S208" s="8">
        <v>110</v>
      </c>
      <c r="T208" s="3">
        <v>147</v>
      </c>
      <c r="U208" s="8">
        <v>1357.683</v>
      </c>
      <c r="V208" s="8">
        <v>427.75900000000001</v>
      </c>
      <c r="W208" s="8">
        <v>752.85199999999998</v>
      </c>
      <c r="X208" s="8">
        <v>132.18100000000001</v>
      </c>
      <c r="Y208" s="8">
        <v>4.9400000000000004</v>
      </c>
      <c r="Z208" s="8">
        <v>8.0150000000000006</v>
      </c>
      <c r="AA208" s="8">
        <v>21.7</v>
      </c>
      <c r="AB208" s="8">
        <v>290.5</v>
      </c>
      <c r="AC208" s="8">
        <v>12572</v>
      </c>
      <c r="AD208" s="8">
        <v>3329</v>
      </c>
      <c r="AE208" s="8">
        <v>268</v>
      </c>
      <c r="AF208" s="8" cm="1">
        <f t="array" aca="1" ref="AF208" ca="1">_xlfn.XLOOKUP($A208,    INDIRECT("'" &amp; AF$16 &amp; "'!$A$20:$A$219"),    _xlfn.XLOOKUP(AF$18,INDIRECT("'" &amp; AF$16 &amp; "'!$B$18:$BC$18"), INDIRECT("'" &amp; AF$16 &amp; "'!$B$20:$BC$219"),"XXXXX",0,1),    "XX",    0,    1)</f>
        <v>15</v>
      </c>
      <c r="AG208" s="8" cm="1">
        <f t="array" aca="1" ref="AG208" ca="1">_xlfn.XLOOKUP($A208,    INDIRECT("'" &amp; AG$16 &amp; "'!$A$20:$A$219"),    _xlfn.XLOOKUP(AG$18,INDIRECT("'" &amp; AG$16 &amp; "'!$B$18:$BC$18"), INDIRECT("'" &amp; AG$16 &amp; "'!$B$20:$BC$219"),"XXXXX",0,1),    "XX",    0,    1)</f>
        <v>15</v>
      </c>
      <c r="AH208" s="8" cm="1">
        <f t="array" aca="1" ref="AH208" ca="1">_xlfn.XLOOKUP($A208,    INDIRECT("'" &amp; AH$16 &amp; "'!$A$20:$A$219"),    _xlfn.XLOOKUP(AH$18,INDIRECT("'" &amp; AH$16 &amp; "'!$B$18:$BC$18"), INDIRECT("'" &amp; AH$16 &amp; "'!$B$20:$BC$219"),"XXXXX",0,1),    "XX",    0,    1)</f>
        <v>17</v>
      </c>
      <c r="AI208" s="8" cm="1">
        <f t="array" aca="1" ref="AI208" ca="1">_xlfn.XLOOKUP($A208,    INDIRECT("'" &amp; AI$16 &amp; "'!$A$20:$A$219"),    _xlfn.XLOOKUP(AI$18,INDIRECT("'" &amp; AI$16 &amp; "'!$B$18:$BC$18"), INDIRECT("'" &amp; AI$16 &amp; "'!$B$20:$BC$219"),"XXXXX",0,1),    "XX",    0,    1)</f>
        <v>17</v>
      </c>
      <c r="AJ208" s="8" cm="1">
        <f t="array" aca="1" ref="AJ208" ca="1">_xlfn.XLOOKUP($A208,    INDIRECT("'" &amp; AJ$16 &amp; "'!$A$20:$A$219"),    _xlfn.XLOOKUP(AJ$18,INDIRECT("'" &amp; AJ$16 &amp; "'!$B$18:$BC$18"), INDIRECT("'" &amp; AJ$16 &amp; "'!$B$20:$BC$219"),"XXXXX",0,1),    "XX",    0,    1)</f>
        <v>17</v>
      </c>
      <c r="AK208" s="8" cm="1">
        <f t="array" aca="1" ref="AK208" ca="1">_xlfn.XLOOKUP($A208,    INDIRECT("'" &amp; AK$16 &amp; "'!$A$20:$A$219"),    _xlfn.XLOOKUP(AK$18,INDIRECT("'" &amp; AK$16 &amp; "'!$B$18:$BC$18"), INDIRECT("'" &amp; AK$16 &amp; "'!$B$20:$BC$219"),"XXXXX",0,1),    "XX",    0,    1)</f>
        <v>17</v>
      </c>
      <c r="AM208" s="16"/>
      <c r="AW208" s="8">
        <v>1</v>
      </c>
      <c r="AX208" s="8">
        <f t="shared" ca="1" si="53"/>
        <v>1.5</v>
      </c>
      <c r="AY208" s="8">
        <f t="shared" ca="1" si="57"/>
        <v>1.5</v>
      </c>
      <c r="AZ208" s="8">
        <f t="shared" ca="1" si="58"/>
        <v>1.7</v>
      </c>
      <c r="BA208" s="8">
        <f t="shared" ca="1" si="59"/>
        <v>1.7</v>
      </c>
      <c r="BB208" s="8">
        <f t="shared" ca="1" si="60"/>
        <v>1.7</v>
      </c>
      <c r="BC208" s="8">
        <f t="shared" ca="1" si="61"/>
        <v>1.7</v>
      </c>
      <c r="BE208" s="8">
        <f t="shared" ca="1" si="54"/>
        <v>0</v>
      </c>
      <c r="BF208" s="8">
        <f t="shared" ca="1" si="55"/>
        <v>0</v>
      </c>
      <c r="BG208" s="8">
        <f t="shared" ca="1" si="56"/>
        <v>0</v>
      </c>
    </row>
    <row r="209" spans="1:59" x14ac:dyDescent="0.2">
      <c r="A209" s="8" t="s">
        <v>73</v>
      </c>
      <c r="B209" s="8" t="s">
        <v>265</v>
      </c>
      <c r="C209" s="8">
        <v>-36.200000000000003</v>
      </c>
      <c r="D209" s="8">
        <v>466870.1</v>
      </c>
      <c r="E209" s="8">
        <v>5974920</v>
      </c>
      <c r="F209" s="8">
        <v>0</v>
      </c>
      <c r="G209" s="8">
        <v>-0.6</v>
      </c>
      <c r="H209" s="8">
        <v>0</v>
      </c>
      <c r="I209" s="8">
        <v>2</v>
      </c>
      <c r="J209" s="8">
        <v>0</v>
      </c>
      <c r="K209" s="8">
        <v>-63.7</v>
      </c>
      <c r="L209" s="8">
        <v>27.5</v>
      </c>
      <c r="M209" s="8">
        <v>1628.86</v>
      </c>
      <c r="N209" s="8">
        <v>89.1</v>
      </c>
      <c r="O209" s="8">
        <v>8</v>
      </c>
      <c r="P209" s="8">
        <v>10</v>
      </c>
      <c r="Q209" s="8">
        <v>2.69</v>
      </c>
      <c r="R209" s="8">
        <v>68</v>
      </c>
      <c r="S209" s="8">
        <v>110</v>
      </c>
      <c r="T209" s="3">
        <v>147</v>
      </c>
      <c r="U209" s="8">
        <v>1295.5170000000001</v>
      </c>
      <c r="V209" s="8">
        <v>583.43100000000004</v>
      </c>
      <c r="W209" s="8">
        <v>752.85199999999998</v>
      </c>
      <c r="X209" s="8">
        <v>132.18100000000001</v>
      </c>
      <c r="Y209" s="8">
        <v>4.9400000000000004</v>
      </c>
      <c r="Z209" s="8">
        <v>8.0150000000000006</v>
      </c>
      <c r="AA209" s="8">
        <v>21.7</v>
      </c>
      <c r="AB209" s="8">
        <v>290.5</v>
      </c>
      <c r="AC209" s="8">
        <v>12529</v>
      </c>
      <c r="AD209" s="8">
        <v>3261</v>
      </c>
      <c r="AE209" s="8">
        <v>268</v>
      </c>
      <c r="AF209" s="8" cm="1">
        <f t="array" aca="1" ref="AF209" ca="1">_xlfn.XLOOKUP($A209,    INDIRECT("'" &amp; AF$16 &amp; "'!$A$20:$A$219"),    _xlfn.XLOOKUP(AF$18,INDIRECT("'" &amp; AF$16 &amp; "'!$B$18:$BC$18"), INDIRECT("'" &amp; AF$16 &amp; "'!$B$20:$BC$219"),"XXXXX",0,1),    "XX",    0,    1)</f>
        <v>15</v>
      </c>
      <c r="AG209" s="8" cm="1">
        <f t="array" aca="1" ref="AG209" ca="1">_xlfn.XLOOKUP($A209,    INDIRECT("'" &amp; AG$16 &amp; "'!$A$20:$A$219"),    _xlfn.XLOOKUP(AG$18,INDIRECT("'" &amp; AG$16 &amp; "'!$B$18:$BC$18"), INDIRECT("'" &amp; AG$16 &amp; "'!$B$20:$BC$219"),"XXXXX",0,1),    "XX",    0,    1)</f>
        <v>15</v>
      </c>
      <c r="AH209" s="8" cm="1">
        <f t="array" aca="1" ref="AH209" ca="1">_xlfn.XLOOKUP($A209,    INDIRECT("'" &amp; AH$16 &amp; "'!$A$20:$A$219"),    _xlfn.XLOOKUP(AH$18,INDIRECT("'" &amp; AH$16 &amp; "'!$B$18:$BC$18"), INDIRECT("'" &amp; AH$16 &amp; "'!$B$20:$BC$219"),"XXXXX",0,1),    "XX",    0,    1)</f>
        <v>17</v>
      </c>
      <c r="AI209" s="8" cm="1">
        <f t="array" aca="1" ref="AI209" ca="1">_xlfn.XLOOKUP($A209,    INDIRECT("'" &amp; AI$16 &amp; "'!$A$20:$A$219"),    _xlfn.XLOOKUP(AI$18,INDIRECT("'" &amp; AI$16 &amp; "'!$B$18:$BC$18"), INDIRECT("'" &amp; AI$16 &amp; "'!$B$20:$BC$219"),"XXXXX",0,1),    "XX",    0,    1)</f>
        <v>17</v>
      </c>
      <c r="AJ209" s="8" cm="1">
        <f t="array" aca="1" ref="AJ209" ca="1">_xlfn.XLOOKUP($A209,    INDIRECT("'" &amp; AJ$16 &amp; "'!$A$20:$A$219"),    _xlfn.XLOOKUP(AJ$18,INDIRECT("'" &amp; AJ$16 &amp; "'!$B$18:$BC$18"), INDIRECT("'" &amp; AJ$16 &amp; "'!$B$20:$BC$219"),"XXXXX",0,1),    "XX",    0,    1)</f>
        <v>19</v>
      </c>
      <c r="AK209" s="8" cm="1">
        <f t="array" aca="1" ref="AK209" ca="1">_xlfn.XLOOKUP($A209,    INDIRECT("'" &amp; AK$16 &amp; "'!$A$20:$A$219"),    _xlfn.XLOOKUP(AK$18,INDIRECT("'" &amp; AK$16 &amp; "'!$B$18:$BC$18"), INDIRECT("'" &amp; AK$16 &amp; "'!$B$20:$BC$219"),"XXXXX",0,1),    "XX",    0,    1)</f>
        <v>19</v>
      </c>
      <c r="AM209" s="16"/>
      <c r="AW209" s="8">
        <v>1</v>
      </c>
      <c r="AX209" s="8">
        <f t="shared" ca="1" si="53"/>
        <v>1.5</v>
      </c>
      <c r="AY209" s="8">
        <f t="shared" ca="1" si="57"/>
        <v>1.5</v>
      </c>
      <c r="AZ209" s="8">
        <f t="shared" ca="1" si="58"/>
        <v>1.7</v>
      </c>
      <c r="BA209" s="8">
        <f t="shared" ca="1" si="59"/>
        <v>1.7</v>
      </c>
      <c r="BB209" s="8">
        <f t="shared" ca="1" si="60"/>
        <v>1.9</v>
      </c>
      <c r="BC209" s="8">
        <f t="shared" ca="1" si="61"/>
        <v>1.9</v>
      </c>
      <c r="BE209" s="8">
        <f t="shared" ca="1" si="54"/>
        <v>0</v>
      </c>
      <c r="BF209" s="8">
        <f t="shared" ca="1" si="55"/>
        <v>0</v>
      </c>
      <c r="BG209" s="8">
        <f t="shared" ca="1" si="56"/>
        <v>0</v>
      </c>
    </row>
    <row r="210" spans="1:59" x14ac:dyDescent="0.2">
      <c r="A210" s="8" t="s">
        <v>86</v>
      </c>
      <c r="B210" s="8" t="s">
        <v>265</v>
      </c>
      <c r="C210" s="8">
        <v>-36.799999999999997</v>
      </c>
      <c r="D210" s="8">
        <v>461034.5</v>
      </c>
      <c r="E210" s="8">
        <v>5977526.5999999996</v>
      </c>
      <c r="F210" s="8">
        <v>0</v>
      </c>
      <c r="G210" s="8">
        <v>-0.6</v>
      </c>
      <c r="H210" s="8">
        <v>0</v>
      </c>
      <c r="I210" s="8">
        <v>2</v>
      </c>
      <c r="J210" s="8">
        <v>0</v>
      </c>
      <c r="K210" s="8">
        <v>-62.9</v>
      </c>
      <c r="L210" s="8">
        <v>26.1</v>
      </c>
      <c r="M210" s="8">
        <v>1625.8789999999999</v>
      </c>
      <c r="N210" s="8">
        <v>88.3</v>
      </c>
      <c r="O210" s="8">
        <v>8</v>
      </c>
      <c r="P210" s="8">
        <v>10</v>
      </c>
      <c r="Q210" s="8">
        <v>2.5499999999999998</v>
      </c>
      <c r="R210" s="8">
        <v>68</v>
      </c>
      <c r="S210" s="8">
        <v>110</v>
      </c>
      <c r="T210" s="3">
        <v>147</v>
      </c>
      <c r="U210" s="8">
        <v>1295.4169999999999</v>
      </c>
      <c r="V210" s="8">
        <v>483.85599999999999</v>
      </c>
      <c r="W210" s="8">
        <v>752.85199999999998</v>
      </c>
      <c r="X210" s="8">
        <v>132.18100000000001</v>
      </c>
      <c r="Y210" s="8">
        <v>4.9400000000000004</v>
      </c>
      <c r="Z210" s="8">
        <v>8.0150000000000006</v>
      </c>
      <c r="AA210" s="8">
        <v>21.7</v>
      </c>
      <c r="AB210" s="8">
        <v>290.5</v>
      </c>
      <c r="AC210" s="8">
        <v>12479</v>
      </c>
      <c r="AD210" s="8">
        <v>3298</v>
      </c>
      <c r="AE210" s="8">
        <v>268</v>
      </c>
      <c r="AF210" s="8" cm="1">
        <f t="array" aca="1" ref="AF210" ca="1">_xlfn.XLOOKUP($A210,    INDIRECT("'" &amp; AF$16 &amp; "'!$A$20:$A$219"),    _xlfn.XLOOKUP(AF$18,INDIRECT("'" &amp; AF$16 &amp; "'!$B$18:$BC$18"), INDIRECT("'" &amp; AF$16 &amp; "'!$B$20:$BC$219"),"XXXXX",0,1),    "XX",    0,    1)</f>
        <v>15</v>
      </c>
      <c r="AG210" s="8" cm="1">
        <f t="array" aca="1" ref="AG210" ca="1">_xlfn.XLOOKUP($A210,    INDIRECT("'" &amp; AG$16 &amp; "'!$A$20:$A$219"),    _xlfn.XLOOKUP(AG$18,INDIRECT("'" &amp; AG$16 &amp; "'!$B$18:$BC$18"), INDIRECT("'" &amp; AG$16 &amp; "'!$B$20:$BC$219"),"XXXXX",0,1),    "XX",    0,    1)</f>
        <v>15</v>
      </c>
      <c r="AH210" s="8" cm="1">
        <f t="array" aca="1" ref="AH210" ca="1">_xlfn.XLOOKUP($A210,    INDIRECT("'" &amp; AH$16 &amp; "'!$A$20:$A$219"),    _xlfn.XLOOKUP(AH$18,INDIRECT("'" &amp; AH$16 &amp; "'!$B$18:$BC$18"), INDIRECT("'" &amp; AH$16 &amp; "'!$B$20:$BC$219"),"XXXXX",0,1),    "XX",    0,    1)</f>
        <v>15</v>
      </c>
      <c r="AI210" s="8" cm="1">
        <f t="array" aca="1" ref="AI210" ca="1">_xlfn.XLOOKUP($A210,    INDIRECT("'" &amp; AI$16 &amp; "'!$A$20:$A$219"),    _xlfn.XLOOKUP(AI$18,INDIRECT("'" &amp; AI$16 &amp; "'!$B$18:$BC$18"), INDIRECT("'" &amp; AI$16 &amp; "'!$B$20:$BC$219"),"XXXXX",0,1),    "XX",    0,    1)</f>
        <v>15</v>
      </c>
      <c r="AJ210" s="8" cm="1">
        <f t="array" aca="1" ref="AJ210" ca="1">_xlfn.XLOOKUP($A210,    INDIRECT("'" &amp; AJ$16 &amp; "'!$A$20:$A$219"),    _xlfn.XLOOKUP(AJ$18,INDIRECT("'" &amp; AJ$16 &amp; "'!$B$18:$BC$18"), INDIRECT("'" &amp; AJ$16 &amp; "'!$B$20:$BC$219"),"XXXXX",0,1),    "XX",    0,    1)</f>
        <v>17</v>
      </c>
      <c r="AK210" s="8" cm="1">
        <f t="array" aca="1" ref="AK210" ca="1">_xlfn.XLOOKUP($A210,    INDIRECT("'" &amp; AK$16 &amp; "'!$A$20:$A$219"),    _xlfn.XLOOKUP(AK$18,INDIRECT("'" &amp; AK$16 &amp; "'!$B$18:$BC$18"), INDIRECT("'" &amp; AK$16 &amp; "'!$B$20:$BC$219"),"XXXXX",0,1),    "XX",    0,    1)</f>
        <v>17</v>
      </c>
      <c r="AM210" s="16"/>
      <c r="AW210" s="8">
        <v>1</v>
      </c>
      <c r="AX210" s="8">
        <f t="shared" ca="1" si="53"/>
        <v>1.5</v>
      </c>
      <c r="AY210" s="8">
        <f t="shared" ca="1" si="57"/>
        <v>1.5</v>
      </c>
      <c r="AZ210" s="8">
        <f t="shared" ca="1" si="58"/>
        <v>1.5</v>
      </c>
      <c r="BA210" s="8">
        <f t="shared" ca="1" si="59"/>
        <v>1.5</v>
      </c>
      <c r="BB210" s="8">
        <f t="shared" ca="1" si="60"/>
        <v>1.7</v>
      </c>
      <c r="BC210" s="8">
        <f t="shared" ca="1" si="61"/>
        <v>1.7</v>
      </c>
      <c r="BE210" s="8">
        <f t="shared" ca="1" si="54"/>
        <v>0</v>
      </c>
      <c r="BF210" s="8">
        <f t="shared" ca="1" si="55"/>
        <v>0</v>
      </c>
      <c r="BG210" s="8">
        <f t="shared" ca="1" si="56"/>
        <v>0</v>
      </c>
    </row>
    <row r="211" spans="1:59" x14ac:dyDescent="0.2">
      <c r="A211" s="8" t="s">
        <v>28</v>
      </c>
      <c r="B211" s="8" t="s">
        <v>265</v>
      </c>
      <c r="C211" s="8">
        <v>-37</v>
      </c>
      <c r="D211" s="8">
        <v>463381</v>
      </c>
      <c r="E211" s="8">
        <v>5977131</v>
      </c>
      <c r="F211" s="8">
        <v>0</v>
      </c>
      <c r="G211" s="8">
        <v>-0.6</v>
      </c>
      <c r="H211" s="8">
        <v>0</v>
      </c>
      <c r="I211" s="8">
        <v>2</v>
      </c>
      <c r="J211" s="8">
        <v>0</v>
      </c>
      <c r="K211" s="8">
        <v>-67.400000000000006</v>
      </c>
      <c r="L211" s="8">
        <v>30.4</v>
      </c>
      <c r="M211" s="8">
        <v>1703.9659999999999</v>
      </c>
      <c r="N211" s="8">
        <v>92.8</v>
      </c>
      <c r="O211" s="8">
        <v>8</v>
      </c>
      <c r="P211" s="8">
        <v>10</v>
      </c>
      <c r="Q211" s="8">
        <v>2.98</v>
      </c>
      <c r="R211" s="8">
        <v>68</v>
      </c>
      <c r="S211" s="8">
        <v>110</v>
      </c>
      <c r="T211" s="3">
        <v>147</v>
      </c>
      <c r="U211" s="8">
        <v>1420.1379999999999</v>
      </c>
      <c r="V211" s="8">
        <v>490.06299999999999</v>
      </c>
      <c r="W211" s="8">
        <v>752.85199999999998</v>
      </c>
      <c r="X211" s="8">
        <v>132.18100000000001</v>
      </c>
      <c r="Y211" s="8">
        <v>4.9400000000000004</v>
      </c>
      <c r="Z211" s="8">
        <v>8.0150000000000006</v>
      </c>
      <c r="AA211" s="8">
        <v>21.7</v>
      </c>
      <c r="AB211" s="8">
        <v>290.5</v>
      </c>
      <c r="AC211" s="8">
        <v>12759</v>
      </c>
      <c r="AD211" s="8">
        <v>3310</v>
      </c>
      <c r="AE211" s="8">
        <v>268</v>
      </c>
      <c r="AF211" s="8" cm="1">
        <f t="array" aca="1" ref="AF211" ca="1">_xlfn.XLOOKUP($A211,    INDIRECT("'" &amp; AF$16 &amp; "'!$A$20:$A$219"),    _xlfn.XLOOKUP(AF$18,INDIRECT("'" &amp; AF$16 &amp; "'!$B$18:$BC$18"), INDIRECT("'" &amp; AF$16 &amp; "'!$B$20:$BC$219"),"XXXXX",0,1),    "XX",    0,    1)</f>
        <v>15</v>
      </c>
      <c r="AG211" s="8" cm="1">
        <f t="array" aca="1" ref="AG211" ca="1">_xlfn.XLOOKUP($A211,    INDIRECT("'" &amp; AG$16 &amp; "'!$A$20:$A$219"),    _xlfn.XLOOKUP(AG$18,INDIRECT("'" &amp; AG$16 &amp; "'!$B$18:$BC$18"), INDIRECT("'" &amp; AG$16 &amp; "'!$B$20:$BC$219"),"XXXXX",0,1),    "XX",    0,    1)</f>
        <v>15</v>
      </c>
      <c r="AH211" s="8" cm="1">
        <f t="array" aca="1" ref="AH211" ca="1">_xlfn.XLOOKUP($A211,    INDIRECT("'" &amp; AH$16 &amp; "'!$A$20:$A$219"),    _xlfn.XLOOKUP(AH$18,INDIRECT("'" &amp; AH$16 &amp; "'!$B$18:$BC$18"), INDIRECT("'" &amp; AH$16 &amp; "'!$B$20:$BC$219"),"XXXXX",0,1),    "XX",    0,    1)</f>
        <v>19</v>
      </c>
      <c r="AI211" s="8" cm="1">
        <f t="array" aca="1" ref="AI211" ca="1">_xlfn.XLOOKUP($A211,    INDIRECT("'" &amp; AI$16 &amp; "'!$A$20:$A$219"),    _xlfn.XLOOKUP(AI$18,INDIRECT("'" &amp; AI$16 &amp; "'!$B$18:$BC$18"), INDIRECT("'" &amp; AI$16 &amp; "'!$B$20:$BC$219"),"XXXXX",0,1),    "XX",    0,    1)</f>
        <v>19</v>
      </c>
      <c r="AJ211" s="8" cm="1">
        <f t="array" aca="1" ref="AJ211" ca="1">_xlfn.XLOOKUP($A211,    INDIRECT("'" &amp; AJ$16 &amp; "'!$A$20:$A$219"),    _xlfn.XLOOKUP(AJ$18,INDIRECT("'" &amp; AJ$16 &amp; "'!$B$18:$BC$18"), INDIRECT("'" &amp; AJ$16 &amp; "'!$B$20:$BC$219"),"XXXXX",0,1),    "XX",    0,    1)</f>
        <v>21</v>
      </c>
      <c r="AK211" s="8" cm="1">
        <f t="array" aca="1" ref="AK211" ca="1">_xlfn.XLOOKUP($A211,    INDIRECT("'" &amp; AK$16 &amp; "'!$A$20:$A$219"),    _xlfn.XLOOKUP(AK$18,INDIRECT("'" &amp; AK$16 &amp; "'!$B$18:$BC$18"), INDIRECT("'" &amp; AK$16 &amp; "'!$B$20:$BC$219"),"XXXXX",0,1),    "XX",    0,    1)</f>
        <v>21</v>
      </c>
      <c r="AM211" s="16"/>
      <c r="AW211" s="8">
        <v>1</v>
      </c>
      <c r="AX211" s="8">
        <f t="shared" ca="1" si="53"/>
        <v>1.5</v>
      </c>
      <c r="AY211" s="8">
        <f t="shared" ca="1" si="57"/>
        <v>1.5</v>
      </c>
      <c r="AZ211" s="8">
        <f t="shared" ca="1" si="58"/>
        <v>1.9</v>
      </c>
      <c r="BA211" s="8">
        <f t="shared" ca="1" si="59"/>
        <v>1.9</v>
      </c>
      <c r="BB211" s="8">
        <f t="shared" ca="1" si="60"/>
        <v>2.1</v>
      </c>
      <c r="BC211" s="8">
        <f t="shared" ca="1" si="61"/>
        <v>2.1</v>
      </c>
      <c r="BE211" s="8">
        <f t="shared" ca="1" si="54"/>
        <v>0</v>
      </c>
      <c r="BF211" s="8">
        <f t="shared" ca="1" si="55"/>
        <v>0</v>
      </c>
      <c r="BG211" s="8">
        <f t="shared" ca="1" si="56"/>
        <v>0</v>
      </c>
    </row>
    <row r="212" spans="1:59" x14ac:dyDescent="0.2">
      <c r="A212" s="8" t="s">
        <v>105</v>
      </c>
      <c r="B212" s="8" t="s">
        <v>265</v>
      </c>
      <c r="C212" s="8">
        <v>-36.200000000000003</v>
      </c>
      <c r="D212" s="8">
        <v>465971</v>
      </c>
      <c r="E212" s="8">
        <v>5976363.7999999998</v>
      </c>
      <c r="F212" s="8">
        <v>0</v>
      </c>
      <c r="G212" s="8">
        <v>-0.7</v>
      </c>
      <c r="H212" s="8">
        <v>0</v>
      </c>
      <c r="I212" s="8">
        <v>2</v>
      </c>
      <c r="J212" s="8">
        <v>0</v>
      </c>
      <c r="K212" s="8">
        <v>-62.3</v>
      </c>
      <c r="L212" s="8">
        <v>26.1</v>
      </c>
      <c r="M212" s="8">
        <v>1589.6659999999999</v>
      </c>
      <c r="N212" s="8">
        <v>87.7</v>
      </c>
      <c r="O212" s="8">
        <v>8</v>
      </c>
      <c r="P212" s="8">
        <v>10</v>
      </c>
      <c r="Q212" s="8">
        <v>2.54</v>
      </c>
      <c r="R212" s="8">
        <v>68</v>
      </c>
      <c r="S212" s="8">
        <v>110</v>
      </c>
      <c r="T212" s="3">
        <v>147</v>
      </c>
      <c r="U212" s="8">
        <v>1295.5550000000001</v>
      </c>
      <c r="V212" s="8">
        <v>484.346</v>
      </c>
      <c r="W212" s="8">
        <v>752.85199999999998</v>
      </c>
      <c r="X212" s="8">
        <v>132.18100000000001</v>
      </c>
      <c r="Y212" s="8">
        <v>4.9400000000000004</v>
      </c>
      <c r="Z212" s="8">
        <v>8.0150000000000006</v>
      </c>
      <c r="AA212" s="8">
        <v>21.7</v>
      </c>
      <c r="AB212" s="8">
        <v>290.5</v>
      </c>
      <c r="AC212" s="8">
        <v>12442</v>
      </c>
      <c r="AD212" s="8">
        <v>3261</v>
      </c>
      <c r="AE212" s="8">
        <v>268</v>
      </c>
      <c r="AF212" s="8" cm="1">
        <f t="array" aca="1" ref="AF212" ca="1">_xlfn.XLOOKUP($A212,    INDIRECT("'" &amp; AF$16 &amp; "'!$A$20:$A$219"),    _xlfn.XLOOKUP(AF$18,INDIRECT("'" &amp; AF$16 &amp; "'!$B$18:$BC$18"), INDIRECT("'" &amp; AF$16 &amp; "'!$B$20:$BC$219"),"XXXXX",0,1),    "XX",    0,    1)</f>
        <v>15</v>
      </c>
      <c r="AG212" s="8" cm="1">
        <f t="array" aca="1" ref="AG212" ca="1">_xlfn.XLOOKUP($A212,    INDIRECT("'" &amp; AG$16 &amp; "'!$A$20:$A$219"),    _xlfn.XLOOKUP(AG$18,INDIRECT("'" &amp; AG$16 &amp; "'!$B$18:$BC$18"), INDIRECT("'" &amp; AG$16 &amp; "'!$B$20:$BC$219"),"XXXXX",0,1),    "XX",    0,    1)</f>
        <v>15</v>
      </c>
      <c r="AH212" s="8" cm="1">
        <f t="array" aca="1" ref="AH212" ca="1">_xlfn.XLOOKUP($A212,    INDIRECT("'" &amp; AH$16 &amp; "'!$A$20:$A$219"),    _xlfn.XLOOKUP(AH$18,INDIRECT("'" &amp; AH$16 &amp; "'!$B$18:$BC$18"), INDIRECT("'" &amp; AH$16 &amp; "'!$B$20:$BC$219"),"XXXXX",0,1),    "XX",    0,    1)</f>
        <v>15</v>
      </c>
      <c r="AI212" s="8" cm="1">
        <f t="array" aca="1" ref="AI212" ca="1">_xlfn.XLOOKUP($A212,    INDIRECT("'" &amp; AI$16 &amp; "'!$A$20:$A$219"),    _xlfn.XLOOKUP(AI$18,INDIRECT("'" &amp; AI$16 &amp; "'!$B$18:$BC$18"), INDIRECT("'" &amp; AI$16 &amp; "'!$B$20:$BC$219"),"XXXXX",0,1),    "XX",    0,    1)</f>
        <v>15</v>
      </c>
      <c r="AJ212" s="8" cm="1">
        <f t="array" aca="1" ref="AJ212" ca="1">_xlfn.XLOOKUP($A212,    INDIRECT("'" &amp; AJ$16 &amp; "'!$A$20:$A$219"),    _xlfn.XLOOKUP(AJ$18,INDIRECT("'" &amp; AJ$16 &amp; "'!$B$18:$BC$18"), INDIRECT("'" &amp; AJ$16 &amp; "'!$B$20:$BC$219"),"XXXXX",0,1),    "XX",    0,    1)</f>
        <v>17</v>
      </c>
      <c r="AK212" s="8" cm="1">
        <f t="array" aca="1" ref="AK212" ca="1">_xlfn.XLOOKUP($A212,    INDIRECT("'" &amp; AK$16 &amp; "'!$A$20:$A$219"),    _xlfn.XLOOKUP(AK$18,INDIRECT("'" &amp; AK$16 &amp; "'!$B$18:$BC$18"), INDIRECT("'" &amp; AK$16 &amp; "'!$B$20:$BC$219"),"XXXXX",0,1),    "XX",    0,    1)</f>
        <v>17</v>
      </c>
      <c r="AM212" s="16"/>
      <c r="AW212" s="8">
        <v>1</v>
      </c>
      <c r="AX212" s="8">
        <f t="shared" ca="1" si="53"/>
        <v>1.5</v>
      </c>
      <c r="AY212" s="8">
        <f t="shared" ref="AY212:AY219" ca="1" si="62">AG212/$P212</f>
        <v>1.5</v>
      </c>
      <c r="AZ212" s="8">
        <f t="shared" ref="AZ212:AZ219" ca="1" si="63">AH212/$P212</f>
        <v>1.5</v>
      </c>
      <c r="BA212" s="8">
        <f t="shared" ref="BA212:BA219" ca="1" si="64">AI212/$P212</f>
        <v>1.5</v>
      </c>
      <c r="BB212" s="8">
        <f t="shared" ref="BB212:BB219" ca="1" si="65">AJ212/$P212</f>
        <v>1.7</v>
      </c>
      <c r="BC212" s="8">
        <f t="shared" ref="BC212:BC219" ca="1" si="66">AK212/$P212</f>
        <v>1.7</v>
      </c>
      <c r="BE212" s="8">
        <f t="shared" ca="1" si="54"/>
        <v>0</v>
      </c>
      <c r="BF212" s="8">
        <f t="shared" ca="1" si="55"/>
        <v>0</v>
      </c>
      <c r="BG212" s="8">
        <f t="shared" ca="1" si="56"/>
        <v>0</v>
      </c>
    </row>
    <row r="213" spans="1:59" x14ac:dyDescent="0.2">
      <c r="A213" s="8" t="s">
        <v>197</v>
      </c>
      <c r="B213" s="8" t="s">
        <v>271</v>
      </c>
      <c r="C213" s="8">
        <v>-47.4</v>
      </c>
      <c r="D213" s="8">
        <v>459183.4</v>
      </c>
      <c r="E213" s="8">
        <v>5978868.5</v>
      </c>
      <c r="F213" s="8">
        <v>0</v>
      </c>
      <c r="G213" s="8">
        <v>-0.6</v>
      </c>
      <c r="H213" s="8">
        <v>0</v>
      </c>
      <c r="I213" s="8">
        <v>2</v>
      </c>
      <c r="J213" s="8">
        <v>0</v>
      </c>
      <c r="K213" s="8">
        <v>-78.900000000000006</v>
      </c>
      <c r="L213" s="8">
        <v>31.5</v>
      </c>
      <c r="M213" s="8">
        <v>2194.145</v>
      </c>
      <c r="N213" s="8">
        <v>104.3</v>
      </c>
      <c r="O213" s="8">
        <v>8</v>
      </c>
      <c r="P213" s="8">
        <v>11</v>
      </c>
      <c r="Q213" s="8">
        <v>2.8090999999999999</v>
      </c>
      <c r="R213" s="8">
        <v>70</v>
      </c>
      <c r="S213" s="8">
        <v>117</v>
      </c>
      <c r="T213" s="3">
        <v>149</v>
      </c>
      <c r="U213" s="8">
        <v>1643.4549999999999</v>
      </c>
      <c r="V213" s="8">
        <v>403.17899999999997</v>
      </c>
      <c r="W213" s="8">
        <v>752.85199999999998</v>
      </c>
      <c r="X213" s="8">
        <v>132.18100000000001</v>
      </c>
      <c r="Y213" s="8">
        <v>4.9400000000000004</v>
      </c>
      <c r="Z213" s="8">
        <v>8.0150000000000006</v>
      </c>
      <c r="AA213" s="8">
        <v>21.7</v>
      </c>
      <c r="AB213" s="8">
        <v>290.5</v>
      </c>
      <c r="AC213" s="8">
        <v>13839</v>
      </c>
      <c r="AD213" s="8">
        <v>4141</v>
      </c>
      <c r="AE213" s="8">
        <v>268</v>
      </c>
      <c r="AF213" s="8" cm="1">
        <f t="array" aca="1" ref="AF213" ca="1">_xlfn.XLOOKUP($A213,    INDIRECT("'" &amp; AF$16 &amp; "'!$A$20:$A$219"),    _xlfn.XLOOKUP(AF$18,INDIRECT("'" &amp; AF$16 &amp; "'!$B$18:$BC$18"), INDIRECT("'" &amp; AF$16 &amp; "'!$B$20:$BC$219"),"XXXXX",0,1),    "XX",    0,    1)</f>
        <v>17</v>
      </c>
      <c r="AG213" s="8" cm="1">
        <f t="array" aca="1" ref="AG213" ca="1">_xlfn.XLOOKUP($A213,    INDIRECT("'" &amp; AG$16 &amp; "'!$A$20:$A$219"),    _xlfn.XLOOKUP(AG$18,INDIRECT("'" &amp; AG$16 &amp; "'!$B$18:$BC$18"), INDIRECT("'" &amp; AG$16 &amp; "'!$B$20:$BC$219"),"XXXXX",0,1),    "XX",    0,    1)</f>
        <v>17</v>
      </c>
      <c r="AH213" s="8" cm="1">
        <f t="array" aca="1" ref="AH213" ca="1">_xlfn.XLOOKUP($A213,    INDIRECT("'" &amp; AH$16 &amp; "'!$A$20:$A$219"),    _xlfn.XLOOKUP(AH$18,INDIRECT("'" &amp; AH$16 &amp; "'!$B$18:$BC$18"), INDIRECT("'" &amp; AH$16 &amp; "'!$B$20:$BC$219"),"XXXXX",0,1),    "XX",    0,    1)</f>
        <v>21</v>
      </c>
      <c r="AI213" s="8" cm="1">
        <f t="array" aca="1" ref="AI213" ca="1">_xlfn.XLOOKUP($A213,    INDIRECT("'" &amp; AI$16 &amp; "'!$A$20:$A$219"),    _xlfn.XLOOKUP(AI$18,INDIRECT("'" &amp; AI$16 &amp; "'!$B$18:$BC$18"), INDIRECT("'" &amp; AI$16 &amp; "'!$B$20:$BC$219"),"XXXXX",0,1),    "XX",    0,    1)</f>
        <v>21</v>
      </c>
      <c r="AJ213" s="8" cm="1">
        <f t="array" aca="1" ref="AJ213" ca="1">_xlfn.XLOOKUP($A213,    INDIRECT("'" &amp; AJ$16 &amp; "'!$A$20:$A$219"),    _xlfn.XLOOKUP(AJ$18,INDIRECT("'" &amp; AJ$16 &amp; "'!$B$18:$BC$18"), INDIRECT("'" &amp; AJ$16 &amp; "'!$B$20:$BC$219"),"XXXXX",0,1),    "XX",    0,    1)</f>
        <v>23</v>
      </c>
      <c r="AK213" s="8" cm="1">
        <f t="array" aca="1" ref="AK213" ca="1">_xlfn.XLOOKUP($A213,    INDIRECT("'" &amp; AK$16 &amp; "'!$A$20:$A$219"),    _xlfn.XLOOKUP(AK$18,INDIRECT("'" &amp; AK$16 &amp; "'!$B$18:$BC$18"), INDIRECT("'" &amp; AK$16 &amp; "'!$B$20:$BC$219"),"XXXXX",0,1),    "XX",    0,    1)</f>
        <v>23</v>
      </c>
      <c r="AM213" s="16"/>
      <c r="AW213" s="8">
        <v>1</v>
      </c>
      <c r="AX213" s="8">
        <f t="shared" ref="AX213:AX219" ca="1" si="67">AF213/$P213</f>
        <v>1.5454545454545454</v>
      </c>
      <c r="AY213" s="8">
        <f t="shared" ca="1" si="62"/>
        <v>1.5454545454545454</v>
      </c>
      <c r="AZ213" s="8">
        <f t="shared" ca="1" si="63"/>
        <v>1.9090909090909092</v>
      </c>
      <c r="BA213" s="8">
        <f t="shared" ca="1" si="64"/>
        <v>1.9090909090909092</v>
      </c>
      <c r="BB213" s="8">
        <f t="shared" ca="1" si="65"/>
        <v>2.0909090909090908</v>
      </c>
      <c r="BC213" s="8">
        <f t="shared" ca="1" si="66"/>
        <v>2.0909090909090908</v>
      </c>
      <c r="BE213" s="8">
        <f t="shared" ref="BE213:BE219" ca="1" si="68">AG213-AF213</f>
        <v>0</v>
      </c>
      <c r="BF213" s="8">
        <f t="shared" ref="BF213:BF219" ca="1" si="69">AI213-AH213</f>
        <v>0</v>
      </c>
      <c r="BG213" s="8">
        <f t="shared" ref="BG213:BG219" ca="1" si="70">AK213-AJ213</f>
        <v>0</v>
      </c>
    </row>
    <row r="214" spans="1:59" x14ac:dyDescent="0.2">
      <c r="A214" s="8" t="s">
        <v>202</v>
      </c>
      <c r="B214" s="8" t="s">
        <v>271</v>
      </c>
      <c r="C214" s="8">
        <v>-45</v>
      </c>
      <c r="D214" s="8">
        <v>460226</v>
      </c>
      <c r="E214" s="8">
        <v>5978827</v>
      </c>
      <c r="F214" s="8">
        <v>0</v>
      </c>
      <c r="G214" s="8">
        <v>-0.7</v>
      </c>
      <c r="H214" s="8">
        <v>0</v>
      </c>
      <c r="I214" s="8">
        <v>2</v>
      </c>
      <c r="J214" s="8">
        <v>0</v>
      </c>
      <c r="K214" s="8">
        <v>-75.5</v>
      </c>
      <c r="L214" s="8">
        <v>30.5</v>
      </c>
      <c r="M214" s="8">
        <v>2033.2090000000001</v>
      </c>
      <c r="N214" s="8">
        <v>100.9</v>
      </c>
      <c r="O214" s="8">
        <v>8</v>
      </c>
      <c r="P214" s="8">
        <v>11</v>
      </c>
      <c r="Q214" s="8">
        <v>2.7090999999999998</v>
      </c>
      <c r="R214" s="8">
        <v>70</v>
      </c>
      <c r="S214" s="8">
        <v>117</v>
      </c>
      <c r="T214" s="3">
        <v>149</v>
      </c>
      <c r="U214" s="8">
        <v>1575.2950000000001</v>
      </c>
      <c r="V214" s="8">
        <v>472.45800000000003</v>
      </c>
      <c r="W214" s="8">
        <v>752.85199999999998</v>
      </c>
      <c r="X214" s="8">
        <v>132.18100000000001</v>
      </c>
      <c r="Y214" s="8">
        <v>4.9400000000000004</v>
      </c>
      <c r="Z214" s="8">
        <v>8.0150000000000006</v>
      </c>
      <c r="AA214" s="8">
        <v>21.7</v>
      </c>
      <c r="AB214" s="8">
        <v>290.5</v>
      </c>
      <c r="AC214" s="8">
        <v>13607</v>
      </c>
      <c r="AD214" s="8">
        <v>3977</v>
      </c>
      <c r="AE214" s="8">
        <v>268</v>
      </c>
      <c r="AF214" s="8" cm="1">
        <f t="array" aca="1" ref="AF214" ca="1">_xlfn.XLOOKUP($A214,    INDIRECT("'" &amp; AF$16 &amp; "'!$A$20:$A$219"),    _xlfn.XLOOKUP(AF$18,INDIRECT("'" &amp; AF$16 &amp; "'!$B$18:$BC$18"), INDIRECT("'" &amp; AF$16 &amp; "'!$B$20:$BC$219"),"XXXXX",0,1),    "XX",    0,    1)</f>
        <v>15</v>
      </c>
      <c r="AG214" s="8" cm="1">
        <f t="array" aca="1" ref="AG214" ca="1">_xlfn.XLOOKUP($A214,    INDIRECT("'" &amp; AG$16 &amp; "'!$A$20:$A$219"),    _xlfn.XLOOKUP(AG$18,INDIRECT("'" &amp; AG$16 &amp; "'!$B$18:$BC$18"), INDIRECT("'" &amp; AG$16 &amp; "'!$B$20:$BC$219"),"XXXXX",0,1),    "XX",    0,    1)</f>
        <v>15</v>
      </c>
      <c r="AH214" s="8" cm="1">
        <f t="array" aca="1" ref="AH214" ca="1">_xlfn.XLOOKUP($A214,    INDIRECT("'" &amp; AH$16 &amp; "'!$A$20:$A$219"),    _xlfn.XLOOKUP(AH$18,INDIRECT("'" &amp; AH$16 &amp; "'!$B$18:$BC$18"), INDIRECT("'" &amp; AH$16 &amp; "'!$B$20:$BC$219"),"XXXXX",0,1),    "XX",    0,    1)</f>
        <v>19</v>
      </c>
      <c r="AI214" s="8" cm="1">
        <f t="array" aca="1" ref="AI214" ca="1">_xlfn.XLOOKUP($A214,    INDIRECT("'" &amp; AI$16 &amp; "'!$A$20:$A$219"),    _xlfn.XLOOKUP(AI$18,INDIRECT("'" &amp; AI$16 &amp; "'!$B$18:$BC$18"), INDIRECT("'" &amp; AI$16 &amp; "'!$B$20:$BC$219"),"XXXXX",0,1),    "XX",    0,    1)</f>
        <v>19</v>
      </c>
      <c r="AJ214" s="8" cm="1">
        <f t="array" aca="1" ref="AJ214" ca="1">_xlfn.XLOOKUP($A214,    INDIRECT("'" &amp; AJ$16 &amp; "'!$A$20:$A$219"),    _xlfn.XLOOKUP(AJ$18,INDIRECT("'" &amp; AJ$16 &amp; "'!$B$18:$BC$18"), INDIRECT("'" &amp; AJ$16 &amp; "'!$B$20:$BC$219"),"XXXXX",0,1),    "XX",    0,    1)</f>
        <v>21</v>
      </c>
      <c r="AK214" s="8" cm="1">
        <f t="array" aca="1" ref="AK214" ca="1">_xlfn.XLOOKUP($A214,    INDIRECT("'" &amp; AK$16 &amp; "'!$A$20:$A$219"),    _xlfn.XLOOKUP(AK$18,INDIRECT("'" &amp; AK$16 &amp; "'!$B$18:$BC$18"), INDIRECT("'" &amp; AK$16 &amp; "'!$B$20:$BC$219"),"XXXXX",0,1),    "XX",    0,    1)</f>
        <v>21</v>
      </c>
      <c r="AM214" s="16"/>
      <c r="AW214" s="8">
        <v>1</v>
      </c>
      <c r="AX214" s="8">
        <f t="shared" ca="1" si="67"/>
        <v>1.3636363636363635</v>
      </c>
      <c r="AY214" s="8">
        <f t="shared" ca="1" si="62"/>
        <v>1.3636363636363635</v>
      </c>
      <c r="AZ214" s="8">
        <f t="shared" ca="1" si="63"/>
        <v>1.7272727272727273</v>
      </c>
      <c r="BA214" s="8">
        <f t="shared" ca="1" si="64"/>
        <v>1.7272727272727273</v>
      </c>
      <c r="BB214" s="8">
        <f t="shared" ca="1" si="65"/>
        <v>1.9090909090909092</v>
      </c>
      <c r="BC214" s="8">
        <f t="shared" ca="1" si="66"/>
        <v>1.9090909090909092</v>
      </c>
      <c r="BE214" s="8">
        <f t="shared" ca="1" si="68"/>
        <v>0</v>
      </c>
      <c r="BF214" s="8">
        <f t="shared" ca="1" si="69"/>
        <v>0</v>
      </c>
      <c r="BG214" s="8">
        <f t="shared" ca="1" si="70"/>
        <v>0</v>
      </c>
    </row>
    <row r="215" spans="1:59" x14ac:dyDescent="0.2">
      <c r="A215" s="8" t="s">
        <v>170</v>
      </c>
      <c r="B215" s="8" t="s">
        <v>271</v>
      </c>
      <c r="C215" s="8">
        <v>-41.3</v>
      </c>
      <c r="D215" s="8">
        <v>461327.3</v>
      </c>
      <c r="E215" s="8">
        <v>5978735</v>
      </c>
      <c r="F215" s="8">
        <v>0</v>
      </c>
      <c r="G215" s="8">
        <v>-0.7</v>
      </c>
      <c r="H215" s="8">
        <v>0</v>
      </c>
      <c r="I215" s="8">
        <v>2</v>
      </c>
      <c r="J215" s="8">
        <v>0</v>
      </c>
      <c r="K215" s="8">
        <v>-70.5</v>
      </c>
      <c r="L215" s="8">
        <v>29.2</v>
      </c>
      <c r="M215" s="8">
        <v>1833.9169999999999</v>
      </c>
      <c r="N215" s="8">
        <v>95.9</v>
      </c>
      <c r="O215" s="8">
        <v>8</v>
      </c>
      <c r="P215" s="8">
        <v>10.5</v>
      </c>
      <c r="Q215" s="8">
        <v>2.7143000000000002</v>
      </c>
      <c r="R215" s="8">
        <v>72</v>
      </c>
      <c r="S215" s="8">
        <v>112</v>
      </c>
      <c r="T215" s="3">
        <v>146</v>
      </c>
      <c r="U215" s="8">
        <v>1471.415</v>
      </c>
      <c r="V215" s="8">
        <v>427.012</v>
      </c>
      <c r="W215" s="8">
        <v>752.85199999999998</v>
      </c>
      <c r="X215" s="8">
        <v>132.18100000000001</v>
      </c>
      <c r="Y215" s="8">
        <v>4.9400000000000004</v>
      </c>
      <c r="Z215" s="8">
        <v>8.0150000000000006</v>
      </c>
      <c r="AA215" s="8">
        <v>21.7</v>
      </c>
      <c r="AB215" s="8">
        <v>290.5</v>
      </c>
      <c r="AC215" s="8">
        <v>13113</v>
      </c>
      <c r="AD215" s="8">
        <v>3655</v>
      </c>
      <c r="AE215" s="8">
        <v>268</v>
      </c>
      <c r="AF215" s="8" cm="1">
        <f t="array" aca="1" ref="AF215" ca="1">_xlfn.XLOOKUP($A215,    INDIRECT("'" &amp; AF$16 &amp; "'!$A$20:$A$219"),    _xlfn.XLOOKUP(AF$18,INDIRECT("'" &amp; AF$16 &amp; "'!$B$18:$BC$18"), INDIRECT("'" &amp; AF$16 &amp; "'!$B$20:$BC$219"),"XXXXX",0,1),    "XX",    0,    1)</f>
        <v>15</v>
      </c>
      <c r="AG215" s="8" cm="1">
        <f t="array" aca="1" ref="AG215" ca="1">_xlfn.XLOOKUP($A215,    INDIRECT("'" &amp; AG$16 &amp; "'!$A$20:$A$219"),    _xlfn.XLOOKUP(AG$18,INDIRECT("'" &amp; AG$16 &amp; "'!$B$18:$BC$18"), INDIRECT("'" &amp; AG$16 &amp; "'!$B$20:$BC$219"),"XXXXX",0,1),    "XX",    0,    1)</f>
        <v>15</v>
      </c>
      <c r="AH215" s="8" cm="1">
        <f t="array" aca="1" ref="AH215" ca="1">_xlfn.XLOOKUP($A215,    INDIRECT("'" &amp; AH$16 &amp; "'!$A$20:$A$219"),    _xlfn.XLOOKUP(AH$18,INDIRECT("'" &amp; AH$16 &amp; "'!$B$18:$BC$18"), INDIRECT("'" &amp; AH$16 &amp; "'!$B$20:$BC$219"),"XXXXX",0,1),    "XX",    0,    1)</f>
        <v>19</v>
      </c>
      <c r="AI215" s="8" cm="1">
        <f t="array" aca="1" ref="AI215" ca="1">_xlfn.XLOOKUP($A215,    INDIRECT("'" &amp; AI$16 &amp; "'!$A$20:$A$219"),    _xlfn.XLOOKUP(AI$18,INDIRECT("'" &amp; AI$16 &amp; "'!$B$18:$BC$18"), INDIRECT("'" &amp; AI$16 &amp; "'!$B$20:$BC$219"),"XXXXX",0,1),    "XX",    0,    1)</f>
        <v>19</v>
      </c>
      <c r="AJ215" s="8" cm="1">
        <f t="array" aca="1" ref="AJ215" ca="1">_xlfn.XLOOKUP($A215,    INDIRECT("'" &amp; AJ$16 &amp; "'!$A$20:$A$219"),    _xlfn.XLOOKUP(AJ$18,INDIRECT("'" &amp; AJ$16 &amp; "'!$B$18:$BC$18"), INDIRECT("'" &amp; AJ$16 &amp; "'!$B$20:$BC$219"),"XXXXX",0,1),    "XX",    0,    1)</f>
        <v>19</v>
      </c>
      <c r="AK215" s="8" cm="1">
        <f t="array" aca="1" ref="AK215" ca="1">_xlfn.XLOOKUP($A215,    INDIRECT("'" &amp; AK$16 &amp; "'!$A$20:$A$219"),    _xlfn.XLOOKUP(AK$18,INDIRECT("'" &amp; AK$16 &amp; "'!$B$18:$BC$18"), INDIRECT("'" &amp; AK$16 &amp; "'!$B$20:$BC$219"),"XXXXX",0,1),    "XX",    0,    1)</f>
        <v>19</v>
      </c>
      <c r="AM215" s="16"/>
      <c r="AW215" s="8">
        <v>1</v>
      </c>
      <c r="AX215" s="8">
        <f t="shared" ca="1" si="67"/>
        <v>1.4285714285714286</v>
      </c>
      <c r="AY215" s="8">
        <f t="shared" ca="1" si="62"/>
        <v>1.4285714285714286</v>
      </c>
      <c r="AZ215" s="8">
        <f t="shared" ca="1" si="63"/>
        <v>1.8095238095238095</v>
      </c>
      <c r="BA215" s="8">
        <f t="shared" ca="1" si="64"/>
        <v>1.8095238095238095</v>
      </c>
      <c r="BB215" s="8">
        <f t="shared" ca="1" si="65"/>
        <v>1.8095238095238095</v>
      </c>
      <c r="BC215" s="8">
        <f t="shared" ca="1" si="66"/>
        <v>1.8095238095238095</v>
      </c>
      <c r="BE215" s="8">
        <f t="shared" ca="1" si="68"/>
        <v>0</v>
      </c>
      <c r="BF215" s="8">
        <f t="shared" ca="1" si="69"/>
        <v>0</v>
      </c>
      <c r="BG215" s="8">
        <f t="shared" ca="1" si="70"/>
        <v>0</v>
      </c>
    </row>
    <row r="216" spans="1:59" x14ac:dyDescent="0.2">
      <c r="A216" s="8" t="s">
        <v>167</v>
      </c>
      <c r="B216" s="8" t="s">
        <v>271</v>
      </c>
      <c r="C216" s="8">
        <v>-41.1</v>
      </c>
      <c r="D216" s="8">
        <v>462445</v>
      </c>
      <c r="E216" s="8">
        <v>5978650</v>
      </c>
      <c r="F216" s="8">
        <v>0</v>
      </c>
      <c r="G216" s="8">
        <v>-0.6</v>
      </c>
      <c r="H216" s="8">
        <v>0</v>
      </c>
      <c r="I216" s="8">
        <v>2</v>
      </c>
      <c r="J216" s="8">
        <v>0</v>
      </c>
      <c r="K216" s="8">
        <v>-72.7</v>
      </c>
      <c r="L216" s="8">
        <v>31.6</v>
      </c>
      <c r="M216" s="8">
        <v>1895.3779999999999</v>
      </c>
      <c r="N216" s="8">
        <v>98.1</v>
      </c>
      <c r="O216" s="8">
        <v>8</v>
      </c>
      <c r="P216" s="8">
        <v>10.5</v>
      </c>
      <c r="Q216" s="8">
        <v>2.9523999999999999</v>
      </c>
      <c r="R216" s="8">
        <v>72</v>
      </c>
      <c r="S216" s="8">
        <v>112</v>
      </c>
      <c r="T216" s="3">
        <v>146</v>
      </c>
      <c r="U216" s="8">
        <v>1471.2639999999999</v>
      </c>
      <c r="V216" s="8">
        <v>460.45100000000002</v>
      </c>
      <c r="W216" s="8">
        <v>752.85199999999998</v>
      </c>
      <c r="X216" s="8">
        <v>132.18100000000001</v>
      </c>
      <c r="Y216" s="8">
        <v>4.9400000000000004</v>
      </c>
      <c r="Z216" s="8">
        <v>8.0150000000000006</v>
      </c>
      <c r="AA216" s="8">
        <v>21.7</v>
      </c>
      <c r="AB216" s="8">
        <v>290.5</v>
      </c>
      <c r="AC216" s="8">
        <v>13257</v>
      </c>
      <c r="AD216" s="8">
        <v>3642</v>
      </c>
      <c r="AE216" s="8">
        <v>268</v>
      </c>
      <c r="AF216" s="8" cm="1">
        <f t="array" aca="1" ref="AF216" ca="1">_xlfn.XLOOKUP($A216,    INDIRECT("'" &amp; AF$16 &amp; "'!$A$20:$A$219"),    _xlfn.XLOOKUP(AF$18,INDIRECT("'" &amp; AF$16 &amp; "'!$B$18:$BC$18"), INDIRECT("'" &amp; AF$16 &amp; "'!$B$20:$BC$219"),"XXXXX",0,1),    "XX",    0,    1)</f>
        <v>17</v>
      </c>
      <c r="AG216" s="8" cm="1">
        <f t="array" aca="1" ref="AG216" ca="1">_xlfn.XLOOKUP($A216,    INDIRECT("'" &amp; AG$16 &amp; "'!$A$20:$A$219"),    _xlfn.XLOOKUP(AG$18,INDIRECT("'" &amp; AG$16 &amp; "'!$B$18:$BC$18"), INDIRECT("'" &amp; AG$16 &amp; "'!$B$20:$BC$219"),"XXXXX",0,1),    "XX",    0,    1)</f>
        <v>17</v>
      </c>
      <c r="AH216" s="8" cm="1">
        <f t="array" aca="1" ref="AH216" ca="1">_xlfn.XLOOKUP($A216,    INDIRECT("'" &amp; AH$16 &amp; "'!$A$20:$A$219"),    _xlfn.XLOOKUP(AH$18,INDIRECT("'" &amp; AH$16 &amp; "'!$B$18:$BC$18"), INDIRECT("'" &amp; AH$16 &amp; "'!$B$20:$BC$219"),"XXXXX",0,1),    "XX",    0,    1)</f>
        <v>21</v>
      </c>
      <c r="AI216" s="8" cm="1">
        <f t="array" aca="1" ref="AI216" ca="1">_xlfn.XLOOKUP($A216,    INDIRECT("'" &amp; AI$16 &amp; "'!$A$20:$A$219"),    _xlfn.XLOOKUP(AI$18,INDIRECT("'" &amp; AI$16 &amp; "'!$B$18:$BC$18"), INDIRECT("'" &amp; AI$16 &amp; "'!$B$20:$BC$219"),"XXXXX",0,1),    "XX",    0,    1)</f>
        <v>21</v>
      </c>
      <c r="AJ216" s="8" cm="1">
        <f t="array" aca="1" ref="AJ216" ca="1">_xlfn.XLOOKUP($A216,    INDIRECT("'" &amp; AJ$16 &amp; "'!$A$20:$A$219"),    _xlfn.XLOOKUP(AJ$18,INDIRECT("'" &amp; AJ$16 &amp; "'!$B$18:$BC$18"), INDIRECT("'" &amp; AJ$16 &amp; "'!$B$20:$BC$219"),"XXXXX",0,1),    "XX",    0,    1)</f>
        <v>23</v>
      </c>
      <c r="AK216" s="8" cm="1">
        <f t="array" aca="1" ref="AK216" ca="1">_xlfn.XLOOKUP($A216,    INDIRECT("'" &amp; AK$16 &amp; "'!$A$20:$A$219"),    _xlfn.XLOOKUP(AK$18,INDIRECT("'" &amp; AK$16 &amp; "'!$B$18:$BC$18"), INDIRECT("'" &amp; AK$16 &amp; "'!$B$20:$BC$219"),"XXXXX",0,1),    "XX",    0,    1)</f>
        <v>23</v>
      </c>
      <c r="AM216" s="16"/>
      <c r="AW216" s="8">
        <v>1</v>
      </c>
      <c r="AX216" s="8">
        <f t="shared" ca="1" si="67"/>
        <v>1.6190476190476191</v>
      </c>
      <c r="AY216" s="8">
        <f t="shared" ca="1" si="62"/>
        <v>1.6190476190476191</v>
      </c>
      <c r="AZ216" s="8">
        <f t="shared" ca="1" si="63"/>
        <v>2</v>
      </c>
      <c r="BA216" s="8">
        <f t="shared" ca="1" si="64"/>
        <v>2</v>
      </c>
      <c r="BB216" s="8">
        <f t="shared" ca="1" si="65"/>
        <v>2.1904761904761907</v>
      </c>
      <c r="BC216" s="8">
        <f t="shared" ca="1" si="66"/>
        <v>2.1904761904761907</v>
      </c>
      <c r="BE216" s="8">
        <f t="shared" ca="1" si="68"/>
        <v>0</v>
      </c>
      <c r="BF216" s="8">
        <f t="shared" ca="1" si="69"/>
        <v>0</v>
      </c>
      <c r="BG216" s="8">
        <f t="shared" ca="1" si="70"/>
        <v>0</v>
      </c>
    </row>
    <row r="217" spans="1:59" x14ac:dyDescent="0.2">
      <c r="A217" s="8" t="s">
        <v>198</v>
      </c>
      <c r="B217" s="8" t="s">
        <v>271</v>
      </c>
      <c r="C217" s="8">
        <v>-44.1</v>
      </c>
      <c r="D217" s="8">
        <v>463471</v>
      </c>
      <c r="E217" s="8">
        <v>5978680</v>
      </c>
      <c r="F217" s="8">
        <v>0</v>
      </c>
      <c r="G217" s="8">
        <v>-0.6</v>
      </c>
      <c r="H217" s="8">
        <v>0</v>
      </c>
      <c r="I217" s="8">
        <v>2</v>
      </c>
      <c r="J217" s="8">
        <v>0</v>
      </c>
      <c r="K217" s="8">
        <v>-79</v>
      </c>
      <c r="L217" s="8">
        <v>34.9</v>
      </c>
      <c r="M217" s="8">
        <v>2143.424</v>
      </c>
      <c r="N217" s="8">
        <v>104.4</v>
      </c>
      <c r="O217" s="8">
        <v>8</v>
      </c>
      <c r="P217" s="8">
        <v>11</v>
      </c>
      <c r="Q217" s="8">
        <v>3.1181999999999999</v>
      </c>
      <c r="R217" s="8">
        <v>70</v>
      </c>
      <c r="S217" s="8">
        <v>117</v>
      </c>
      <c r="T217" s="3">
        <v>149</v>
      </c>
      <c r="U217" s="8">
        <v>1643.732</v>
      </c>
      <c r="V217" s="8">
        <v>369.22500000000002</v>
      </c>
      <c r="W217" s="8">
        <v>752.85199999999998</v>
      </c>
      <c r="X217" s="8">
        <v>132.18100000000001</v>
      </c>
      <c r="Y217" s="8">
        <v>4.9400000000000004</v>
      </c>
      <c r="Z217" s="8">
        <v>8.0150000000000006</v>
      </c>
      <c r="AA217" s="8">
        <v>21.7</v>
      </c>
      <c r="AB217" s="8">
        <v>290.5</v>
      </c>
      <c r="AC217" s="8">
        <v>13847</v>
      </c>
      <c r="AD217" s="8">
        <v>3915</v>
      </c>
      <c r="AE217" s="8">
        <v>268</v>
      </c>
      <c r="AF217" s="8" cm="1">
        <f t="array" aca="1" ref="AF217" ca="1">_xlfn.XLOOKUP($A217,    INDIRECT("'" &amp; AF$16 &amp; "'!$A$20:$A$219"),    _xlfn.XLOOKUP(AF$18,INDIRECT("'" &amp; AF$16 &amp; "'!$B$18:$BC$18"), INDIRECT("'" &amp; AF$16 &amp; "'!$B$20:$BC$219"),"XXXXX",0,1),    "XX",    0,    1)</f>
        <v>19.3</v>
      </c>
      <c r="AG217" s="8" cm="1">
        <f t="array" aca="1" ref="AG217" ca="1">_xlfn.XLOOKUP($A217,    INDIRECT("'" &amp; AG$16 &amp; "'!$A$20:$A$219"),    _xlfn.XLOOKUP(AG$18,INDIRECT("'" &amp; AG$16 &amp; "'!$B$18:$BC$18"), INDIRECT("'" &amp; AG$16 &amp; "'!$B$20:$BC$219"),"XXXXX",0,1),    "XX",    0,    1)</f>
        <v>19.3</v>
      </c>
      <c r="AH217" s="8" cm="1">
        <f t="array" aca="1" ref="AH217" ca="1">_xlfn.XLOOKUP($A217,    INDIRECT("'" &amp; AH$16 &amp; "'!$A$20:$A$219"),    _xlfn.XLOOKUP(AH$18,INDIRECT("'" &amp; AH$16 &amp; "'!$B$18:$BC$18"), INDIRECT("'" &amp; AH$16 &amp; "'!$B$20:$BC$219"),"XXXXX",0,1),    "XX",    0,    1)</f>
        <v>23.4</v>
      </c>
      <c r="AI217" s="8" cm="1">
        <f t="array" aca="1" ref="AI217" ca="1">_xlfn.XLOOKUP($A217,    INDIRECT("'" &amp; AI$16 &amp; "'!$A$20:$A$219"),    _xlfn.XLOOKUP(AI$18,INDIRECT("'" &amp; AI$16 &amp; "'!$B$18:$BC$18"), INDIRECT("'" &amp; AI$16 &amp; "'!$B$20:$BC$219"),"XXXXX",0,1),    "XX",    0,    1)</f>
        <v>23.4</v>
      </c>
      <c r="AJ217" s="8" cm="1">
        <f t="array" aca="1" ref="AJ217" ca="1">_xlfn.XLOOKUP($A217,    INDIRECT("'" &amp; AJ$16 &amp; "'!$A$20:$A$219"),    _xlfn.XLOOKUP(AJ$18,INDIRECT("'" &amp; AJ$16 &amp; "'!$B$18:$BC$18"), INDIRECT("'" &amp; AJ$16 &amp; "'!$B$20:$BC$219"),"XXXXX",0,1),    "XX",    0,    1)</f>
        <v>24.6</v>
      </c>
      <c r="AK217" s="8" cm="1">
        <f t="array" aca="1" ref="AK217" ca="1">_xlfn.XLOOKUP($A217,    INDIRECT("'" &amp; AK$16 &amp; "'!$A$20:$A$219"),    _xlfn.XLOOKUP(AK$18,INDIRECT("'" &amp; AK$16 &amp; "'!$B$18:$BC$18"), INDIRECT("'" &amp; AK$16 &amp; "'!$B$20:$BC$219"),"XXXXX",0,1),    "XX",    0,    1)</f>
        <v>24.6</v>
      </c>
      <c r="AM217" s="16"/>
      <c r="AW217" s="8">
        <v>1</v>
      </c>
      <c r="AX217" s="8">
        <f t="shared" ca="1" si="67"/>
        <v>1.7545454545454546</v>
      </c>
      <c r="AY217" s="8">
        <f t="shared" ca="1" si="62"/>
        <v>1.7545454545454546</v>
      </c>
      <c r="AZ217" s="8">
        <f t="shared" ca="1" si="63"/>
        <v>2.127272727272727</v>
      </c>
      <c r="BA217" s="8">
        <f t="shared" ca="1" si="64"/>
        <v>2.127272727272727</v>
      </c>
      <c r="BB217" s="8">
        <f t="shared" ca="1" si="65"/>
        <v>2.2363636363636363</v>
      </c>
      <c r="BC217" s="8">
        <f t="shared" ca="1" si="66"/>
        <v>2.2363636363636363</v>
      </c>
      <c r="BE217" s="8">
        <f t="shared" ca="1" si="68"/>
        <v>0</v>
      </c>
      <c r="BF217" s="8">
        <f t="shared" ca="1" si="69"/>
        <v>0</v>
      </c>
      <c r="BG217" s="8">
        <f t="shared" ca="1" si="70"/>
        <v>0</v>
      </c>
    </row>
    <row r="218" spans="1:59" x14ac:dyDescent="0.2">
      <c r="A218" s="8" t="s">
        <v>207</v>
      </c>
      <c r="B218" s="8" t="s">
        <v>271</v>
      </c>
      <c r="C218" s="8">
        <v>-41.4</v>
      </c>
      <c r="D218" s="8">
        <v>464883</v>
      </c>
      <c r="E218" s="8">
        <v>5978110</v>
      </c>
      <c r="F218" s="8">
        <v>0</v>
      </c>
      <c r="G218" s="8">
        <v>-0.7</v>
      </c>
      <c r="H218" s="8">
        <v>0</v>
      </c>
      <c r="I218" s="8">
        <v>2</v>
      </c>
      <c r="J218" s="8">
        <v>0</v>
      </c>
      <c r="K218" s="8">
        <v>-74.3</v>
      </c>
      <c r="L218" s="8">
        <v>32.9</v>
      </c>
      <c r="M218" s="8">
        <v>1953.7429999999999</v>
      </c>
      <c r="N218" s="8">
        <v>99.7</v>
      </c>
      <c r="O218" s="8">
        <v>8</v>
      </c>
      <c r="P218" s="8">
        <v>11</v>
      </c>
      <c r="Q218" s="8">
        <v>2.9272999999999998</v>
      </c>
      <c r="R218" s="8">
        <v>70</v>
      </c>
      <c r="S218" s="8">
        <v>117</v>
      </c>
      <c r="T218" s="3">
        <v>149</v>
      </c>
      <c r="U218" s="8">
        <v>1575.6969999999999</v>
      </c>
      <c r="V218" s="8">
        <v>438.46600000000001</v>
      </c>
      <c r="W218" s="8">
        <v>752.85199999999998</v>
      </c>
      <c r="X218" s="8">
        <v>132.18100000000001</v>
      </c>
      <c r="Y218" s="8">
        <v>4.9400000000000004</v>
      </c>
      <c r="Z218" s="8">
        <v>8.0150000000000006</v>
      </c>
      <c r="AA218" s="8">
        <v>21.7</v>
      </c>
      <c r="AB218" s="8">
        <v>290.5</v>
      </c>
      <c r="AC218" s="8">
        <v>13526</v>
      </c>
      <c r="AD218" s="8">
        <v>3731</v>
      </c>
      <c r="AE218" s="8">
        <v>268</v>
      </c>
      <c r="AF218" s="8" cm="1">
        <f t="array" aca="1" ref="AF218" ca="1">_xlfn.XLOOKUP($A218,    INDIRECT("'" &amp; AF$16 &amp; "'!$A$20:$A$219"),    _xlfn.XLOOKUP(AF$18,INDIRECT("'" &amp; AF$16 &amp; "'!$B$18:$BC$18"), INDIRECT("'" &amp; AF$16 &amp; "'!$B$20:$BC$219"),"XXXXX",0,1),    "XX",    0,    1)</f>
        <v>19</v>
      </c>
      <c r="AG218" s="8" cm="1">
        <f t="array" aca="1" ref="AG218" ca="1">_xlfn.XLOOKUP($A218,    INDIRECT("'" &amp; AG$16 &amp; "'!$A$20:$A$219"),    _xlfn.XLOOKUP(AG$18,INDIRECT("'" &amp; AG$16 &amp; "'!$B$18:$BC$18"), INDIRECT("'" &amp; AG$16 &amp; "'!$B$20:$BC$219"),"XXXXX",0,1),    "XX",    0,    1)</f>
        <v>19</v>
      </c>
      <c r="AH218" s="8" cm="1">
        <f t="array" aca="1" ref="AH218" ca="1">_xlfn.XLOOKUP($A218,    INDIRECT("'" &amp; AH$16 &amp; "'!$A$20:$A$219"),    _xlfn.XLOOKUP(AH$18,INDIRECT("'" &amp; AH$16 &amp; "'!$B$18:$BC$18"), INDIRECT("'" &amp; AH$16 &amp; "'!$B$20:$BC$219"),"XXXXX",0,1),    "XX",    0,    1)</f>
        <v>23</v>
      </c>
      <c r="AI218" s="8" cm="1">
        <f t="array" aca="1" ref="AI218" ca="1">_xlfn.XLOOKUP($A218,    INDIRECT("'" &amp; AI$16 &amp; "'!$A$20:$A$219"),    _xlfn.XLOOKUP(AI$18,INDIRECT("'" &amp; AI$16 &amp; "'!$B$18:$BC$18"), INDIRECT("'" &amp; AI$16 &amp; "'!$B$20:$BC$219"),"XXXXX",0,1),    "XX",    0,    1)</f>
        <v>23</v>
      </c>
      <c r="AJ218" s="8" cm="1">
        <f t="array" aca="1" ref="AJ218" ca="1">_xlfn.XLOOKUP($A218,    INDIRECT("'" &amp; AJ$16 &amp; "'!$A$20:$A$219"),    _xlfn.XLOOKUP(AJ$18,INDIRECT("'" &amp; AJ$16 &amp; "'!$B$18:$BC$18"), INDIRECT("'" &amp; AJ$16 &amp; "'!$B$20:$BC$219"),"XXXXX",0,1),    "XX",    0,    1)</f>
        <v>23</v>
      </c>
      <c r="AK218" s="8" cm="1">
        <f t="array" aca="1" ref="AK218" ca="1">_xlfn.XLOOKUP($A218,    INDIRECT("'" &amp; AK$16 &amp; "'!$A$20:$A$219"),    _xlfn.XLOOKUP(AK$18,INDIRECT("'" &amp; AK$16 &amp; "'!$B$18:$BC$18"), INDIRECT("'" &amp; AK$16 &amp; "'!$B$20:$BC$219"),"XXXXX",0,1),    "XX",    0,    1)</f>
        <v>23</v>
      </c>
      <c r="AM218" s="16"/>
      <c r="AW218" s="8">
        <v>1</v>
      </c>
      <c r="AX218" s="8">
        <f t="shared" ca="1" si="67"/>
        <v>1.7272727272727273</v>
      </c>
      <c r="AY218" s="8">
        <f t="shared" ca="1" si="62"/>
        <v>1.7272727272727273</v>
      </c>
      <c r="AZ218" s="8">
        <f t="shared" ca="1" si="63"/>
        <v>2.0909090909090908</v>
      </c>
      <c r="BA218" s="8">
        <f t="shared" ca="1" si="64"/>
        <v>2.0909090909090908</v>
      </c>
      <c r="BB218" s="8">
        <f t="shared" ca="1" si="65"/>
        <v>2.0909090909090908</v>
      </c>
      <c r="BC218" s="8">
        <f t="shared" ca="1" si="66"/>
        <v>2.0909090909090908</v>
      </c>
      <c r="BE218" s="8">
        <f t="shared" ca="1" si="68"/>
        <v>0</v>
      </c>
      <c r="BF218" s="8">
        <f t="shared" ca="1" si="69"/>
        <v>0</v>
      </c>
      <c r="BG218" s="8">
        <f t="shared" ca="1" si="70"/>
        <v>0</v>
      </c>
    </row>
    <row r="219" spans="1:59" x14ac:dyDescent="0.2">
      <c r="A219" s="8" t="s">
        <v>171</v>
      </c>
      <c r="B219" s="8" t="s">
        <v>271</v>
      </c>
      <c r="C219" s="8">
        <v>-40.700000000000003</v>
      </c>
      <c r="D219" s="8">
        <v>466255</v>
      </c>
      <c r="E219" s="8">
        <v>5977572</v>
      </c>
      <c r="F219" s="8">
        <v>0</v>
      </c>
      <c r="G219" s="8">
        <v>-0.6</v>
      </c>
      <c r="H219" s="8">
        <v>0</v>
      </c>
      <c r="I219" s="8">
        <v>2</v>
      </c>
      <c r="J219" s="8">
        <v>0</v>
      </c>
      <c r="K219" s="8">
        <v>-70.8</v>
      </c>
      <c r="L219" s="8">
        <v>30.1</v>
      </c>
      <c r="M219" s="8">
        <v>1838.4380000000001</v>
      </c>
      <c r="N219" s="8">
        <v>96.2</v>
      </c>
      <c r="O219" s="8">
        <v>8</v>
      </c>
      <c r="P219" s="8">
        <v>10.5</v>
      </c>
      <c r="Q219" s="8">
        <v>2.8094999999999999</v>
      </c>
      <c r="R219" s="8">
        <v>72</v>
      </c>
      <c r="S219" s="8">
        <v>112</v>
      </c>
      <c r="T219" s="3">
        <v>146</v>
      </c>
      <c r="U219" s="8">
        <v>1471.415</v>
      </c>
      <c r="V219" s="8">
        <v>459.99799999999999</v>
      </c>
      <c r="W219" s="8">
        <v>752.85199999999998</v>
      </c>
      <c r="X219" s="8">
        <v>132.18100000000001</v>
      </c>
      <c r="Y219" s="8">
        <v>4.9400000000000004</v>
      </c>
      <c r="Z219" s="8">
        <v>8.0150000000000006</v>
      </c>
      <c r="AA219" s="8">
        <v>21.7</v>
      </c>
      <c r="AB219" s="8">
        <v>290.5</v>
      </c>
      <c r="AC219" s="8">
        <v>13133</v>
      </c>
      <c r="AD219" s="8">
        <v>3616</v>
      </c>
      <c r="AE219" s="8">
        <v>268</v>
      </c>
      <c r="AF219" s="8" cm="1">
        <f t="array" aca="1" ref="AF219" ca="1">_xlfn.XLOOKUP($A219,    INDIRECT("'" &amp; AF$16 &amp; "'!$A$20:$A$219"),    _xlfn.XLOOKUP(AF$18,INDIRECT("'" &amp; AF$16 &amp; "'!$B$18:$BC$18"), INDIRECT("'" &amp; AF$16 &amp; "'!$B$20:$BC$219"),"XXXXX",0,1),    "XX",    0,    1)</f>
        <v>15</v>
      </c>
      <c r="AG219" s="8" cm="1">
        <f t="array" aca="1" ref="AG219" ca="1">_xlfn.XLOOKUP($A219,    INDIRECT("'" &amp; AG$16 &amp; "'!$A$20:$A$219"),    _xlfn.XLOOKUP(AG$18,INDIRECT("'" &amp; AG$16 &amp; "'!$B$18:$BC$18"), INDIRECT("'" &amp; AG$16 &amp; "'!$B$20:$BC$219"),"XXXXX",0,1),    "XX",    0,    1)</f>
        <v>15</v>
      </c>
      <c r="AH219" s="8" cm="1">
        <f t="array" aca="1" ref="AH219" ca="1">_xlfn.XLOOKUP($A219,    INDIRECT("'" &amp; AH$16 &amp; "'!$A$20:$A$219"),    _xlfn.XLOOKUP(AH$18,INDIRECT("'" &amp; AH$16 &amp; "'!$B$18:$BC$18"), INDIRECT("'" &amp; AH$16 &amp; "'!$B$20:$BC$219"),"XXXXX",0,1),    "XX",    0,    1)</f>
        <v>19</v>
      </c>
      <c r="AI219" s="8" cm="1">
        <f t="array" aca="1" ref="AI219" ca="1">_xlfn.XLOOKUP($A219,    INDIRECT("'" &amp; AI$16 &amp; "'!$A$20:$A$219"),    _xlfn.XLOOKUP(AI$18,INDIRECT("'" &amp; AI$16 &amp; "'!$B$18:$BC$18"), INDIRECT("'" &amp; AI$16 &amp; "'!$B$20:$BC$219"),"XXXXX",0,1),    "XX",    0,    1)</f>
        <v>19</v>
      </c>
      <c r="AJ219" s="8" cm="1">
        <f t="array" aca="1" ref="AJ219" ca="1">_xlfn.XLOOKUP($A219,    INDIRECT("'" &amp; AJ$16 &amp; "'!$A$20:$A$219"),    _xlfn.XLOOKUP(AJ$18,INDIRECT("'" &amp; AJ$16 &amp; "'!$B$18:$BC$18"), INDIRECT("'" &amp; AJ$16 &amp; "'!$B$20:$BC$219"),"XXXXX",0,1),    "XX",    0,    1)</f>
        <v>21</v>
      </c>
      <c r="AK219" s="8" cm="1">
        <f t="array" aca="1" ref="AK219" ca="1">_xlfn.XLOOKUP($A219,    INDIRECT("'" &amp; AK$16 &amp; "'!$A$20:$A$219"),    _xlfn.XLOOKUP(AK$18,INDIRECT("'" &amp; AK$16 &amp; "'!$B$18:$BC$18"), INDIRECT("'" &amp; AK$16 &amp; "'!$B$20:$BC$219"),"XXXXX",0,1),    "XX",    0,    1)</f>
        <v>21</v>
      </c>
      <c r="AM219" s="16"/>
      <c r="AW219" s="8">
        <v>1</v>
      </c>
      <c r="AX219" s="8">
        <f t="shared" ca="1" si="67"/>
        <v>1.4285714285714286</v>
      </c>
      <c r="AY219" s="8">
        <f t="shared" ca="1" si="62"/>
        <v>1.4285714285714286</v>
      </c>
      <c r="AZ219" s="8">
        <f t="shared" ca="1" si="63"/>
        <v>1.8095238095238095</v>
      </c>
      <c r="BA219" s="8">
        <f t="shared" ca="1" si="64"/>
        <v>1.8095238095238095</v>
      </c>
      <c r="BB219" s="8">
        <f t="shared" ca="1" si="65"/>
        <v>2</v>
      </c>
      <c r="BC219" s="8">
        <f t="shared" ca="1" si="66"/>
        <v>2</v>
      </c>
      <c r="BE219" s="8">
        <f t="shared" ca="1" si="68"/>
        <v>0</v>
      </c>
      <c r="BF219" s="8">
        <f t="shared" ca="1" si="69"/>
        <v>0</v>
      </c>
      <c r="BG219" s="8">
        <f t="shared" ca="1" si="70"/>
        <v>0</v>
      </c>
    </row>
    <row r="221" spans="1:59" x14ac:dyDescent="0.2">
      <c r="A221" s="8" t="s">
        <v>273</v>
      </c>
      <c r="B221" s="8" t="s">
        <v>274</v>
      </c>
    </row>
    <row r="225" spans="1:20" x14ac:dyDescent="0.2">
      <c r="A225" s="8" t="s">
        <v>275</v>
      </c>
    </row>
    <row r="226" spans="1:20" x14ac:dyDescent="0.2">
      <c r="A226" s="8" t="s">
        <v>276</v>
      </c>
      <c r="B226" s="8" t="s">
        <v>277</v>
      </c>
      <c r="C226" s="8" t="s">
        <v>278</v>
      </c>
      <c r="D226" s="8" t="s">
        <v>279</v>
      </c>
      <c r="E226" s="8" t="s">
        <v>280</v>
      </c>
      <c r="F226" s="8" t="s">
        <v>281</v>
      </c>
      <c r="G226" s="8" t="s">
        <v>282</v>
      </c>
      <c r="H226" s="8" t="s">
        <v>283</v>
      </c>
      <c r="I226" s="8" t="s">
        <v>284</v>
      </c>
      <c r="J226" s="8" t="s">
        <v>285</v>
      </c>
      <c r="K226" s="8" t="s">
        <v>286</v>
      </c>
      <c r="L226" s="8" t="s">
        <v>287</v>
      </c>
      <c r="M226" s="8" t="s">
        <v>288</v>
      </c>
      <c r="N226" s="8" t="s">
        <v>289</v>
      </c>
      <c r="O226" s="8" t="s">
        <v>290</v>
      </c>
      <c r="P226" s="8" t="s">
        <v>291</v>
      </c>
      <c r="Q226" s="8" t="s">
        <v>292</v>
      </c>
      <c r="R226" s="8" t="s">
        <v>293</v>
      </c>
      <c r="S226" s="8" t="s">
        <v>294</v>
      </c>
      <c r="T226" s="3" t="s">
        <v>295</v>
      </c>
    </row>
    <row r="227" spans="1:20" x14ac:dyDescent="0.2">
      <c r="A227" s="8" t="s">
        <v>296</v>
      </c>
      <c r="B227" s="8" t="s">
        <v>296</v>
      </c>
      <c r="C227" s="8" t="s">
        <v>296</v>
      </c>
      <c r="D227" s="8" t="s">
        <v>296</v>
      </c>
      <c r="E227" s="8" t="s">
        <v>296</v>
      </c>
      <c r="F227" s="8" t="s">
        <v>296</v>
      </c>
      <c r="G227" s="8" t="s">
        <v>296</v>
      </c>
      <c r="H227" s="8" t="s">
        <v>296</v>
      </c>
      <c r="I227" s="8" t="s">
        <v>296</v>
      </c>
      <c r="J227" s="8" t="s">
        <v>296</v>
      </c>
      <c r="K227" s="8" t="s">
        <v>296</v>
      </c>
      <c r="L227" s="8" t="s">
        <v>296</v>
      </c>
      <c r="M227" s="8" t="s">
        <v>296</v>
      </c>
      <c r="N227" s="8" t="s">
        <v>297</v>
      </c>
      <c r="O227" s="8" t="s">
        <v>296</v>
      </c>
      <c r="P227" s="8" t="s">
        <v>296</v>
      </c>
      <c r="Q227" s="8" t="s">
        <v>296</v>
      </c>
      <c r="R227" s="8" t="s">
        <v>296</v>
      </c>
      <c r="S227" s="8" t="s">
        <v>296</v>
      </c>
      <c r="T227" s="3" t="s">
        <v>296</v>
      </c>
    </row>
    <row r="228" spans="1:20" x14ac:dyDescent="0.2">
      <c r="A228" s="8" t="s">
        <v>341</v>
      </c>
      <c r="B228" s="8" t="s">
        <v>299</v>
      </c>
      <c r="G228" s="8" t="s">
        <v>300</v>
      </c>
      <c r="H228" s="8" t="s">
        <v>355</v>
      </c>
      <c r="I228" s="8" t="s">
        <v>441</v>
      </c>
      <c r="K228" s="8" t="s">
        <v>356</v>
      </c>
      <c r="N228" s="8">
        <v>93214</v>
      </c>
      <c r="O228" s="8" t="s">
        <v>442</v>
      </c>
    </row>
    <row r="229" spans="1:20" x14ac:dyDescent="0.2">
      <c r="A229" s="8" t="s">
        <v>399</v>
      </c>
      <c r="B229" s="8" t="s">
        <v>299</v>
      </c>
      <c r="C229" s="8" t="s">
        <v>400</v>
      </c>
      <c r="D229" s="8" t="s">
        <v>314</v>
      </c>
      <c r="E229" s="8" t="s">
        <v>401</v>
      </c>
      <c r="G229" s="8" t="s">
        <v>402</v>
      </c>
      <c r="H229" s="8" t="s">
        <v>403</v>
      </c>
      <c r="I229" s="8" t="s">
        <v>443</v>
      </c>
      <c r="K229" s="8" t="s">
        <v>404</v>
      </c>
      <c r="L229" s="8" t="s">
        <v>405</v>
      </c>
      <c r="N229" s="8">
        <v>61952</v>
      </c>
      <c r="O229" s="8" t="s">
        <v>444</v>
      </c>
    </row>
    <row r="230" spans="1:20" x14ac:dyDescent="0.2">
      <c r="A230" s="8" t="s">
        <v>298</v>
      </c>
      <c r="B230" s="8" t="s">
        <v>299</v>
      </c>
      <c r="G230" s="8" t="s">
        <v>300</v>
      </c>
      <c r="H230" s="8" t="s">
        <v>301</v>
      </c>
      <c r="I230" s="8" t="s">
        <v>406</v>
      </c>
      <c r="K230" s="8" t="s">
        <v>302</v>
      </c>
      <c r="N230" s="8">
        <v>65739</v>
      </c>
      <c r="O230" s="8" t="s">
        <v>303</v>
      </c>
    </row>
    <row r="231" spans="1:20" x14ac:dyDescent="0.2">
      <c r="A231" s="8" t="s">
        <v>304</v>
      </c>
      <c r="B231" s="8" t="s">
        <v>299</v>
      </c>
      <c r="G231" s="8" t="s">
        <v>300</v>
      </c>
      <c r="H231" s="8" t="s">
        <v>407</v>
      </c>
      <c r="I231" s="8" t="s">
        <v>408</v>
      </c>
      <c r="K231" s="8" t="s">
        <v>409</v>
      </c>
      <c r="N231" s="8">
        <v>95044</v>
      </c>
      <c r="O231" s="8" t="s">
        <v>410</v>
      </c>
    </row>
    <row r="232" spans="1:20" x14ac:dyDescent="0.2">
      <c r="A232" s="8" t="s">
        <v>305</v>
      </c>
      <c r="B232" s="8" t="s">
        <v>299</v>
      </c>
      <c r="G232" s="8" t="s">
        <v>300</v>
      </c>
      <c r="I232" s="8" t="s">
        <v>411</v>
      </c>
      <c r="K232" s="8" t="s">
        <v>306</v>
      </c>
      <c r="N232" s="8">
        <v>87029</v>
      </c>
      <c r="O232" s="8" t="s">
        <v>307</v>
      </c>
    </row>
    <row r="233" spans="1:20" x14ac:dyDescent="0.2">
      <c r="A233" s="8" t="s">
        <v>304</v>
      </c>
      <c r="B233" s="8" t="s">
        <v>299</v>
      </c>
      <c r="G233" s="8" t="s">
        <v>300</v>
      </c>
      <c r="H233" s="8" t="s">
        <v>308</v>
      </c>
      <c r="I233" s="8" t="s">
        <v>412</v>
      </c>
      <c r="K233" s="8" t="s">
        <v>309</v>
      </c>
      <c r="N233" s="8">
        <v>203025</v>
      </c>
      <c r="O233" s="8" t="s">
        <v>310</v>
      </c>
    </row>
    <row r="234" spans="1:20" x14ac:dyDescent="0.2">
      <c r="A234" s="8" t="s">
        <v>311</v>
      </c>
      <c r="B234" s="8" t="s">
        <v>312</v>
      </c>
      <c r="C234" s="8" t="s">
        <v>313</v>
      </c>
      <c r="D234" s="8" t="s">
        <v>314</v>
      </c>
      <c r="E234" s="8" t="s">
        <v>315</v>
      </c>
      <c r="G234" s="8" t="s">
        <v>316</v>
      </c>
      <c r="H234" s="8" t="s">
        <v>317</v>
      </c>
      <c r="I234" s="8" t="s">
        <v>413</v>
      </c>
      <c r="K234" s="8" t="s">
        <v>318</v>
      </c>
      <c r="L234" s="8" t="s">
        <v>319</v>
      </c>
      <c r="N234" s="8">
        <v>8625664</v>
      </c>
      <c r="O234" s="8" t="s">
        <v>320</v>
      </c>
    </row>
    <row r="235" spans="1:20" x14ac:dyDescent="0.2">
      <c r="A235" s="8" t="s">
        <v>298</v>
      </c>
      <c r="B235" s="8" t="s">
        <v>299</v>
      </c>
      <c r="G235" s="8" t="s">
        <v>300</v>
      </c>
      <c r="H235" s="8" t="s">
        <v>301</v>
      </c>
      <c r="I235" s="8" t="s">
        <v>414</v>
      </c>
      <c r="K235" s="8" t="s">
        <v>302</v>
      </c>
      <c r="N235" s="8">
        <v>24369</v>
      </c>
      <c r="O235" s="8" t="s">
        <v>321</v>
      </c>
      <c r="Q235" s="8" t="s">
        <v>322</v>
      </c>
      <c r="R235" s="8" t="s">
        <v>323</v>
      </c>
      <c r="S235" s="8" t="s">
        <v>324</v>
      </c>
      <c r="T235" s="3" t="s">
        <v>325</v>
      </c>
    </row>
    <row r="236" spans="1:20" x14ac:dyDescent="0.2">
      <c r="A236" s="8" t="s">
        <v>326</v>
      </c>
      <c r="B236" s="8" t="s">
        <v>299</v>
      </c>
      <c r="G236" s="8" t="s">
        <v>300</v>
      </c>
      <c r="H236" s="8" t="s">
        <v>327</v>
      </c>
      <c r="I236" s="8" t="s">
        <v>415</v>
      </c>
      <c r="K236" s="8" t="s">
        <v>328</v>
      </c>
      <c r="N236" s="8">
        <v>42254</v>
      </c>
      <c r="O236" s="8" t="s">
        <v>329</v>
      </c>
      <c r="Q236" s="8" t="s">
        <v>330</v>
      </c>
      <c r="R236" s="8" t="s">
        <v>331</v>
      </c>
      <c r="S236" s="8" t="s">
        <v>278</v>
      </c>
      <c r="T236" s="3" t="s">
        <v>332</v>
      </c>
    </row>
    <row r="237" spans="1:20" x14ac:dyDescent="0.2">
      <c r="A237" s="8" t="s">
        <v>326</v>
      </c>
      <c r="B237" s="8" t="s">
        <v>299</v>
      </c>
      <c r="G237" s="8" t="s">
        <v>300</v>
      </c>
      <c r="I237" s="8" t="s">
        <v>416</v>
      </c>
      <c r="K237" s="8" t="s">
        <v>328</v>
      </c>
      <c r="N237" s="8">
        <v>22177</v>
      </c>
      <c r="O237" s="8" t="s">
        <v>333</v>
      </c>
      <c r="Q237" s="8" t="s">
        <v>334</v>
      </c>
      <c r="R237" s="8" t="s">
        <v>335</v>
      </c>
      <c r="S237" s="8" t="s">
        <v>324</v>
      </c>
      <c r="T237" s="3" t="s">
        <v>336</v>
      </c>
    </row>
    <row r="238" spans="1:20" x14ac:dyDescent="0.2">
      <c r="I238" s="8" t="s">
        <v>417</v>
      </c>
      <c r="N238" s="8">
        <v>23409</v>
      </c>
      <c r="O238" s="8" t="s">
        <v>337</v>
      </c>
      <c r="Q238" s="8" t="s">
        <v>338</v>
      </c>
      <c r="R238" s="8" t="s">
        <v>339</v>
      </c>
      <c r="S238" s="8" t="s">
        <v>278</v>
      </c>
      <c r="T238" s="3" t="s">
        <v>340</v>
      </c>
    </row>
    <row r="239" spans="1:20" x14ac:dyDescent="0.2">
      <c r="A239" s="8" t="s">
        <v>341</v>
      </c>
      <c r="B239" s="8" t="s">
        <v>299</v>
      </c>
      <c r="G239" s="8" t="s">
        <v>300</v>
      </c>
      <c r="I239" s="8" t="s">
        <v>418</v>
      </c>
      <c r="K239" s="8" t="s">
        <v>342</v>
      </c>
      <c r="N239" s="8">
        <v>37068</v>
      </c>
      <c r="O239" s="8" t="s">
        <v>343</v>
      </c>
      <c r="Q239" s="8" t="s">
        <v>344</v>
      </c>
      <c r="R239" s="8" t="s">
        <v>345</v>
      </c>
      <c r="S239" s="8" t="s">
        <v>278</v>
      </c>
      <c r="T239" s="3" t="s">
        <v>346</v>
      </c>
    </row>
    <row r="240" spans="1:20" x14ac:dyDescent="0.2">
      <c r="A240" s="8" t="s">
        <v>326</v>
      </c>
      <c r="B240" s="8" t="s">
        <v>299</v>
      </c>
      <c r="G240" s="8" t="s">
        <v>300</v>
      </c>
      <c r="I240" s="8" t="s">
        <v>419</v>
      </c>
      <c r="K240" s="8" t="s">
        <v>328</v>
      </c>
      <c r="N240" s="8">
        <v>81252</v>
      </c>
      <c r="O240" s="8" t="s">
        <v>347</v>
      </c>
      <c r="Q240" s="8" t="s">
        <v>348</v>
      </c>
      <c r="R240" s="8" t="s">
        <v>349</v>
      </c>
      <c r="S240" s="8" t="s">
        <v>278</v>
      </c>
      <c r="T240" s="3" t="s">
        <v>350</v>
      </c>
    </row>
    <row r="241" spans="1:20" x14ac:dyDescent="0.2">
      <c r="I241" s="8" t="s">
        <v>420</v>
      </c>
      <c r="N241" s="8">
        <v>35472</v>
      </c>
      <c r="O241" s="8" t="s">
        <v>351</v>
      </c>
      <c r="Q241" s="8" t="s">
        <v>352</v>
      </c>
      <c r="R241" s="8" t="s">
        <v>353</v>
      </c>
      <c r="S241" s="8" t="s">
        <v>278</v>
      </c>
      <c r="T241" s="3" t="s">
        <v>354</v>
      </c>
    </row>
    <row r="242" spans="1:20" x14ac:dyDescent="0.2">
      <c r="I242" s="8" t="s">
        <v>421</v>
      </c>
      <c r="N242" s="8">
        <v>1396150</v>
      </c>
      <c r="O242" s="8" t="s">
        <v>357</v>
      </c>
    </row>
    <row r="243" spans="1:20" x14ac:dyDescent="0.2">
      <c r="I243" s="8" t="s">
        <v>422</v>
      </c>
      <c r="K243" s="8" t="s">
        <v>358</v>
      </c>
      <c r="N243" s="8">
        <v>8815305</v>
      </c>
      <c r="O243" s="8" t="s">
        <v>359</v>
      </c>
    </row>
    <row r="244" spans="1:20" x14ac:dyDescent="0.2">
      <c r="I244" s="8" t="s">
        <v>423</v>
      </c>
      <c r="K244" s="8" t="s">
        <v>360</v>
      </c>
      <c r="N244" s="8">
        <v>8110612</v>
      </c>
      <c r="O244" s="8" t="s">
        <v>361</v>
      </c>
    </row>
    <row r="245" spans="1:20" x14ac:dyDescent="0.2">
      <c r="A245" s="8" t="s">
        <v>362</v>
      </c>
      <c r="G245" s="8" t="s">
        <v>363</v>
      </c>
      <c r="I245" s="8" t="s">
        <v>424</v>
      </c>
      <c r="K245" s="8" t="s">
        <v>364</v>
      </c>
      <c r="N245" s="8">
        <v>34735</v>
      </c>
      <c r="O245" s="8" t="s">
        <v>365</v>
      </c>
    </row>
    <row r="246" spans="1:20" x14ac:dyDescent="0.2">
      <c r="A246" s="8" t="s">
        <v>326</v>
      </c>
      <c r="B246" s="8" t="s">
        <v>299</v>
      </c>
      <c r="G246" s="8" t="s">
        <v>300</v>
      </c>
      <c r="I246" s="8" t="s">
        <v>445</v>
      </c>
      <c r="K246" s="8" t="s">
        <v>328</v>
      </c>
      <c r="N246" s="8">
        <v>59643</v>
      </c>
      <c r="O246" s="8" t="s">
        <v>446</v>
      </c>
    </row>
    <row r="247" spans="1:20" x14ac:dyDescent="0.2">
      <c r="A247" s="8" t="s">
        <v>399</v>
      </c>
      <c r="B247" s="8" t="s">
        <v>312</v>
      </c>
      <c r="F247" s="8" t="s">
        <v>425</v>
      </c>
      <c r="G247" s="8" t="s">
        <v>366</v>
      </c>
      <c r="H247" s="8" t="s">
        <v>426</v>
      </c>
      <c r="I247" s="8" t="s">
        <v>447</v>
      </c>
      <c r="K247" s="8" t="s">
        <v>427</v>
      </c>
      <c r="L247" s="8" t="s">
        <v>367</v>
      </c>
      <c r="N247" s="8">
        <v>155648</v>
      </c>
      <c r="O247" s="8" t="s">
        <v>448</v>
      </c>
    </row>
  </sheetData>
  <autoFilter ref="A19:BA19" xr:uid="{8CD5AFB9-2C5D-4E20-BCDA-F9CA679FB4B7}">
    <sortState xmlns:xlrd2="http://schemas.microsoft.com/office/spreadsheetml/2017/richdata2" ref="A20:BA219">
      <sortCondition ref="A19"/>
    </sortState>
  </autoFilter>
  <pageMargins left="0.75" right="0.75" top="1" bottom="1" header="0.5" footer="0.5"/>
  <pageSetup orientation="portrait" horizontalDpi="300" verticalDpi="300"/>
  <headerFooter alignWithMargins="0">
    <oddHeader>&amp;R&amp;"Arial Black"&amp;10&amp;K4099DA INTERNAL&amp;1#_x000D_</oddHeader>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TemplafyTemplateConfiguration><![CDATA[{"transformationConfigurations":[],"templateName":"Blank","templateDescription":"","enableDocumentContentUpdater":false,"version":"2.0"}]]></TemplafyTemplateConfiguration>
</file>

<file path=customXml/item2.xml><?xml version="1.0" encoding="utf-8"?>
<p:properties xmlns:p="http://schemas.microsoft.com/office/2006/metadata/properties" xmlns:xsi="http://www.w3.org/2001/XMLSchema-instance" xmlns:pc="http://schemas.microsoft.com/office/infopath/2007/PartnerControls">
  <documentManagement>
    <_activity xmlns="2abac4ff-2b25-4261-b543-cccd5964e7f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0BE9411E6ADCD48AD393A0746B79E90" ma:contentTypeVersion="18" ma:contentTypeDescription="Create a new document." ma:contentTypeScope="" ma:versionID="bfabf375eeb2781b5134adcbb2ce148d">
  <xsd:schema xmlns:xsd="http://www.w3.org/2001/XMLSchema" xmlns:xs="http://www.w3.org/2001/XMLSchema" xmlns:p="http://schemas.microsoft.com/office/2006/metadata/properties" xmlns:ns3="2abac4ff-2b25-4261-b543-cccd5964e7f0" xmlns:ns4="c2078584-1f3c-458f-aa87-3d81b0c88f74" targetNamespace="http://schemas.microsoft.com/office/2006/metadata/properties" ma:root="true" ma:fieldsID="6bea6de2b957c675b09a2a5ef4f8d4ca" ns3:_="" ns4:_="">
    <xsd:import namespace="2abac4ff-2b25-4261-b543-cccd5964e7f0"/>
    <xsd:import namespace="c2078584-1f3c-458f-aa87-3d81b0c88f7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Location" minOccurs="0"/>
                <xsd:element ref="ns3:MediaServiceAutoKeyPoints" minOccurs="0"/>
                <xsd:element ref="ns3:MediaServiceKeyPoints" minOccurs="0"/>
                <xsd:element ref="ns4:SharedWithUsers" minOccurs="0"/>
                <xsd:element ref="ns4:SharedWithDetails" minOccurs="0"/>
                <xsd:element ref="ns4:SharingHintHash" minOccurs="0"/>
                <xsd:element ref="ns3:MediaLengthInSeconds" minOccurs="0"/>
                <xsd:element ref="ns3:_activity" minOccurs="0"/>
                <xsd:element ref="ns3:MediaServiceObjectDetectorVersions" minOccurs="0"/>
                <xsd:element ref="ns3:MediaServiceSystemTag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abac4ff-2b25-4261-b543-cccd5964e7f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element name="_activity" ma:index="22" nillable="true" ma:displayName="_activity" ma:hidden="true" ma:internalName="_activity">
      <xsd:simpleType>
        <xsd:restriction base="dms:Note"/>
      </xsd:simple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ystemTags" ma:index="24" nillable="true" ma:displayName="MediaServiceSystemTags" ma:hidden="true" ma:internalName="MediaServiceSystemTags" ma:readOnly="true">
      <xsd:simpleType>
        <xsd:restriction base="dms:Note"/>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2078584-1f3c-458f-aa87-3d81b0c88f74"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TemplafyFormConfiguration><![CDATA[{"formFields":[],"formDataEntries":[]}]]></TemplafyFormConfiguration>
</file>

<file path=customXml/itemProps1.xml><?xml version="1.0" encoding="utf-8"?>
<ds:datastoreItem xmlns:ds="http://schemas.openxmlformats.org/officeDocument/2006/customXml" ds:itemID="{81C1370B-A2C9-4322-A06E-E063EB302828}">
  <ds:schemaRefs/>
</ds:datastoreItem>
</file>

<file path=customXml/itemProps2.xml><?xml version="1.0" encoding="utf-8"?>
<ds:datastoreItem xmlns:ds="http://schemas.openxmlformats.org/officeDocument/2006/customXml" ds:itemID="{78EE3E54-5987-4B13-8699-AC3D17BA2431}">
  <ds:schemaRefs>
    <ds:schemaRef ds:uri="http://schemas.microsoft.com/office/infopath/2007/PartnerControls"/>
    <ds:schemaRef ds:uri="http://schemas.microsoft.com/office/2006/metadata/properties"/>
    <ds:schemaRef ds:uri="http://schemas.microsoft.com/office/2006/documentManagement/types"/>
    <ds:schemaRef ds:uri="http://purl.org/dc/terms/"/>
    <ds:schemaRef ds:uri="http://purl.org/dc/dcmitype/"/>
    <ds:schemaRef ds:uri="c2078584-1f3c-458f-aa87-3d81b0c88f74"/>
    <ds:schemaRef ds:uri="http://schemas.openxmlformats.org/package/2006/metadata/core-properties"/>
    <ds:schemaRef ds:uri="http://purl.org/dc/elements/1.1/"/>
    <ds:schemaRef ds:uri="2abac4ff-2b25-4261-b543-cccd5964e7f0"/>
    <ds:schemaRef ds:uri="http://www.w3.org/XML/1998/namespace"/>
  </ds:schemaRefs>
</ds:datastoreItem>
</file>

<file path=customXml/itemProps3.xml><?xml version="1.0" encoding="utf-8"?>
<ds:datastoreItem xmlns:ds="http://schemas.openxmlformats.org/officeDocument/2006/customXml" ds:itemID="{68257670-F46E-417F-A448-2C5A168CA39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abac4ff-2b25-4261-b543-cccd5964e7f0"/>
    <ds:schemaRef ds:uri="c2078584-1f3c-458f-aa87-3d81b0c88f7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84F46E81-B03F-4FF4-90CC-5984F092EB3F}">
  <ds:schemaRefs>
    <ds:schemaRef ds:uri="http://schemas.microsoft.com/sharepoint/v3/contenttype/forms"/>
  </ds:schemaRefs>
</ds:datastoreItem>
</file>

<file path=customXml/itemProps5.xml><?xml version="1.0" encoding="utf-8"?>
<ds:datastoreItem xmlns:ds="http://schemas.openxmlformats.org/officeDocument/2006/customXml" ds:itemID="{7AC2B4BB-FBC4-4EB0-9B80-229833CA37C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Summary 05_Hs2p5_loads_it1</vt:lpstr>
      <vt:lpstr>Summary 05_Hs6p4_loads_it1</vt:lpstr>
      <vt:lpstr>Summary 05_Hs7p3_loads_it1</vt:lpstr>
      <vt:lpstr>Conical section geometry</vt:lpstr>
      <vt:lpstr>D at sealevel</vt:lpstr>
      <vt:lpstr>min L for iter1 loads</vt:lpstr>
      <vt:lpstr>Summary 05_combined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Vasilis Avgerinos</dc:creator>
  <cp:lastModifiedBy>Vasilis Avgerinos</cp:lastModifiedBy>
  <dcterms:created xsi:type="dcterms:W3CDTF">2025-10-24T10:03:31Z</dcterms:created>
  <dcterms:modified xsi:type="dcterms:W3CDTF">2025-12-01T09:20:59Z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orsted</vt:lpwstr>
  </property>
  <property fmtid="{D5CDD505-2E9C-101B-9397-08002B2CF9AE}" pid="3" name="TemplafyTemplateId">
    <vt:lpwstr>1235915168654032922</vt:lpwstr>
  </property>
  <property fmtid="{D5CDD505-2E9C-101B-9397-08002B2CF9AE}" pid="4" name="TemplafyUserProfileId">
    <vt:lpwstr>1263423041967227035</vt:lpwstr>
  </property>
  <property fmtid="{D5CDD505-2E9C-101B-9397-08002B2CF9AE}" pid="5" name="TemplafyLanguageCode">
    <vt:lpwstr>en-GB</vt:lpwstr>
  </property>
  <property fmtid="{D5CDD505-2E9C-101B-9397-08002B2CF9AE}" pid="6" name="TemplafyFromBlank">
    <vt:bool>true</vt:bool>
  </property>
  <property fmtid="{D5CDD505-2E9C-101B-9397-08002B2CF9AE}" pid="7" name="MSIP_Label_b8d9a29f-7d17-4193-85e4-1bef0fc2e901_Enabled">
    <vt:lpwstr>true</vt:lpwstr>
  </property>
  <property fmtid="{D5CDD505-2E9C-101B-9397-08002B2CF9AE}" pid="8" name="MSIP_Label_b8d9a29f-7d17-4193-85e4-1bef0fc2e901_SetDate">
    <vt:lpwstr>2025-11-06T09:55:59Z</vt:lpwstr>
  </property>
  <property fmtid="{D5CDD505-2E9C-101B-9397-08002B2CF9AE}" pid="9" name="MSIP_Label_b8d9a29f-7d17-4193-85e4-1bef0fc2e901_Method">
    <vt:lpwstr>Standard</vt:lpwstr>
  </property>
  <property fmtid="{D5CDD505-2E9C-101B-9397-08002B2CF9AE}" pid="10" name="MSIP_Label_b8d9a29f-7d17-4193-85e4-1bef0fc2e901_Name">
    <vt:lpwstr>b8d9a29f-7d17-4193-85e4-1bef0fc2e901</vt:lpwstr>
  </property>
  <property fmtid="{D5CDD505-2E9C-101B-9397-08002B2CF9AE}" pid="11" name="MSIP_Label_b8d9a29f-7d17-4193-85e4-1bef0fc2e901_SiteId">
    <vt:lpwstr>100b3c99-f3e2-4da0-9c8a-b9d345742c36</vt:lpwstr>
  </property>
  <property fmtid="{D5CDD505-2E9C-101B-9397-08002B2CF9AE}" pid="12" name="MSIP_Label_b8d9a29f-7d17-4193-85e4-1bef0fc2e901_ActionId">
    <vt:lpwstr>d9ba0a47-24e6-4a17-9b57-c653d7fe543a</vt:lpwstr>
  </property>
  <property fmtid="{D5CDD505-2E9C-101B-9397-08002B2CF9AE}" pid="13" name="MSIP_Label_b8d9a29f-7d17-4193-85e4-1bef0fc2e901_ContentBits">
    <vt:lpwstr>1</vt:lpwstr>
  </property>
  <property fmtid="{D5CDD505-2E9C-101B-9397-08002B2CF9AE}" pid="14" name="MSIP_Label_b8d9a29f-7d17-4193-85e4-1bef0fc2e901_Tag">
    <vt:lpwstr>10, 3, 0, 1</vt:lpwstr>
  </property>
  <property fmtid="{D5CDD505-2E9C-101B-9397-08002B2CF9AE}" pid="15" name="ContentTypeId">
    <vt:lpwstr>0x01010080BE9411E6ADCD48AD393A0746B79E90</vt:lpwstr>
  </property>
</Properties>
</file>